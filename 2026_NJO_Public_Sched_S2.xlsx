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d.docs.live.net/6f253ef3afcfe1c8/2026 EVENTS/2026 NJOs/SESSION 2/"/>
    </mc:Choice>
  </mc:AlternateContent>
  <xr:revisionPtr revIDLastSave="0" documentId="8_{BC8F6627-14F0-44C2-987F-F888945C96D2}" xr6:coauthVersionLast="47" xr6:coauthVersionMax="47" xr10:uidLastSave="{00000000-0000-0000-0000-000000000000}"/>
  <bookViews>
    <workbookView xWindow="22680" yWindow="2910" windowWidth="27540" windowHeight="23955" tabRatio="832" firstSheet="5" activeTab="5" xr2:uid="{D2AE0A78-2B23-4E5F-A723-F7DAD86DD467}"/>
  </bookViews>
  <sheets>
    <sheet name="CHICLETS MASTER S2" sheetId="12" r:id="rId1"/>
    <sheet name="10U_M_Champ_35" sheetId="5" r:id="rId2"/>
    <sheet name="12U_M_Champ" sheetId="4" r:id="rId3"/>
    <sheet name="14U_M_Champ" sheetId="3" r:id="rId4"/>
    <sheet name="16U_M_Champ" sheetId="2" r:id="rId5"/>
    <sheet name="18U_M_Champ" sheetId="1" r:id="rId6"/>
    <sheet name="12U_M_Classic_53" sheetId="13" r:id="rId7"/>
    <sheet name="14U_M_Classic" sheetId="6" r:id="rId8"/>
    <sheet name="16U_M_Classic" sheetId="7" r:id="rId9"/>
    <sheet name="18U_M_Classic" sheetId="8" r:id="rId10"/>
    <sheet name="14U_M_Invite_36" sheetId="10" r:id="rId11"/>
    <sheet name="16U_M_Invite" sheetId="11" r:id="rId12"/>
    <sheet name="18U_M_Invite 24" sheetId="9" state="hidden" r:id="rId13"/>
    <sheet name="18U_M_INVITE_NEW_23" sheetId="14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convert" localSheetId="1">#REF!</definedName>
    <definedName name="convert" localSheetId="2">'[1]Scratch Sheet'!$B$159:$D$166</definedName>
    <definedName name="convert" localSheetId="6">#REF!</definedName>
    <definedName name="convert" localSheetId="3">'[1]Scratch Sheet'!$B$159:$D$166</definedName>
    <definedName name="convert" localSheetId="7">'[1]Scratch Sheet'!$B$159:$D$166</definedName>
    <definedName name="convert" localSheetId="10">#REF!</definedName>
    <definedName name="convert" localSheetId="4">'[1]Scratch Sheet'!$B$159:$D$166</definedName>
    <definedName name="convert" localSheetId="8">'[1]Scratch Sheet'!$B$159:$D$166</definedName>
    <definedName name="convert" localSheetId="11">'[1]Scratch Sheet'!$B$159:$D$166</definedName>
    <definedName name="convert" localSheetId="5">'[1]Scratch Sheet'!$B$159:$D$166</definedName>
    <definedName name="convert" localSheetId="9">'[1]Scratch Sheet'!$B$159:$D$166</definedName>
    <definedName name="convert" localSheetId="12">'[1]Scratch Sheet'!$B$159:$D$166</definedName>
    <definedName name="convert" localSheetId="13">'[2]Scratch Sheet'!$B$159:$D$166</definedName>
    <definedName name="convert" localSheetId="0">#REF!</definedName>
    <definedName name="convert">#REF!</definedName>
    <definedName name="goldlook" localSheetId="1">#REF!</definedName>
    <definedName name="goldlook" localSheetId="2">'[1]Scratch Sheet'!$B$62:$C$68</definedName>
    <definedName name="goldlook" localSheetId="6">#REF!</definedName>
    <definedName name="goldlook" localSheetId="3">'[1]Scratch Sheet'!$B$62:$C$68</definedName>
    <definedName name="goldlook" localSheetId="7">'[1]Scratch Sheet'!$B$62:$C$68</definedName>
    <definedName name="goldlook" localSheetId="10">#REF!</definedName>
    <definedName name="goldlook" localSheetId="4">'[1]Scratch Sheet'!$B$62:$C$68</definedName>
    <definedName name="goldlook" localSheetId="8">'[1]Scratch Sheet'!$B$62:$C$68</definedName>
    <definedName name="goldlook" localSheetId="11">'[1]Scratch Sheet'!$B$62:$C$68</definedName>
    <definedName name="goldlook" localSheetId="5">'[1]Scratch Sheet'!$B$62:$C$68</definedName>
    <definedName name="goldlook" localSheetId="9">'[1]Scratch Sheet'!$B$62:$C$68</definedName>
    <definedName name="goldlook" localSheetId="12">'[1]Scratch Sheet'!$B$62:$C$68</definedName>
    <definedName name="goldlook" localSheetId="13">'[2]Scratch Sheet'!$B$62:$C$68</definedName>
    <definedName name="goldlook" localSheetId="0">#REF!</definedName>
    <definedName name="goldlook">#REF!</definedName>
    <definedName name="goldlook2" localSheetId="2">#REF!</definedName>
    <definedName name="goldlook2" localSheetId="6">#REF!</definedName>
    <definedName name="goldlook2" localSheetId="3">#REF!</definedName>
    <definedName name="goldlook2" localSheetId="7">#REF!</definedName>
    <definedName name="goldlook2" localSheetId="4">#REF!</definedName>
    <definedName name="goldlook2" localSheetId="8">#REF!</definedName>
    <definedName name="goldlook2" localSheetId="11">#REF!</definedName>
    <definedName name="goldlook2" localSheetId="5">#REF!</definedName>
    <definedName name="goldlook2" localSheetId="9">#REF!</definedName>
    <definedName name="goldlook2" localSheetId="12">#REF!</definedName>
    <definedName name="goldlook2" localSheetId="0">#REF!</definedName>
    <definedName name="goldlook2">#REF!</definedName>
    <definedName name="grouplook" localSheetId="1">#REF!</definedName>
    <definedName name="grouplook" localSheetId="2">[3]Sheet1!$E$5:$F$52</definedName>
    <definedName name="grouplook" localSheetId="6">#REF!</definedName>
    <definedName name="grouplook" localSheetId="3">[3]Sheet1!$E$5:$F$52</definedName>
    <definedName name="grouplook" localSheetId="7">[3]Sheet1!$E$5:$F$52</definedName>
    <definedName name="grouplook" localSheetId="10">#REF!</definedName>
    <definedName name="grouplook" localSheetId="4">[3]Sheet1!$E$5:$F$52</definedName>
    <definedName name="grouplook" localSheetId="8">[3]Sheet1!$E$5:$F$52</definedName>
    <definedName name="grouplook" localSheetId="11">[3]Sheet1!$E$5:$F$52</definedName>
    <definedName name="grouplook" localSheetId="5">[3]Sheet1!$E$5:$F$52</definedName>
    <definedName name="grouplook" localSheetId="9">[3]Sheet1!$E$5:$F$52</definedName>
    <definedName name="grouplook" localSheetId="12">[3]Sheet1!$E$5:$F$52</definedName>
    <definedName name="grouplook" localSheetId="0">#REF!</definedName>
    <definedName name="grouplook">#REF!</definedName>
    <definedName name="platlook" localSheetId="1">#REF!</definedName>
    <definedName name="platlook" localSheetId="2">'[1]Scratch Sheet'!$B$56:$E$59</definedName>
    <definedName name="platlook" localSheetId="6">#REF!</definedName>
    <definedName name="platlook" localSheetId="3">'[1]Scratch Sheet'!$B$56:$E$59</definedName>
    <definedName name="platlook" localSheetId="7">'[1]Scratch Sheet'!$B$56:$E$59</definedName>
    <definedName name="platlook" localSheetId="10">#REF!</definedName>
    <definedName name="platlook" localSheetId="4">'[1]Scratch Sheet'!$B$56:$E$59</definedName>
    <definedName name="platlook" localSheetId="8">'[1]Scratch Sheet'!$B$56:$E$59</definedName>
    <definedName name="platlook" localSheetId="11">'[1]Scratch Sheet'!$B$56:$E$59</definedName>
    <definedName name="platlook" localSheetId="5">'[1]Scratch Sheet'!$B$56:$E$59</definedName>
    <definedName name="platlook" localSheetId="9">'[1]Scratch Sheet'!$B$56:$E$59</definedName>
    <definedName name="platlook" localSheetId="12">'[1]Scratch Sheet'!$B$56:$E$59</definedName>
    <definedName name="platlook" localSheetId="13">'[2]Scratch Sheet'!$B$56:$E$59</definedName>
    <definedName name="platlook" localSheetId="0">#REF!</definedName>
    <definedName name="platlook">#REF!</definedName>
    <definedName name="RRput" localSheetId="1">#REF!</definedName>
    <definedName name="RRput" localSheetId="2">[4]Sheet3!$Q$226:$R$275</definedName>
    <definedName name="RRput" localSheetId="6">#REF!</definedName>
    <definedName name="RRput" localSheetId="3">[4]Sheet3!$Q$226:$R$275</definedName>
    <definedName name="RRput" localSheetId="7">[4]Sheet3!$Q$226:$R$275</definedName>
    <definedName name="RRput" localSheetId="10">#REF!</definedName>
    <definedName name="RRput" localSheetId="4">[4]Sheet3!$Q$226:$R$275</definedName>
    <definedName name="RRput" localSheetId="8">[4]Sheet3!$Q$226:$R$275</definedName>
    <definedName name="RRput" localSheetId="11">[4]Sheet3!$Q$226:$R$275</definedName>
    <definedName name="RRput" localSheetId="5">[4]Sheet3!$Q$226:$R$275</definedName>
    <definedName name="RRput" localSheetId="9">[4]Sheet3!$Q$226:$R$275</definedName>
    <definedName name="RRput" localSheetId="12">[4]Sheet3!$Q$226:$R$275</definedName>
    <definedName name="RRput" localSheetId="0">#REF!</definedName>
    <definedName name="RRput">#REF!</definedName>
    <definedName name="RRput4" localSheetId="1">#REF!</definedName>
    <definedName name="RRput4" localSheetId="2">[5]Sheet3!$G$4:$I$53</definedName>
    <definedName name="RRput4" localSheetId="6">#REF!</definedName>
    <definedName name="RRput4" localSheetId="3">[5]Sheet3!$G$4:$I$53</definedName>
    <definedName name="RRput4" localSheetId="7">[5]Sheet3!$G$4:$I$53</definedName>
    <definedName name="RRput4" localSheetId="10">#REF!</definedName>
    <definedName name="RRput4" localSheetId="4">[5]Sheet3!$G$4:$I$53</definedName>
    <definedName name="RRput4" localSheetId="8">[5]Sheet3!$G$4:$I$53</definedName>
    <definedName name="RRput4" localSheetId="11">[5]Sheet3!$G$4:$I$53</definedName>
    <definedName name="RRput4" localSheetId="5">[5]Sheet3!$G$4:$I$53</definedName>
    <definedName name="RRput4" localSheetId="9">[5]Sheet3!$G$4:$I$53</definedName>
    <definedName name="RRput4" localSheetId="12">[5]Sheet3!$G$4:$I$53</definedName>
    <definedName name="RRput4" localSheetId="0">#REF!</definedName>
    <definedName name="RRput4">#REF!</definedName>
    <definedName name="translate" localSheetId="1">#REF!</definedName>
    <definedName name="translate" localSheetId="2">[6]advancement!$O$181:$P$236</definedName>
    <definedName name="translate" localSheetId="6">#REF!</definedName>
    <definedName name="translate" localSheetId="3">[6]advancement!$O$181:$P$236</definedName>
    <definedName name="translate" localSheetId="7">[6]advancement!$O$181:$P$236</definedName>
    <definedName name="translate" localSheetId="10">#REF!</definedName>
    <definedName name="translate" localSheetId="4">[6]advancement!$O$181:$P$236</definedName>
    <definedName name="translate" localSheetId="8">[6]advancement!$O$181:$P$236</definedName>
    <definedName name="translate" localSheetId="11">[6]advancement!$O$181:$P$236</definedName>
    <definedName name="translate" localSheetId="5">[6]advancement!$O$181:$P$236</definedName>
    <definedName name="translate" localSheetId="9">[6]advancement!$O$181:$P$236</definedName>
    <definedName name="translate" localSheetId="12">[6]advancement!$O$181:$P$236</definedName>
    <definedName name="translate" localSheetId="0">#REF!</definedName>
    <definedName name="transla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241" i="5" l="1"/>
  <c r="D240" i="5"/>
  <c r="D239" i="5"/>
  <c r="D238" i="5"/>
  <c r="B159" i="14"/>
  <c r="B158" i="14"/>
  <c r="B161" i="14"/>
  <c r="D160" i="14"/>
  <c r="B160" i="14"/>
  <c r="H286" i="11"/>
  <c r="AL29" i="12"/>
  <c r="B306" i="13"/>
  <c r="B305" i="13"/>
  <c r="H240" i="6"/>
  <c r="H226" i="3"/>
  <c r="H172" i="11"/>
  <c r="H131" i="6"/>
  <c r="B83" i="10"/>
  <c r="H194" i="11"/>
  <c r="D115" i="11"/>
  <c r="B115" i="11"/>
  <c r="D111" i="11"/>
  <c r="B113" i="8"/>
  <c r="E113" i="6"/>
  <c r="C109" i="6"/>
  <c r="H134" i="1"/>
  <c r="E107" i="1"/>
  <c r="H22" i="14"/>
  <c r="D78" i="5"/>
  <c r="F70" i="5"/>
  <c r="F27" i="8"/>
  <c r="F26" i="8"/>
  <c r="H28" i="14"/>
  <c r="F57" i="2"/>
  <c r="H184" i="13"/>
  <c r="D165" i="14"/>
  <c r="D164" i="14"/>
  <c r="D163" i="14"/>
  <c r="D162" i="14"/>
  <c r="D161" i="14"/>
  <c r="D159" i="14"/>
  <c r="D158" i="14"/>
  <c r="B169" i="14"/>
  <c r="B168" i="14"/>
  <c r="B167" i="14"/>
  <c r="B166" i="14"/>
  <c r="B165" i="14"/>
  <c r="B164" i="14"/>
  <c r="B163" i="14"/>
  <c r="B162" i="14"/>
  <c r="H152" i="14"/>
  <c r="F152" i="14"/>
  <c r="H154" i="14"/>
  <c r="F154" i="14"/>
  <c r="H138" i="14"/>
  <c r="F114" i="14"/>
  <c r="F113" i="14"/>
  <c r="F138" i="14" s="1"/>
  <c r="H112" i="14"/>
  <c r="F112" i="14"/>
  <c r="H141" i="14" s="1"/>
  <c r="H111" i="14"/>
  <c r="F141" i="14" s="1"/>
  <c r="F111" i="14"/>
  <c r="F110" i="14"/>
  <c r="H114" i="14" s="1"/>
  <c r="H108" i="14"/>
  <c r="F137" i="14" s="1"/>
  <c r="H153" i="14"/>
  <c r="F153" i="14"/>
  <c r="H155" i="14"/>
  <c r="F155" i="14"/>
  <c r="H151" i="14"/>
  <c r="F151" i="14"/>
  <c r="F150" i="14"/>
  <c r="H142" i="14"/>
  <c r="F142" i="14"/>
  <c r="H110" i="14"/>
  <c r="H137" i="14" s="1"/>
  <c r="F108" i="14"/>
  <c r="H113" i="14" s="1"/>
  <c r="H150" i="14" s="1"/>
  <c r="F76" i="14"/>
  <c r="F72" i="14"/>
  <c r="B67" i="14"/>
  <c r="C64" i="14"/>
  <c r="E60" i="14"/>
  <c r="F62" i="8"/>
  <c r="F23" i="1"/>
  <c r="H109" i="10"/>
  <c r="H113" i="10"/>
  <c r="F109" i="10"/>
  <c r="H117" i="10"/>
  <c r="F113" i="10"/>
  <c r="F117" i="10"/>
  <c r="H90" i="10"/>
  <c r="H94" i="10"/>
  <c r="F90" i="10"/>
  <c r="H98" i="10"/>
  <c r="F94" i="10"/>
  <c r="F98" i="10"/>
  <c r="H111" i="10"/>
  <c r="H115" i="10"/>
  <c r="F111" i="10"/>
  <c r="H119" i="10"/>
  <c r="F115" i="10"/>
  <c r="F119" i="10"/>
  <c r="H92" i="10"/>
  <c r="H96" i="10"/>
  <c r="F92" i="10"/>
  <c r="H100" i="10"/>
  <c r="F96" i="10"/>
  <c r="F100" i="10"/>
  <c r="E130" i="10"/>
  <c r="E129" i="10"/>
  <c r="E128" i="10"/>
  <c r="D130" i="10"/>
  <c r="D129" i="10"/>
  <c r="D128" i="10"/>
  <c r="C130" i="10"/>
  <c r="C129" i="10"/>
  <c r="C128" i="10"/>
  <c r="B130" i="10"/>
  <c r="B129" i="10"/>
  <c r="B128" i="10"/>
  <c r="E85" i="10"/>
  <c r="E84" i="10"/>
  <c r="E83" i="10"/>
  <c r="D85" i="10"/>
  <c r="D84" i="10"/>
  <c r="D83" i="10"/>
  <c r="C85" i="10"/>
  <c r="C84" i="10"/>
  <c r="C83" i="10"/>
  <c r="B85" i="10"/>
  <c r="B84" i="10"/>
  <c r="F253" i="13"/>
  <c r="F272" i="13"/>
  <c r="H228" i="13"/>
  <c r="F228" i="13"/>
  <c r="D135" i="13"/>
  <c r="H210" i="13"/>
  <c r="H216" i="13" s="1"/>
  <c r="H298" i="13" s="1"/>
  <c r="H209" i="13"/>
  <c r="F217" i="13" s="1"/>
  <c r="H230" i="13" s="1"/>
  <c r="F210" i="13"/>
  <c r="H217" i="13" s="1"/>
  <c r="H277" i="13" s="1"/>
  <c r="G228" i="13" s="1"/>
  <c r="H214" i="13"/>
  <c r="F220" i="13" s="1"/>
  <c r="H213" i="13"/>
  <c r="H222" i="13" s="1"/>
  <c r="G230" i="13" s="1"/>
  <c r="F213" i="13"/>
  <c r="H220" i="13" s="1"/>
  <c r="H312" i="13" s="1"/>
  <c r="H315" i="13" s="1"/>
  <c r="H196" i="13"/>
  <c r="H204" i="13" s="1"/>
  <c r="H276" i="13" s="1"/>
  <c r="F268" i="13" s="1"/>
  <c r="H195" i="13"/>
  <c r="F204" i="13" s="1"/>
  <c r="G229" i="13" s="1"/>
  <c r="F195" i="13"/>
  <c r="F200" i="13" s="1"/>
  <c r="H294" i="13" s="1"/>
  <c r="H193" i="13"/>
  <c r="F199" i="13" s="1"/>
  <c r="H314" i="13" s="1"/>
  <c r="H194" i="13"/>
  <c r="H201" i="13" s="1"/>
  <c r="F229" i="13" s="1"/>
  <c r="F194" i="13"/>
  <c r="H199" i="13" s="1"/>
  <c r="H295" i="13" s="1"/>
  <c r="H211" i="13"/>
  <c r="H212" i="13"/>
  <c r="H218" i="13" s="1"/>
  <c r="F297" i="13" s="1"/>
  <c r="F212" i="13"/>
  <c r="H219" i="13" s="1"/>
  <c r="F230" i="13" s="1"/>
  <c r="H215" i="13"/>
  <c r="H221" i="13"/>
  <c r="H208" i="13"/>
  <c r="F221" i="13"/>
  <c r="H197" i="13"/>
  <c r="H203" i="13"/>
  <c r="H191" i="13"/>
  <c r="F203" i="13"/>
  <c r="H192" i="13"/>
  <c r="H198" i="13"/>
  <c r="F192" i="13"/>
  <c r="H202" i="13"/>
  <c r="H178" i="13"/>
  <c r="F186" i="13"/>
  <c r="F178" i="13"/>
  <c r="F182" i="13"/>
  <c r="H179" i="13"/>
  <c r="F187" i="13"/>
  <c r="F179" i="13"/>
  <c r="F183" i="13"/>
  <c r="H163" i="13"/>
  <c r="F171" i="13"/>
  <c r="F163" i="13"/>
  <c r="F167" i="13"/>
  <c r="H164" i="13"/>
  <c r="F172" i="13"/>
  <c r="F164" i="13"/>
  <c r="F168" i="13"/>
  <c r="F177" i="13"/>
  <c r="H185" i="13"/>
  <c r="F181" i="13"/>
  <c r="F185" i="13"/>
  <c r="F176" i="13"/>
  <c r="F180" i="13"/>
  <c r="F184" i="13"/>
  <c r="F162" i="13"/>
  <c r="H170" i="13"/>
  <c r="F166" i="13"/>
  <c r="F170" i="13"/>
  <c r="F161" i="13"/>
  <c r="H169" i="13"/>
  <c r="F169" i="13"/>
  <c r="F165" i="13"/>
  <c r="D139" i="13"/>
  <c r="F211" i="13" s="1"/>
  <c r="F218" i="13" s="1"/>
  <c r="F312" i="13" s="1"/>
  <c r="C139" i="13"/>
  <c r="B139" i="13"/>
  <c r="A139" i="13"/>
  <c r="A135" i="13"/>
  <c r="D145" i="13"/>
  <c r="F209" i="13" s="1"/>
  <c r="F216" i="13" s="1"/>
  <c r="H311" i="13" s="1"/>
  <c r="C145" i="13"/>
  <c r="F214" i="13" s="1"/>
  <c r="F222" i="13" s="1"/>
  <c r="H293" i="13" s="1"/>
  <c r="H229" i="13" s="1"/>
  <c r="B145" i="13"/>
  <c r="F196" i="13" s="1"/>
  <c r="H200" i="13" s="1"/>
  <c r="H313" i="13" s="1"/>
  <c r="A145" i="13"/>
  <c r="F193" i="13" s="1"/>
  <c r="F201" i="13" s="1"/>
  <c r="H292" i="13" s="1"/>
  <c r="F267" i="13" s="1"/>
  <c r="D130" i="13"/>
  <c r="C130" i="13"/>
  <c r="B130" i="13"/>
  <c r="A130" i="13"/>
  <c r="C135" i="13"/>
  <c r="B135" i="13"/>
  <c r="E118" i="1"/>
  <c r="E117" i="1"/>
  <c r="E116" i="1"/>
  <c r="D118" i="1"/>
  <c r="D117" i="1"/>
  <c r="D116" i="1"/>
  <c r="C118" i="1"/>
  <c r="C117" i="1"/>
  <c r="C116" i="1"/>
  <c r="B118" i="1"/>
  <c r="B117" i="1"/>
  <c r="B116" i="1"/>
  <c r="E113" i="1"/>
  <c r="E112" i="1"/>
  <c r="E111" i="1"/>
  <c r="D113" i="1"/>
  <c r="D112" i="1"/>
  <c r="D111" i="1"/>
  <c r="C113" i="1"/>
  <c r="C112" i="1"/>
  <c r="C111" i="1"/>
  <c r="B113" i="1"/>
  <c r="B112" i="1"/>
  <c r="B111" i="1"/>
  <c r="E106" i="1"/>
  <c r="E105" i="1"/>
  <c r="D107" i="1"/>
  <c r="D106" i="1"/>
  <c r="D105" i="1"/>
  <c r="C107" i="1"/>
  <c r="C106" i="1"/>
  <c r="C105" i="1"/>
  <c r="B107" i="1"/>
  <c r="B106" i="1"/>
  <c r="B105" i="1"/>
  <c r="E102" i="1"/>
  <c r="H137" i="1" s="1"/>
  <c r="E101" i="1"/>
  <c r="E100" i="1"/>
  <c r="D102" i="1"/>
  <c r="D101" i="1"/>
  <c r="D100" i="1"/>
  <c r="C102" i="1"/>
  <c r="C101" i="1"/>
  <c r="C100" i="1"/>
  <c r="B102" i="1"/>
  <c r="B101" i="1"/>
  <c r="B100" i="1"/>
  <c r="E122" i="11"/>
  <c r="C122" i="11"/>
  <c r="B121" i="11"/>
  <c r="C115" i="11"/>
  <c r="E111" i="11"/>
  <c r="B111" i="11"/>
  <c r="D104" i="11"/>
  <c r="C104" i="11"/>
  <c r="B104" i="11"/>
  <c r="C120" i="11"/>
  <c r="D120" i="11"/>
  <c r="E120" i="11"/>
  <c r="C121" i="11"/>
  <c r="D121" i="11"/>
  <c r="E121" i="11"/>
  <c r="B122" i="11"/>
  <c r="D122" i="11"/>
  <c r="B120" i="11"/>
  <c r="E115" i="11"/>
  <c r="B116" i="11"/>
  <c r="C116" i="11"/>
  <c r="D116" i="11"/>
  <c r="E116" i="11"/>
  <c r="F186" i="11" s="1"/>
  <c r="B117" i="11"/>
  <c r="C117" i="11"/>
  <c r="D117" i="11"/>
  <c r="E117" i="11"/>
  <c r="C109" i="11"/>
  <c r="D109" i="11"/>
  <c r="E109" i="11"/>
  <c r="B110" i="11"/>
  <c r="C110" i="11"/>
  <c r="D110" i="11"/>
  <c r="E110" i="11"/>
  <c r="C111" i="11"/>
  <c r="B109" i="11"/>
  <c r="E104" i="11"/>
  <c r="B105" i="11"/>
  <c r="C105" i="11"/>
  <c r="D105" i="11"/>
  <c r="E105" i="11"/>
  <c r="B106" i="11"/>
  <c r="C106" i="11"/>
  <c r="D106" i="11"/>
  <c r="E106" i="11"/>
  <c r="E114" i="8"/>
  <c r="D114" i="8"/>
  <c r="C114" i="8"/>
  <c r="B114" i="8"/>
  <c r="E113" i="8"/>
  <c r="D113" i="8"/>
  <c r="C113" i="8"/>
  <c r="E112" i="8"/>
  <c r="D112" i="8"/>
  <c r="C112" i="8"/>
  <c r="B112" i="8"/>
  <c r="E109" i="8"/>
  <c r="D109" i="8"/>
  <c r="C109" i="8"/>
  <c r="B109" i="8"/>
  <c r="E108" i="8"/>
  <c r="C108" i="8"/>
  <c r="B108" i="8"/>
  <c r="E107" i="8"/>
  <c r="D107" i="8"/>
  <c r="C107" i="8"/>
  <c r="B107" i="8"/>
  <c r="E103" i="8"/>
  <c r="D103" i="8"/>
  <c r="C103" i="8"/>
  <c r="B103" i="8"/>
  <c r="E102" i="8"/>
  <c r="D102" i="8"/>
  <c r="C102" i="8"/>
  <c r="B102" i="8"/>
  <c r="E101" i="8"/>
  <c r="D101" i="8"/>
  <c r="C101" i="8"/>
  <c r="B101" i="8"/>
  <c r="E98" i="8"/>
  <c r="D98" i="8"/>
  <c r="C98" i="8"/>
  <c r="B98" i="8"/>
  <c r="E97" i="8"/>
  <c r="D97" i="8"/>
  <c r="C97" i="8"/>
  <c r="B97" i="8"/>
  <c r="E96" i="8"/>
  <c r="D96" i="8"/>
  <c r="C96" i="8"/>
  <c r="B96" i="8"/>
  <c r="E120" i="6"/>
  <c r="E119" i="6"/>
  <c r="E118" i="6"/>
  <c r="D120" i="6"/>
  <c r="D119" i="6"/>
  <c r="D118" i="6"/>
  <c r="C120" i="6"/>
  <c r="C119" i="6"/>
  <c r="C118" i="6"/>
  <c r="B120" i="6"/>
  <c r="B119" i="6"/>
  <c r="B118" i="6"/>
  <c r="C113" i="6"/>
  <c r="E109" i="6"/>
  <c r="C114" i="6"/>
  <c r="E108" i="6"/>
  <c r="C115" i="6"/>
  <c r="E107" i="6"/>
  <c r="B113" i="6"/>
  <c r="D109" i="6"/>
  <c r="B114" i="6"/>
  <c r="D108" i="6"/>
  <c r="B115" i="6"/>
  <c r="D107" i="6"/>
  <c r="E114" i="6"/>
  <c r="C108" i="6"/>
  <c r="E115" i="6"/>
  <c r="C107" i="6"/>
  <c r="D113" i="6"/>
  <c r="B109" i="6"/>
  <c r="D114" i="6"/>
  <c r="B108" i="6"/>
  <c r="D115" i="6"/>
  <c r="B107" i="6"/>
  <c r="E104" i="6"/>
  <c r="E103" i="6"/>
  <c r="E102" i="6"/>
  <c r="D104" i="6"/>
  <c r="D103" i="6"/>
  <c r="D102" i="6"/>
  <c r="C104" i="6"/>
  <c r="C103" i="6"/>
  <c r="C102" i="6"/>
  <c r="B104" i="6"/>
  <c r="B103" i="6"/>
  <c r="B102" i="6"/>
  <c r="E114" i="3"/>
  <c r="D114" i="3"/>
  <c r="C114" i="3"/>
  <c r="B114" i="3"/>
  <c r="E113" i="3"/>
  <c r="D113" i="3"/>
  <c r="C113" i="3"/>
  <c r="B113" i="3"/>
  <c r="E112" i="3"/>
  <c r="D112" i="3"/>
  <c r="C112" i="3"/>
  <c r="B112" i="3"/>
  <c r="E109" i="3"/>
  <c r="D109" i="3"/>
  <c r="C109" i="3"/>
  <c r="B109" i="3"/>
  <c r="E108" i="3"/>
  <c r="D108" i="3"/>
  <c r="C108" i="3"/>
  <c r="B108" i="3"/>
  <c r="E107" i="3"/>
  <c r="D107" i="3"/>
  <c r="C107" i="3"/>
  <c r="B107" i="3"/>
  <c r="E103" i="3"/>
  <c r="D103" i="3"/>
  <c r="C103" i="3"/>
  <c r="B103" i="3"/>
  <c r="E102" i="3"/>
  <c r="D102" i="3"/>
  <c r="C102" i="3"/>
  <c r="B102" i="3"/>
  <c r="E101" i="3"/>
  <c r="D101" i="3"/>
  <c r="C101" i="3"/>
  <c r="B101" i="3"/>
  <c r="E98" i="3"/>
  <c r="D98" i="3"/>
  <c r="C98" i="3"/>
  <c r="B98" i="3"/>
  <c r="E97" i="3"/>
  <c r="D97" i="3"/>
  <c r="C97" i="3"/>
  <c r="B97" i="3"/>
  <c r="E96" i="3"/>
  <c r="D96" i="3"/>
  <c r="C96" i="3"/>
  <c r="B96" i="3"/>
  <c r="D129" i="5"/>
  <c r="H138" i="5" s="1"/>
  <c r="D128" i="5"/>
  <c r="H137" i="5" s="1"/>
  <c r="D127" i="5"/>
  <c r="F137" i="5" s="1"/>
  <c r="D126" i="5"/>
  <c r="F138" i="5" s="1"/>
  <c r="C129" i="5"/>
  <c r="H135" i="5" s="1"/>
  <c r="C128" i="5"/>
  <c r="H136" i="5" s="1"/>
  <c r="C127" i="5"/>
  <c r="F136" i="5" s="1"/>
  <c r="C126" i="5"/>
  <c r="F135" i="5" s="1"/>
  <c r="B128" i="5"/>
  <c r="B127" i="5"/>
  <c r="B126" i="5"/>
  <c r="E83" i="5"/>
  <c r="E82" i="5"/>
  <c r="E81" i="5"/>
  <c r="D83" i="5"/>
  <c r="D82" i="5"/>
  <c r="D81" i="5"/>
  <c r="C83" i="5"/>
  <c r="C82" i="5"/>
  <c r="C81" i="5"/>
  <c r="B83" i="5"/>
  <c r="B82" i="5"/>
  <c r="F114" i="5"/>
  <c r="F110" i="5"/>
  <c r="H111" i="5"/>
  <c r="H107" i="5"/>
  <c r="H115" i="5"/>
  <c r="F107" i="5"/>
  <c r="F115" i="5"/>
  <c r="F111" i="5"/>
  <c r="H96" i="5"/>
  <c r="F88" i="5"/>
  <c r="F96" i="5"/>
  <c r="F92" i="5"/>
  <c r="H113" i="5"/>
  <c r="H109" i="5"/>
  <c r="H117" i="5"/>
  <c r="F109" i="5"/>
  <c r="F117" i="5"/>
  <c r="F113" i="5"/>
  <c r="H94" i="5"/>
  <c r="H90" i="5"/>
  <c r="H98" i="5"/>
  <c r="F90" i="5"/>
  <c r="F98" i="5"/>
  <c r="F94" i="5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18" i="14"/>
  <c r="B104" i="14"/>
  <c r="B105" i="14"/>
  <c r="B106" i="14"/>
  <c r="B107" i="14"/>
  <c r="B108" i="14"/>
  <c r="B109" i="14"/>
  <c r="B110" i="14"/>
  <c r="B111" i="14"/>
  <c r="B112" i="14"/>
  <c r="B113" i="14"/>
  <c r="B114" i="14"/>
  <c r="B103" i="14"/>
  <c r="B88" i="14"/>
  <c r="B89" i="14"/>
  <c r="B90" i="14"/>
  <c r="B91" i="14"/>
  <c r="B92" i="14"/>
  <c r="B93" i="14"/>
  <c r="B94" i="14"/>
  <c r="B95" i="14"/>
  <c r="B96" i="14"/>
  <c r="B97" i="14"/>
  <c r="B87" i="14"/>
  <c r="B37" i="14"/>
  <c r="B38" i="14"/>
  <c r="B39" i="14"/>
  <c r="B40" i="14"/>
  <c r="B41" i="14"/>
  <c r="B36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17" i="14"/>
  <c r="B73" i="14"/>
  <c r="B74" i="14"/>
  <c r="B75" i="14"/>
  <c r="B76" i="14"/>
  <c r="B77" i="14"/>
  <c r="B78" i="14"/>
  <c r="B79" i="14"/>
  <c r="B80" i="14"/>
  <c r="B81" i="14"/>
  <c r="B82" i="14"/>
  <c r="B83" i="14"/>
  <c r="B72" i="14"/>
  <c r="N155" i="14"/>
  <c r="N154" i="14"/>
  <c r="N151" i="14"/>
  <c r="N150" i="14"/>
  <c r="N142" i="14"/>
  <c r="N141" i="14"/>
  <c r="N138" i="14"/>
  <c r="N137" i="14"/>
  <c r="N114" i="14"/>
  <c r="N113" i="14"/>
  <c r="N112" i="14"/>
  <c r="N111" i="14"/>
  <c r="N110" i="14"/>
  <c r="N109" i="14"/>
  <c r="N108" i="14"/>
  <c r="N107" i="14"/>
  <c r="N106" i="14"/>
  <c r="N105" i="14"/>
  <c r="N104" i="14"/>
  <c r="N103" i="14"/>
  <c r="N153" i="14"/>
  <c r="N152" i="14"/>
  <c r="N149" i="14"/>
  <c r="N148" i="14"/>
  <c r="N144" i="14"/>
  <c r="N143" i="14"/>
  <c r="N140" i="14"/>
  <c r="N139" i="14"/>
  <c r="N131" i="14"/>
  <c r="N130" i="14"/>
  <c r="N129" i="14"/>
  <c r="N128" i="14"/>
  <c r="N127" i="14"/>
  <c r="N126" i="14"/>
  <c r="N125" i="14"/>
  <c r="N124" i="14"/>
  <c r="N123" i="14"/>
  <c r="N122" i="14"/>
  <c r="N121" i="14"/>
  <c r="N120" i="14"/>
  <c r="N119" i="14"/>
  <c r="N118" i="14"/>
  <c r="N88" i="14"/>
  <c r="N89" i="14"/>
  <c r="N90" i="14"/>
  <c r="N91" i="14"/>
  <c r="N92" i="14"/>
  <c r="N93" i="14"/>
  <c r="N94" i="14"/>
  <c r="N95" i="14"/>
  <c r="N96" i="14"/>
  <c r="N97" i="14"/>
  <c r="N87" i="14"/>
  <c r="N83" i="14"/>
  <c r="N82" i="14"/>
  <c r="N81" i="14"/>
  <c r="N80" i="14"/>
  <c r="N79" i="14"/>
  <c r="N78" i="14"/>
  <c r="N77" i="14"/>
  <c r="N76" i="14"/>
  <c r="N75" i="14"/>
  <c r="N74" i="14"/>
  <c r="N73" i="14"/>
  <c r="N72" i="14"/>
  <c r="D15" i="14"/>
  <c r="A17" i="14"/>
  <c r="F17" i="14"/>
  <c r="F23" i="14" s="1"/>
  <c r="F30" i="14" s="1"/>
  <c r="B65" i="14" s="1"/>
  <c r="H17" i="14"/>
  <c r="F24" i="14" s="1"/>
  <c r="H29" i="14" s="1"/>
  <c r="C65" i="14" s="1"/>
  <c r="L17" i="14"/>
  <c r="AT4" i="12" s="1"/>
  <c r="A18" i="14"/>
  <c r="F18" i="14"/>
  <c r="H23" i="14" s="1"/>
  <c r="D58" i="14" s="1"/>
  <c r="H18" i="14"/>
  <c r="H24" i="14" s="1"/>
  <c r="B68" i="14" s="1"/>
  <c r="L18" i="14"/>
  <c r="AT5" i="12" s="1"/>
  <c r="A19" i="14"/>
  <c r="F19" i="14"/>
  <c r="F25" i="14" s="1"/>
  <c r="E58" i="14" s="1"/>
  <c r="H19" i="14"/>
  <c r="F26" i="14" s="1"/>
  <c r="H30" i="14" s="1"/>
  <c r="C60" i="14" s="1"/>
  <c r="L19" i="14"/>
  <c r="AT6" i="12" s="1"/>
  <c r="A20" i="14"/>
  <c r="F20" i="14"/>
  <c r="H25" i="14" s="1"/>
  <c r="F29" i="14" s="1"/>
  <c r="B60" i="14" s="1"/>
  <c r="H20" i="14"/>
  <c r="H26" i="14" s="1"/>
  <c r="C68" i="14" s="1"/>
  <c r="L20" i="14"/>
  <c r="AT7" i="12" s="1"/>
  <c r="A21" i="14"/>
  <c r="F21" i="14"/>
  <c r="F28" i="14" s="1"/>
  <c r="F32" i="14" s="1"/>
  <c r="C59" i="14" s="1"/>
  <c r="H21" i="14"/>
  <c r="F27" i="14" s="1"/>
  <c r="F31" i="14" s="1"/>
  <c r="B59" i="14" s="1"/>
  <c r="L21" i="14"/>
  <c r="AT8" i="12" s="1"/>
  <c r="A22" i="14"/>
  <c r="F22" i="14"/>
  <c r="H27" i="14" s="1"/>
  <c r="E59" i="14" s="1"/>
  <c r="L22" i="14"/>
  <c r="AT9" i="12" s="1"/>
  <c r="A23" i="14"/>
  <c r="L23" i="14"/>
  <c r="AT10" i="12" s="1"/>
  <c r="A24" i="14"/>
  <c r="L24" i="14"/>
  <c r="AT11" i="12" s="1"/>
  <c r="A25" i="14"/>
  <c r="L25" i="14"/>
  <c r="AT12" i="12" s="1"/>
  <c r="A26" i="14"/>
  <c r="L26" i="14"/>
  <c r="AT13" i="12" s="1"/>
  <c r="A27" i="14"/>
  <c r="L27" i="14"/>
  <c r="AT14" i="12" s="1"/>
  <c r="A28" i="14"/>
  <c r="L28" i="14"/>
  <c r="AT15" i="12" s="1"/>
  <c r="A29" i="14"/>
  <c r="L29" i="14"/>
  <c r="AT16" i="12" s="1"/>
  <c r="A30" i="14"/>
  <c r="L30" i="14"/>
  <c r="AT17" i="12" s="1"/>
  <c r="A31" i="14"/>
  <c r="L31" i="14"/>
  <c r="AT18" i="12" s="1"/>
  <c r="A32" i="14"/>
  <c r="L32" i="14"/>
  <c r="AT19" i="12" s="1"/>
  <c r="D34" i="14"/>
  <c r="D41" i="14" s="1"/>
  <c r="A36" i="14"/>
  <c r="F36" i="14"/>
  <c r="H36" i="14"/>
  <c r="L36" i="14"/>
  <c r="AS4" i="12" s="1"/>
  <c r="A37" i="14"/>
  <c r="F37" i="14"/>
  <c r="F45" i="14" s="1"/>
  <c r="H31" i="14" s="1"/>
  <c r="B66" i="14" s="1"/>
  <c r="H97" i="14" s="1"/>
  <c r="H37" i="14"/>
  <c r="F46" i="14" s="1"/>
  <c r="D59" i="14" s="1"/>
  <c r="L37" i="14"/>
  <c r="AS5" i="12" s="1"/>
  <c r="A38" i="14"/>
  <c r="F38" i="14"/>
  <c r="H46" i="14" s="1"/>
  <c r="H32" i="14" s="1"/>
  <c r="C66" i="14" s="1"/>
  <c r="H38" i="14"/>
  <c r="H45" i="14" s="1"/>
  <c r="C67" i="14" s="1"/>
  <c r="L38" i="14"/>
  <c r="AS6" i="12" s="1"/>
  <c r="A39" i="14"/>
  <c r="F39" i="14"/>
  <c r="F47" i="14" s="1"/>
  <c r="C58" i="14" s="1"/>
  <c r="H39" i="14"/>
  <c r="F49" i="14" s="1"/>
  <c r="H52" i="14" s="1"/>
  <c r="B64" i="14" s="1"/>
  <c r="L39" i="14"/>
  <c r="AS7" i="12" s="1"/>
  <c r="A40" i="14"/>
  <c r="F40" i="14"/>
  <c r="H47" i="14" s="1"/>
  <c r="F51" i="14" s="1"/>
  <c r="D60" i="14" s="1"/>
  <c r="H40" i="14"/>
  <c r="H49" i="14" s="1"/>
  <c r="C69" i="14" s="1"/>
  <c r="L40" i="14"/>
  <c r="AS8" i="12" s="1"/>
  <c r="A41" i="14"/>
  <c r="F48" i="14"/>
  <c r="H48" i="14"/>
  <c r="L41" i="14"/>
  <c r="AS9" i="12" s="1"/>
  <c r="D43" i="14"/>
  <c r="D52" i="14" s="1"/>
  <c r="A45" i="14"/>
  <c r="L45" i="14"/>
  <c r="AR11" i="12" s="1"/>
  <c r="A46" i="14"/>
  <c r="L46" i="14"/>
  <c r="AR12" i="12" s="1"/>
  <c r="A47" i="14"/>
  <c r="L47" i="14"/>
  <c r="AR13" i="12" s="1"/>
  <c r="A48" i="14"/>
  <c r="F41" i="14"/>
  <c r="H41" i="14"/>
  <c r="L48" i="14"/>
  <c r="AR14" i="12" s="1"/>
  <c r="A49" i="14"/>
  <c r="L49" i="14"/>
  <c r="AR15" i="12" s="1"/>
  <c r="A51" i="14"/>
  <c r="L51" i="14"/>
  <c r="AR17" i="12" s="1"/>
  <c r="A52" i="14"/>
  <c r="L52" i="14"/>
  <c r="AR18" i="12" s="1"/>
  <c r="D70" i="14"/>
  <c r="A72" i="14"/>
  <c r="L72" i="14"/>
  <c r="AF28" i="12" s="1"/>
  <c r="A73" i="14"/>
  <c r="L73" i="14"/>
  <c r="AF29" i="12" s="1"/>
  <c r="A74" i="14"/>
  <c r="L74" i="14"/>
  <c r="A75" i="14"/>
  <c r="L75" i="14"/>
  <c r="A76" i="14"/>
  <c r="L76" i="14"/>
  <c r="A77" i="14"/>
  <c r="L77" i="14"/>
  <c r="A78" i="14"/>
  <c r="L78" i="14"/>
  <c r="A79" i="14"/>
  <c r="L79" i="14"/>
  <c r="A80" i="14"/>
  <c r="L80" i="14"/>
  <c r="A81" i="14"/>
  <c r="L81" i="14"/>
  <c r="A82" i="14"/>
  <c r="L82" i="14"/>
  <c r="AF38" i="12" s="1"/>
  <c r="A83" i="14"/>
  <c r="L83" i="14"/>
  <c r="AF39" i="12" s="1"/>
  <c r="D85" i="14"/>
  <c r="A87" i="14"/>
  <c r="L87" i="14"/>
  <c r="AT28" i="12" s="1"/>
  <c r="A88" i="14"/>
  <c r="L88" i="14"/>
  <c r="AT29" i="12" s="1"/>
  <c r="A89" i="14"/>
  <c r="L89" i="14"/>
  <c r="AT30" i="12" s="1"/>
  <c r="A90" i="14"/>
  <c r="L90" i="14"/>
  <c r="AT31" i="12" s="1"/>
  <c r="A91" i="14"/>
  <c r="L91" i="14"/>
  <c r="AT32" i="12" s="1"/>
  <c r="A92" i="14"/>
  <c r="L92" i="14"/>
  <c r="AT33" i="12" s="1"/>
  <c r="A93" i="14"/>
  <c r="L93" i="14"/>
  <c r="A94" i="14"/>
  <c r="L94" i="14"/>
  <c r="A95" i="14"/>
  <c r="L95" i="14"/>
  <c r="A96" i="14"/>
  <c r="L96" i="14"/>
  <c r="A97" i="14"/>
  <c r="L97" i="14"/>
  <c r="D101" i="14"/>
  <c r="A103" i="14"/>
  <c r="L103" i="14"/>
  <c r="A104" i="14"/>
  <c r="L104" i="14"/>
  <c r="AF54" i="12" s="1"/>
  <c r="A105" i="14"/>
  <c r="L105" i="14"/>
  <c r="AF55" i="12" s="1"/>
  <c r="A106" i="14"/>
  <c r="L106" i="14"/>
  <c r="AF56" i="12" s="1"/>
  <c r="A107" i="14"/>
  <c r="L107" i="14"/>
  <c r="AF57" i="12" s="1"/>
  <c r="A108" i="14"/>
  <c r="L108" i="14"/>
  <c r="AF58" i="12" s="1"/>
  <c r="A109" i="14"/>
  <c r="L109" i="14"/>
  <c r="AF59" i="12" s="1"/>
  <c r="A110" i="14"/>
  <c r="L110" i="14"/>
  <c r="AF60" i="12" s="1"/>
  <c r="A111" i="14"/>
  <c r="L111" i="14"/>
  <c r="AF61" i="12" s="1"/>
  <c r="A112" i="14"/>
  <c r="L112" i="14"/>
  <c r="A113" i="14"/>
  <c r="L113" i="14"/>
  <c r="A114" i="14"/>
  <c r="L114" i="14"/>
  <c r="D116" i="14"/>
  <c r="A118" i="14"/>
  <c r="L118" i="14"/>
  <c r="A119" i="14"/>
  <c r="L119" i="14"/>
  <c r="A120" i="14"/>
  <c r="L120" i="14"/>
  <c r="A121" i="14"/>
  <c r="L121" i="14"/>
  <c r="AT55" i="12" s="1"/>
  <c r="A122" i="14"/>
  <c r="L122" i="14"/>
  <c r="AT56" i="12" s="1"/>
  <c r="A123" i="14"/>
  <c r="L123" i="14"/>
  <c r="AT57" i="12" s="1"/>
  <c r="A124" i="14"/>
  <c r="L124" i="14"/>
  <c r="AT58" i="12" s="1"/>
  <c r="A125" i="14"/>
  <c r="L125" i="14"/>
  <c r="AT59" i="12" s="1"/>
  <c r="A126" i="14"/>
  <c r="L126" i="14"/>
  <c r="AT60" i="12" s="1"/>
  <c r="A127" i="14"/>
  <c r="L127" i="14"/>
  <c r="AT61" i="12" s="1"/>
  <c r="A128" i="14"/>
  <c r="L128" i="14"/>
  <c r="AT62" i="12" s="1"/>
  <c r="A129" i="14"/>
  <c r="L129" i="14"/>
  <c r="AT63" i="12" s="1"/>
  <c r="A130" i="14"/>
  <c r="L130" i="14"/>
  <c r="AT64" i="12" s="1"/>
  <c r="A131" i="14"/>
  <c r="L131" i="14"/>
  <c r="AT65" i="12" s="1"/>
  <c r="D135" i="14"/>
  <c r="A137" i="14"/>
  <c r="L137" i="14"/>
  <c r="A138" i="14"/>
  <c r="L138" i="14"/>
  <c r="A139" i="14"/>
  <c r="L139" i="14"/>
  <c r="A140" i="14"/>
  <c r="L140" i="14"/>
  <c r="A141" i="14"/>
  <c r="L141" i="14"/>
  <c r="A142" i="14"/>
  <c r="L142" i="14"/>
  <c r="A143" i="14"/>
  <c r="L143" i="14"/>
  <c r="A144" i="14"/>
  <c r="L144" i="14"/>
  <c r="D146" i="14"/>
  <c r="A148" i="14"/>
  <c r="L148" i="14"/>
  <c r="AF73" i="12" s="1"/>
  <c r="A149" i="14"/>
  <c r="L149" i="14"/>
  <c r="AF74" i="12" s="1"/>
  <c r="A150" i="14"/>
  <c r="L150" i="14"/>
  <c r="AF75" i="12" s="1"/>
  <c r="A151" i="14"/>
  <c r="L151" i="14"/>
  <c r="AF76" i="12" s="1"/>
  <c r="A154" i="14"/>
  <c r="L154" i="14"/>
  <c r="AF79" i="12" s="1"/>
  <c r="A155" i="14"/>
  <c r="L155" i="14"/>
  <c r="AF80" i="12" s="1"/>
  <c r="A152" i="14"/>
  <c r="L152" i="14"/>
  <c r="AF77" i="12" s="1"/>
  <c r="A153" i="14"/>
  <c r="L153" i="14"/>
  <c r="AF78" i="12" s="1"/>
  <c r="N280" i="8"/>
  <c r="B231" i="5"/>
  <c r="B225" i="5"/>
  <c r="B295" i="4"/>
  <c r="B298" i="3"/>
  <c r="B291" i="2"/>
  <c r="B285" i="2"/>
  <c r="B293" i="13"/>
  <c r="B294" i="13"/>
  <c r="B295" i="13"/>
  <c r="B296" i="13"/>
  <c r="B297" i="13"/>
  <c r="B298" i="13"/>
  <c r="B299" i="13"/>
  <c r="B300" i="13"/>
  <c r="B301" i="13"/>
  <c r="B302" i="13"/>
  <c r="D35" i="6"/>
  <c r="D90" i="6"/>
  <c r="D92" i="6" s="1"/>
  <c r="D76" i="6"/>
  <c r="D78" i="6" s="1"/>
  <c r="B204" i="13"/>
  <c r="D288" i="1"/>
  <c r="D279" i="1"/>
  <c r="D179" i="5"/>
  <c r="D164" i="5"/>
  <c r="D149" i="5"/>
  <c r="D154" i="8"/>
  <c r="D135" i="8"/>
  <c r="D54" i="8"/>
  <c r="D35" i="8"/>
  <c r="D23" i="11"/>
  <c r="B27" i="11"/>
  <c r="B25" i="11"/>
  <c r="D290" i="13"/>
  <c r="D274" i="13"/>
  <c r="B288" i="13"/>
  <c r="B285" i="13"/>
  <c r="B284" i="13"/>
  <c r="B282" i="13"/>
  <c r="B281" i="13"/>
  <c r="B279" i="13"/>
  <c r="B278" i="13"/>
  <c r="B277" i="13"/>
  <c r="B276" i="13"/>
  <c r="A284" i="13"/>
  <c r="L284" i="13"/>
  <c r="N284" i="13"/>
  <c r="D81" i="11"/>
  <c r="D225" i="7"/>
  <c r="D224" i="3"/>
  <c r="D173" i="7"/>
  <c r="D175" i="7" s="1"/>
  <c r="D143" i="11"/>
  <c r="D291" i="6"/>
  <c r="D281" i="6"/>
  <c r="D287" i="6" s="1"/>
  <c r="D271" i="6"/>
  <c r="D300" i="6"/>
  <c r="B309" i="6"/>
  <c r="B308" i="6"/>
  <c r="B307" i="6"/>
  <c r="B306" i="6"/>
  <c r="B305" i="6"/>
  <c r="B304" i="6"/>
  <c r="B303" i="6"/>
  <c r="B302" i="6"/>
  <c r="B298" i="6"/>
  <c r="B297" i="6"/>
  <c r="B296" i="6"/>
  <c r="B295" i="6"/>
  <c r="B294" i="6"/>
  <c r="B293" i="6"/>
  <c r="B289" i="6"/>
  <c r="B288" i="6"/>
  <c r="B287" i="6"/>
  <c r="B286" i="6"/>
  <c r="B285" i="6"/>
  <c r="B284" i="6"/>
  <c r="B283" i="6"/>
  <c r="B279" i="6"/>
  <c r="B278" i="6"/>
  <c r="B277" i="6"/>
  <c r="B276" i="6"/>
  <c r="B275" i="6"/>
  <c r="B274" i="6"/>
  <c r="B273" i="6"/>
  <c r="B258" i="6"/>
  <c r="B257" i="6"/>
  <c r="B256" i="6"/>
  <c r="B255" i="6"/>
  <c r="B254" i="6"/>
  <c r="B253" i="6"/>
  <c r="B267" i="6"/>
  <c r="B266" i="6"/>
  <c r="B265" i="6"/>
  <c r="B264" i="6"/>
  <c r="B263" i="6"/>
  <c r="B262" i="6"/>
  <c r="D260" i="6"/>
  <c r="D251" i="6"/>
  <c r="B239" i="6"/>
  <c r="B240" i="6"/>
  <c r="B241" i="6"/>
  <c r="B242" i="6"/>
  <c r="B243" i="6"/>
  <c r="B244" i="6"/>
  <c r="B245" i="6"/>
  <c r="B246" i="6"/>
  <c r="B247" i="6"/>
  <c r="B248" i="6"/>
  <c r="B249" i="6"/>
  <c r="B238" i="6"/>
  <c r="D236" i="6"/>
  <c r="D221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D206" i="6"/>
  <c r="D195" i="6"/>
  <c r="D182" i="6"/>
  <c r="B180" i="6"/>
  <c r="B179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D163" i="6"/>
  <c r="B161" i="6"/>
  <c r="B160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D144" i="6"/>
  <c r="B142" i="6"/>
  <c r="B141" i="6"/>
  <c r="B138" i="6"/>
  <c r="B134" i="6"/>
  <c r="B133" i="6"/>
  <c r="B132" i="6"/>
  <c r="B131" i="6"/>
  <c r="B130" i="6"/>
  <c r="B129" i="6"/>
  <c r="B128" i="6"/>
  <c r="B127" i="6"/>
  <c r="B126" i="6"/>
  <c r="B125" i="6"/>
  <c r="B124" i="6"/>
  <c r="D136" i="6"/>
  <c r="D122" i="6"/>
  <c r="B74" i="6"/>
  <c r="B73" i="6"/>
  <c r="B72" i="6"/>
  <c r="B70" i="6"/>
  <c r="B66" i="6"/>
  <c r="B65" i="6"/>
  <c r="B64" i="6"/>
  <c r="B63" i="6"/>
  <c r="B62" i="6"/>
  <c r="B61" i="6"/>
  <c r="B60" i="6"/>
  <c r="B59" i="6"/>
  <c r="B58" i="6"/>
  <c r="B57" i="6"/>
  <c r="B56" i="6"/>
  <c r="B52" i="6"/>
  <c r="B51" i="6"/>
  <c r="B50" i="6"/>
  <c r="B48" i="6"/>
  <c r="D54" i="6"/>
  <c r="D68" i="6"/>
  <c r="B38" i="6"/>
  <c r="B39" i="6"/>
  <c r="B40" i="6"/>
  <c r="B41" i="6"/>
  <c r="B42" i="6"/>
  <c r="B43" i="6"/>
  <c r="B44" i="6"/>
  <c r="B45" i="6"/>
  <c r="B46" i="6"/>
  <c r="B47" i="6"/>
  <c r="B37" i="6"/>
  <c r="B33" i="6"/>
  <c r="B32" i="6"/>
  <c r="B31" i="6"/>
  <c r="B29" i="6"/>
  <c r="B28" i="6"/>
  <c r="B27" i="6"/>
  <c r="B26" i="6"/>
  <c r="B25" i="6"/>
  <c r="B24" i="6"/>
  <c r="B23" i="6"/>
  <c r="B22" i="6"/>
  <c r="B21" i="6"/>
  <c r="B20" i="6"/>
  <c r="B19" i="6"/>
  <c r="B18" i="6"/>
  <c r="B365" i="13"/>
  <c r="B366" i="13"/>
  <c r="B367" i="13"/>
  <c r="B368" i="13"/>
  <c r="B369" i="13"/>
  <c r="B370" i="13"/>
  <c r="B371" i="13"/>
  <c r="B364" i="13"/>
  <c r="B356" i="13"/>
  <c r="B357" i="13"/>
  <c r="B358" i="13"/>
  <c r="B359" i="13"/>
  <c r="B360" i="13"/>
  <c r="B355" i="13"/>
  <c r="B347" i="13"/>
  <c r="B348" i="13"/>
  <c r="B349" i="13"/>
  <c r="B350" i="13"/>
  <c r="B351" i="13"/>
  <c r="B346" i="13"/>
  <c r="B338" i="13"/>
  <c r="B339" i="13"/>
  <c r="B340" i="13"/>
  <c r="B341" i="13"/>
  <c r="B342" i="13"/>
  <c r="B337" i="13"/>
  <c r="B329" i="13"/>
  <c r="B330" i="13"/>
  <c r="B331" i="13"/>
  <c r="B332" i="13"/>
  <c r="B333" i="13"/>
  <c r="B328" i="13"/>
  <c r="D344" i="13"/>
  <c r="D346" i="13" s="1"/>
  <c r="D335" i="13"/>
  <c r="D337" i="13" s="1"/>
  <c r="D326" i="13"/>
  <c r="D353" i="13"/>
  <c r="D362" i="13"/>
  <c r="B312" i="13"/>
  <c r="B313" i="13"/>
  <c r="B314" i="13"/>
  <c r="B315" i="13"/>
  <c r="B316" i="13"/>
  <c r="B317" i="13"/>
  <c r="B318" i="13"/>
  <c r="B319" i="13"/>
  <c r="B320" i="13"/>
  <c r="B321" i="13"/>
  <c r="B322" i="13"/>
  <c r="B311" i="13"/>
  <c r="B292" i="13"/>
  <c r="D309" i="13"/>
  <c r="D322" i="13" s="1"/>
  <c r="D257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59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42" i="13"/>
  <c r="D240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08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191" i="13"/>
  <c r="B177" i="13"/>
  <c r="B178" i="13"/>
  <c r="B179" i="13"/>
  <c r="B180" i="13"/>
  <c r="B181" i="13"/>
  <c r="B182" i="13"/>
  <c r="B183" i="13"/>
  <c r="B184" i="13"/>
  <c r="B185" i="13"/>
  <c r="B186" i="13"/>
  <c r="B187" i="13"/>
  <c r="B176" i="13"/>
  <c r="B172" i="13"/>
  <c r="B171" i="13"/>
  <c r="B170" i="13"/>
  <c r="B169" i="13"/>
  <c r="B168" i="13"/>
  <c r="B167" i="13"/>
  <c r="B166" i="13"/>
  <c r="B165" i="13"/>
  <c r="B164" i="13"/>
  <c r="B163" i="13"/>
  <c r="B162" i="13"/>
  <c r="B161" i="13"/>
  <c r="D206" i="13"/>
  <c r="D222" i="13" s="1"/>
  <c r="D189" i="13"/>
  <c r="D174" i="13"/>
  <c r="D159" i="13"/>
  <c r="B124" i="13"/>
  <c r="B121" i="13"/>
  <c r="B120" i="13"/>
  <c r="B119" i="13"/>
  <c r="B118" i="13"/>
  <c r="B117" i="13"/>
  <c r="B116" i="13"/>
  <c r="B115" i="13"/>
  <c r="B114" i="13"/>
  <c r="B113" i="13"/>
  <c r="B112" i="13"/>
  <c r="B111" i="13"/>
  <c r="B110" i="13"/>
  <c r="B109" i="13"/>
  <c r="B108" i="13"/>
  <c r="B104" i="13"/>
  <c r="B103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3" i="13"/>
  <c r="B82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3" i="13"/>
  <c r="B62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3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D27" i="13"/>
  <c r="D46" i="13"/>
  <c r="D86" i="13"/>
  <c r="D106" i="13"/>
  <c r="D66" i="13"/>
  <c r="D68" i="13" s="1"/>
  <c r="H297" i="13"/>
  <c r="B398" i="13"/>
  <c r="B397" i="13"/>
  <c r="B396" i="13"/>
  <c r="B395" i="13"/>
  <c r="D394" i="13"/>
  <c r="B394" i="13"/>
  <c r="D393" i="13"/>
  <c r="B393" i="13"/>
  <c r="D392" i="13"/>
  <c r="B392" i="13"/>
  <c r="D391" i="13"/>
  <c r="B391" i="13"/>
  <c r="D390" i="13"/>
  <c r="B390" i="13"/>
  <c r="D389" i="13"/>
  <c r="B389" i="13"/>
  <c r="D388" i="13"/>
  <c r="B388" i="13"/>
  <c r="D387" i="13"/>
  <c r="B387" i="13"/>
  <c r="D386" i="13"/>
  <c r="B386" i="13"/>
  <c r="D385" i="13"/>
  <c r="B385" i="13"/>
  <c r="D384" i="13"/>
  <c r="B384" i="13"/>
  <c r="D383" i="13"/>
  <c r="B383" i="13"/>
  <c r="D382" i="13"/>
  <c r="B382" i="13"/>
  <c r="D381" i="13"/>
  <c r="B381" i="13"/>
  <c r="D380" i="13"/>
  <c r="B380" i="13"/>
  <c r="D379" i="13"/>
  <c r="B379" i="13"/>
  <c r="D378" i="13"/>
  <c r="B378" i="13"/>
  <c r="D377" i="13"/>
  <c r="B377" i="13"/>
  <c r="D376" i="13"/>
  <c r="B376" i="13"/>
  <c r="D375" i="13"/>
  <c r="B375" i="13"/>
  <c r="N371" i="13"/>
  <c r="L371" i="13"/>
  <c r="H371" i="13"/>
  <c r="F371" i="13"/>
  <c r="A371" i="13"/>
  <c r="N370" i="13"/>
  <c r="L370" i="13"/>
  <c r="H370" i="13"/>
  <c r="F370" i="13"/>
  <c r="A370" i="13"/>
  <c r="N369" i="13"/>
  <c r="L369" i="13"/>
  <c r="H369" i="13"/>
  <c r="F369" i="13"/>
  <c r="A369" i="13"/>
  <c r="N368" i="13"/>
  <c r="L368" i="13"/>
  <c r="H368" i="13"/>
  <c r="F368" i="13"/>
  <c r="A368" i="13"/>
  <c r="N367" i="13"/>
  <c r="L367" i="13"/>
  <c r="H367" i="13"/>
  <c r="F367" i="13"/>
  <c r="A367" i="13"/>
  <c r="N366" i="13"/>
  <c r="L366" i="13"/>
  <c r="H366" i="13"/>
  <c r="F366" i="13"/>
  <c r="A366" i="13"/>
  <c r="N365" i="13"/>
  <c r="L365" i="13"/>
  <c r="H365" i="13"/>
  <c r="F365" i="13"/>
  <c r="A365" i="13"/>
  <c r="N364" i="13"/>
  <c r="L364" i="13"/>
  <c r="H364" i="13"/>
  <c r="F364" i="13"/>
  <c r="A364" i="13"/>
  <c r="N360" i="13"/>
  <c r="L360" i="13"/>
  <c r="H360" i="13"/>
  <c r="F360" i="13"/>
  <c r="A360" i="13"/>
  <c r="N359" i="13"/>
  <c r="L359" i="13"/>
  <c r="H359" i="13"/>
  <c r="F359" i="13"/>
  <c r="A359" i="13"/>
  <c r="N358" i="13"/>
  <c r="L358" i="13"/>
  <c r="H358" i="13"/>
  <c r="F358" i="13"/>
  <c r="A358" i="13"/>
  <c r="N357" i="13"/>
  <c r="L357" i="13"/>
  <c r="H357" i="13"/>
  <c r="F357" i="13"/>
  <c r="A357" i="13"/>
  <c r="N356" i="13"/>
  <c r="L356" i="13"/>
  <c r="H356" i="13"/>
  <c r="F356" i="13"/>
  <c r="A356" i="13"/>
  <c r="N355" i="13"/>
  <c r="L355" i="13"/>
  <c r="H355" i="13"/>
  <c r="F355" i="13"/>
  <c r="A355" i="13"/>
  <c r="N351" i="13"/>
  <c r="L351" i="13"/>
  <c r="H351" i="13"/>
  <c r="F351" i="13"/>
  <c r="A351" i="13"/>
  <c r="N350" i="13"/>
  <c r="L350" i="13"/>
  <c r="H350" i="13"/>
  <c r="F350" i="13"/>
  <c r="A350" i="13"/>
  <c r="N349" i="13"/>
  <c r="L349" i="13"/>
  <c r="H349" i="13"/>
  <c r="F349" i="13"/>
  <c r="A349" i="13"/>
  <c r="N348" i="13"/>
  <c r="L348" i="13"/>
  <c r="H348" i="13"/>
  <c r="F348" i="13"/>
  <c r="A348" i="13"/>
  <c r="N347" i="13"/>
  <c r="L347" i="13"/>
  <c r="H347" i="13"/>
  <c r="F347" i="13"/>
  <c r="A347" i="13"/>
  <c r="N346" i="13"/>
  <c r="L346" i="13"/>
  <c r="H346" i="13"/>
  <c r="F346" i="13"/>
  <c r="A346" i="13"/>
  <c r="N342" i="13"/>
  <c r="L342" i="13"/>
  <c r="H342" i="13"/>
  <c r="F342" i="13"/>
  <c r="A342" i="13"/>
  <c r="N341" i="13"/>
  <c r="L341" i="13"/>
  <c r="H341" i="13"/>
  <c r="F341" i="13"/>
  <c r="A341" i="13"/>
  <c r="N340" i="13"/>
  <c r="L340" i="13"/>
  <c r="H340" i="13"/>
  <c r="F340" i="13"/>
  <c r="A340" i="13"/>
  <c r="N339" i="13"/>
  <c r="L339" i="13"/>
  <c r="H339" i="13"/>
  <c r="F339" i="13"/>
  <c r="A339" i="13"/>
  <c r="N338" i="13"/>
  <c r="L338" i="13"/>
  <c r="H338" i="13"/>
  <c r="F338" i="13"/>
  <c r="A338" i="13"/>
  <c r="N337" i="13"/>
  <c r="L337" i="13"/>
  <c r="H337" i="13"/>
  <c r="F337" i="13"/>
  <c r="A337" i="13"/>
  <c r="N333" i="13"/>
  <c r="L333" i="13"/>
  <c r="H333" i="13"/>
  <c r="F333" i="13"/>
  <c r="A333" i="13"/>
  <c r="N332" i="13"/>
  <c r="L332" i="13"/>
  <c r="H332" i="13"/>
  <c r="F332" i="13"/>
  <c r="A332" i="13"/>
  <c r="N331" i="13"/>
  <c r="L331" i="13"/>
  <c r="H331" i="13"/>
  <c r="F331" i="13"/>
  <c r="A331" i="13"/>
  <c r="N330" i="13"/>
  <c r="L330" i="13"/>
  <c r="H330" i="13"/>
  <c r="F330" i="13"/>
  <c r="A330" i="13"/>
  <c r="N329" i="13"/>
  <c r="L329" i="13"/>
  <c r="H329" i="13"/>
  <c r="F329" i="13"/>
  <c r="A329" i="13"/>
  <c r="N328" i="13"/>
  <c r="L328" i="13"/>
  <c r="H328" i="13"/>
  <c r="F328" i="13"/>
  <c r="A328" i="13"/>
  <c r="N322" i="13"/>
  <c r="L322" i="13"/>
  <c r="H322" i="13"/>
  <c r="F322" i="13"/>
  <c r="A322" i="13"/>
  <c r="N321" i="13"/>
  <c r="L321" i="13"/>
  <c r="H321" i="13"/>
  <c r="F321" i="13"/>
  <c r="A321" i="13"/>
  <c r="N320" i="13"/>
  <c r="L320" i="13"/>
  <c r="H320" i="13"/>
  <c r="F320" i="13"/>
  <c r="A320" i="13"/>
  <c r="N319" i="13"/>
  <c r="L319" i="13"/>
  <c r="H319" i="13"/>
  <c r="F319" i="13"/>
  <c r="A319" i="13"/>
  <c r="N318" i="13"/>
  <c r="L318" i="13"/>
  <c r="H318" i="13"/>
  <c r="F318" i="13"/>
  <c r="A318" i="13"/>
  <c r="N317" i="13"/>
  <c r="L317" i="13"/>
  <c r="H317" i="13"/>
  <c r="F317" i="13"/>
  <c r="A317" i="13"/>
  <c r="N316" i="13"/>
  <c r="L316" i="13"/>
  <c r="H316" i="13"/>
  <c r="F316" i="13"/>
  <c r="A316" i="13"/>
  <c r="N315" i="13"/>
  <c r="L315" i="13"/>
  <c r="F315" i="13"/>
  <c r="A315" i="13"/>
  <c r="N314" i="13"/>
  <c r="L314" i="13"/>
  <c r="A314" i="13"/>
  <c r="N313" i="13"/>
  <c r="L313" i="13"/>
  <c r="A313" i="13"/>
  <c r="N312" i="13"/>
  <c r="L312" i="13"/>
  <c r="A312" i="13"/>
  <c r="N311" i="13"/>
  <c r="L311" i="13"/>
  <c r="A311" i="13"/>
  <c r="N301" i="13"/>
  <c r="L301" i="13"/>
  <c r="H301" i="13"/>
  <c r="F301" i="13"/>
  <c r="A301" i="13"/>
  <c r="N300" i="13"/>
  <c r="L300" i="13"/>
  <c r="H300" i="13"/>
  <c r="F300" i="13"/>
  <c r="A300" i="13"/>
  <c r="N298" i="13"/>
  <c r="L298" i="13"/>
  <c r="A298" i="13"/>
  <c r="N297" i="13"/>
  <c r="L297" i="13"/>
  <c r="A297" i="13"/>
  <c r="N295" i="13"/>
  <c r="L295" i="13"/>
  <c r="A295" i="13"/>
  <c r="N294" i="13"/>
  <c r="L294" i="13"/>
  <c r="A294" i="13"/>
  <c r="N277" i="13"/>
  <c r="L277" i="13"/>
  <c r="A277" i="13"/>
  <c r="N293" i="13"/>
  <c r="L293" i="13"/>
  <c r="A293" i="13"/>
  <c r="N276" i="13"/>
  <c r="L276" i="13"/>
  <c r="A276" i="13"/>
  <c r="N292" i="13"/>
  <c r="L292" i="13"/>
  <c r="A292" i="13"/>
  <c r="N288" i="13"/>
  <c r="L288" i="13"/>
  <c r="H288" i="13"/>
  <c r="F288" i="13"/>
  <c r="A288" i="13"/>
  <c r="N306" i="13"/>
  <c r="L306" i="13"/>
  <c r="H306" i="13"/>
  <c r="F306" i="13"/>
  <c r="A306" i="13"/>
  <c r="N305" i="13"/>
  <c r="L305" i="13"/>
  <c r="H305" i="13"/>
  <c r="F305" i="13"/>
  <c r="A305" i="13"/>
  <c r="N302" i="13"/>
  <c r="L302" i="13"/>
  <c r="A302" i="13"/>
  <c r="N285" i="13"/>
  <c r="L285" i="13"/>
  <c r="A285" i="13"/>
  <c r="N299" i="13"/>
  <c r="L299" i="13"/>
  <c r="A299" i="13"/>
  <c r="N279" i="13"/>
  <c r="L279" i="13"/>
  <c r="A279" i="13"/>
  <c r="N278" i="13"/>
  <c r="L278" i="13"/>
  <c r="A278" i="13"/>
  <c r="N296" i="13"/>
  <c r="L296" i="13"/>
  <c r="A296" i="13"/>
  <c r="N282" i="13"/>
  <c r="L282" i="13"/>
  <c r="A282" i="13"/>
  <c r="N281" i="13"/>
  <c r="L281" i="13"/>
  <c r="A281" i="13"/>
  <c r="N272" i="13"/>
  <c r="L272" i="13"/>
  <c r="H272" i="13"/>
  <c r="A272" i="13"/>
  <c r="N271" i="13"/>
  <c r="L271" i="13"/>
  <c r="H271" i="13"/>
  <c r="F271" i="13"/>
  <c r="A271" i="13"/>
  <c r="N270" i="13"/>
  <c r="L270" i="13"/>
  <c r="H270" i="13"/>
  <c r="F270" i="13"/>
  <c r="A270" i="13"/>
  <c r="N269" i="13"/>
  <c r="L269" i="13"/>
  <c r="H269" i="13"/>
  <c r="F269" i="13"/>
  <c r="A269" i="13"/>
  <c r="N268" i="13"/>
  <c r="L268" i="13"/>
  <c r="H268" i="13"/>
  <c r="A268" i="13"/>
  <c r="N267" i="13"/>
  <c r="L267" i="13"/>
  <c r="A267" i="13"/>
  <c r="N266" i="13"/>
  <c r="L266" i="13"/>
  <c r="A266" i="13"/>
  <c r="N265" i="13"/>
  <c r="L265" i="13"/>
  <c r="A265" i="13"/>
  <c r="N264" i="13"/>
  <c r="L264" i="13"/>
  <c r="A264" i="13"/>
  <c r="N263" i="13"/>
  <c r="L263" i="13"/>
  <c r="A263" i="13"/>
  <c r="N262" i="13"/>
  <c r="L262" i="13"/>
  <c r="A262" i="13"/>
  <c r="N261" i="13"/>
  <c r="L261" i="13"/>
  <c r="A261" i="13"/>
  <c r="N260" i="13"/>
  <c r="L260" i="13"/>
  <c r="H260" i="13"/>
  <c r="F260" i="13"/>
  <c r="A260" i="13"/>
  <c r="N259" i="13"/>
  <c r="L259" i="13"/>
  <c r="H259" i="13"/>
  <c r="F259" i="13"/>
  <c r="A259" i="13"/>
  <c r="N255" i="13"/>
  <c r="L255" i="13"/>
  <c r="H255" i="13"/>
  <c r="F255" i="13"/>
  <c r="A255" i="13"/>
  <c r="N254" i="13"/>
  <c r="L254" i="13"/>
  <c r="H254" i="13"/>
  <c r="F254" i="13"/>
  <c r="A254" i="13"/>
  <c r="N253" i="13"/>
  <c r="L253" i="13"/>
  <c r="H253" i="13"/>
  <c r="A253" i="13"/>
  <c r="N252" i="13"/>
  <c r="L252" i="13"/>
  <c r="H252" i="13"/>
  <c r="F252" i="13"/>
  <c r="A252" i="13"/>
  <c r="N251" i="13"/>
  <c r="L251" i="13"/>
  <c r="H251" i="13"/>
  <c r="F251" i="13"/>
  <c r="A251" i="13"/>
  <c r="N250" i="13"/>
  <c r="L250" i="13"/>
  <c r="H250" i="13"/>
  <c r="F250" i="13"/>
  <c r="A250" i="13"/>
  <c r="N249" i="13"/>
  <c r="L249" i="13"/>
  <c r="F249" i="13"/>
  <c r="A249" i="13"/>
  <c r="N248" i="13"/>
  <c r="L248" i="13"/>
  <c r="H248" i="13"/>
  <c r="A248" i="13"/>
  <c r="N247" i="13"/>
  <c r="L247" i="13"/>
  <c r="F247" i="13"/>
  <c r="A247" i="13"/>
  <c r="N246" i="13"/>
  <c r="L246" i="13"/>
  <c r="H246" i="13"/>
  <c r="A246" i="13"/>
  <c r="N245" i="13"/>
  <c r="L245" i="13"/>
  <c r="A245" i="13"/>
  <c r="N244" i="13"/>
  <c r="L244" i="13"/>
  <c r="A244" i="13"/>
  <c r="N243" i="13"/>
  <c r="L243" i="13"/>
  <c r="H243" i="13"/>
  <c r="H249" i="13" s="1"/>
  <c r="F243" i="13"/>
  <c r="H247" i="13" s="1"/>
  <c r="A243" i="13"/>
  <c r="N242" i="13"/>
  <c r="L242" i="13"/>
  <c r="H242" i="13"/>
  <c r="F248" i="13" s="1"/>
  <c r="F242" i="13"/>
  <c r="F246" i="13" s="1"/>
  <c r="A242" i="13"/>
  <c r="N222" i="13"/>
  <c r="L222" i="13"/>
  <c r="A222" i="13"/>
  <c r="N221" i="13"/>
  <c r="L221" i="13"/>
  <c r="A221" i="13"/>
  <c r="N220" i="13"/>
  <c r="L220" i="13"/>
  <c r="A220" i="13"/>
  <c r="N219" i="13"/>
  <c r="L219" i="13"/>
  <c r="A219" i="13"/>
  <c r="N218" i="13"/>
  <c r="L218" i="13"/>
  <c r="A218" i="13"/>
  <c r="N217" i="13"/>
  <c r="L217" i="13"/>
  <c r="A217" i="13"/>
  <c r="N216" i="13"/>
  <c r="L216" i="13"/>
  <c r="A216" i="13"/>
  <c r="N215" i="13"/>
  <c r="L215" i="13"/>
  <c r="A215" i="13"/>
  <c r="N214" i="13"/>
  <c r="L214" i="13"/>
  <c r="A214" i="13"/>
  <c r="N213" i="13"/>
  <c r="L213" i="13"/>
  <c r="A213" i="13"/>
  <c r="N212" i="13"/>
  <c r="L212" i="13"/>
  <c r="A212" i="13"/>
  <c r="N211" i="13"/>
  <c r="L211" i="13"/>
  <c r="A211" i="13"/>
  <c r="N210" i="13"/>
  <c r="L210" i="13"/>
  <c r="A210" i="13"/>
  <c r="N209" i="13"/>
  <c r="L209" i="13"/>
  <c r="A209" i="13"/>
  <c r="N208" i="13"/>
  <c r="L208" i="13"/>
  <c r="A208" i="13"/>
  <c r="N204" i="13"/>
  <c r="L204" i="13"/>
  <c r="A204" i="13"/>
  <c r="N203" i="13"/>
  <c r="L203" i="13"/>
  <c r="A203" i="13"/>
  <c r="N202" i="13"/>
  <c r="L202" i="13"/>
  <c r="A202" i="13"/>
  <c r="N201" i="13"/>
  <c r="L201" i="13"/>
  <c r="A201" i="13"/>
  <c r="N200" i="13"/>
  <c r="L200" i="13"/>
  <c r="A200" i="13"/>
  <c r="N199" i="13"/>
  <c r="L199" i="13"/>
  <c r="A199" i="13"/>
  <c r="N198" i="13"/>
  <c r="L198" i="13"/>
  <c r="A198" i="13"/>
  <c r="N197" i="13"/>
  <c r="L197" i="13"/>
  <c r="A197" i="13"/>
  <c r="N196" i="13"/>
  <c r="L196" i="13"/>
  <c r="A196" i="13"/>
  <c r="N195" i="13"/>
  <c r="L195" i="13"/>
  <c r="A195" i="13"/>
  <c r="N194" i="13"/>
  <c r="L194" i="13"/>
  <c r="A194" i="13"/>
  <c r="N193" i="13"/>
  <c r="L193" i="13"/>
  <c r="A193" i="13"/>
  <c r="N192" i="13"/>
  <c r="L192" i="13"/>
  <c r="A192" i="13"/>
  <c r="N191" i="13"/>
  <c r="L191" i="13"/>
  <c r="A191" i="13"/>
  <c r="N187" i="13"/>
  <c r="L187" i="13"/>
  <c r="A187" i="13"/>
  <c r="N186" i="13"/>
  <c r="L186" i="13"/>
  <c r="A186" i="13"/>
  <c r="N185" i="13"/>
  <c r="L185" i="13"/>
  <c r="A185" i="13"/>
  <c r="N184" i="13"/>
  <c r="L184" i="13"/>
  <c r="A184" i="13"/>
  <c r="N183" i="13"/>
  <c r="L183" i="13"/>
  <c r="A183" i="13"/>
  <c r="N182" i="13"/>
  <c r="L182" i="13"/>
  <c r="A182" i="13"/>
  <c r="N181" i="13"/>
  <c r="L181" i="13"/>
  <c r="A181" i="13"/>
  <c r="N180" i="13"/>
  <c r="L180" i="13"/>
  <c r="A180" i="13"/>
  <c r="N179" i="13"/>
  <c r="L179" i="13"/>
  <c r="A179" i="13"/>
  <c r="N178" i="13"/>
  <c r="L178" i="13"/>
  <c r="A178" i="13"/>
  <c r="N177" i="13"/>
  <c r="L177" i="13"/>
  <c r="A177" i="13"/>
  <c r="N176" i="13"/>
  <c r="L176" i="13"/>
  <c r="A176" i="13"/>
  <c r="N172" i="13"/>
  <c r="L172" i="13"/>
  <c r="A172" i="13"/>
  <c r="N171" i="13"/>
  <c r="L171" i="13"/>
  <c r="A171" i="13"/>
  <c r="N170" i="13"/>
  <c r="L170" i="13"/>
  <c r="A170" i="13"/>
  <c r="N169" i="13"/>
  <c r="L169" i="13"/>
  <c r="A169" i="13"/>
  <c r="N168" i="13"/>
  <c r="L168" i="13"/>
  <c r="A168" i="13"/>
  <c r="N167" i="13"/>
  <c r="L167" i="13"/>
  <c r="A167" i="13"/>
  <c r="N166" i="13"/>
  <c r="L166" i="13"/>
  <c r="A166" i="13"/>
  <c r="N165" i="13"/>
  <c r="L165" i="13"/>
  <c r="A165" i="13"/>
  <c r="N164" i="13"/>
  <c r="L164" i="13"/>
  <c r="A164" i="13"/>
  <c r="N163" i="13"/>
  <c r="L163" i="13"/>
  <c r="A163" i="13"/>
  <c r="N162" i="13"/>
  <c r="L162" i="13"/>
  <c r="A162" i="13"/>
  <c r="N161" i="13"/>
  <c r="L161" i="13"/>
  <c r="A161" i="13"/>
  <c r="L124" i="13"/>
  <c r="A124" i="13"/>
  <c r="L123" i="13"/>
  <c r="L121" i="13"/>
  <c r="H121" i="13"/>
  <c r="F121" i="13"/>
  <c r="A121" i="13"/>
  <c r="L120" i="13"/>
  <c r="H120" i="13"/>
  <c r="F120" i="13"/>
  <c r="A120" i="13"/>
  <c r="L119" i="13"/>
  <c r="H119" i="13"/>
  <c r="F119" i="13"/>
  <c r="A119" i="13"/>
  <c r="L118" i="13"/>
  <c r="H118" i="13"/>
  <c r="F118" i="13"/>
  <c r="A118" i="13"/>
  <c r="L117" i="13"/>
  <c r="H117" i="13"/>
  <c r="F117" i="13"/>
  <c r="A117" i="13"/>
  <c r="L116" i="13"/>
  <c r="H116" i="13"/>
  <c r="F116" i="13"/>
  <c r="A116" i="13"/>
  <c r="L115" i="13"/>
  <c r="H115" i="13"/>
  <c r="F115" i="13"/>
  <c r="A115" i="13"/>
  <c r="L114" i="13"/>
  <c r="H114" i="13"/>
  <c r="F114" i="13"/>
  <c r="A114" i="13"/>
  <c r="L113" i="13"/>
  <c r="H113" i="13"/>
  <c r="F113" i="13"/>
  <c r="A113" i="13"/>
  <c r="L112" i="13"/>
  <c r="H112" i="13"/>
  <c r="F112" i="13"/>
  <c r="A112" i="13"/>
  <c r="L111" i="13"/>
  <c r="H111" i="13"/>
  <c r="F111" i="13"/>
  <c r="A111" i="13"/>
  <c r="L110" i="13"/>
  <c r="H110" i="13"/>
  <c r="F110" i="13"/>
  <c r="A110" i="13"/>
  <c r="L109" i="13"/>
  <c r="H109" i="13"/>
  <c r="F109" i="13"/>
  <c r="A109" i="13"/>
  <c r="L108" i="13"/>
  <c r="H108" i="13"/>
  <c r="F108" i="13"/>
  <c r="A108" i="13"/>
  <c r="L104" i="13"/>
  <c r="A104" i="13"/>
  <c r="L103" i="13"/>
  <c r="A103" i="13"/>
  <c r="L100" i="13"/>
  <c r="H100" i="13"/>
  <c r="F100" i="13"/>
  <c r="A100" i="13"/>
  <c r="L99" i="13"/>
  <c r="H99" i="13"/>
  <c r="F99" i="13"/>
  <c r="A99" i="13"/>
  <c r="L98" i="13"/>
  <c r="H98" i="13"/>
  <c r="F98" i="13"/>
  <c r="A98" i="13"/>
  <c r="L97" i="13"/>
  <c r="H97" i="13"/>
  <c r="F97" i="13"/>
  <c r="A97" i="13"/>
  <c r="L96" i="13"/>
  <c r="H96" i="13"/>
  <c r="F96" i="13"/>
  <c r="A96" i="13"/>
  <c r="L95" i="13"/>
  <c r="H95" i="13"/>
  <c r="F95" i="13"/>
  <c r="A95" i="13"/>
  <c r="L94" i="13"/>
  <c r="H94" i="13"/>
  <c r="F94" i="13"/>
  <c r="A94" i="13"/>
  <c r="L93" i="13"/>
  <c r="H93" i="13"/>
  <c r="F93" i="13"/>
  <c r="A93" i="13"/>
  <c r="L92" i="13"/>
  <c r="H92" i="13"/>
  <c r="F92" i="13"/>
  <c r="A92" i="13"/>
  <c r="L91" i="13"/>
  <c r="H91" i="13"/>
  <c r="F91" i="13"/>
  <c r="A91" i="13"/>
  <c r="L90" i="13"/>
  <c r="H90" i="13"/>
  <c r="F90" i="13"/>
  <c r="A90" i="13"/>
  <c r="L89" i="13"/>
  <c r="H89" i="13"/>
  <c r="F89" i="13"/>
  <c r="A89" i="13"/>
  <c r="L88" i="13"/>
  <c r="H88" i="13"/>
  <c r="F88" i="13"/>
  <c r="A88" i="13"/>
  <c r="L83" i="13"/>
  <c r="A83" i="13"/>
  <c r="L82" i="13"/>
  <c r="A82" i="13"/>
  <c r="L79" i="13"/>
  <c r="H79" i="13"/>
  <c r="F79" i="13"/>
  <c r="A79" i="13"/>
  <c r="L78" i="13"/>
  <c r="H78" i="13"/>
  <c r="F78" i="13"/>
  <c r="A78" i="13"/>
  <c r="L77" i="13"/>
  <c r="H77" i="13"/>
  <c r="F77" i="13"/>
  <c r="A77" i="13"/>
  <c r="L76" i="13"/>
  <c r="H76" i="13"/>
  <c r="F76" i="13"/>
  <c r="A76" i="13"/>
  <c r="L75" i="13"/>
  <c r="H75" i="13"/>
  <c r="F75" i="13"/>
  <c r="A75" i="13"/>
  <c r="L74" i="13"/>
  <c r="H74" i="13"/>
  <c r="F74" i="13"/>
  <c r="A74" i="13"/>
  <c r="L73" i="13"/>
  <c r="H73" i="13"/>
  <c r="F73" i="13"/>
  <c r="A73" i="13"/>
  <c r="L72" i="13"/>
  <c r="H72" i="13"/>
  <c r="F72" i="13"/>
  <c r="A72" i="13"/>
  <c r="L71" i="13"/>
  <c r="H71" i="13"/>
  <c r="F71" i="13"/>
  <c r="A71" i="13"/>
  <c r="L70" i="13"/>
  <c r="H70" i="13"/>
  <c r="F70" i="13"/>
  <c r="A70" i="13"/>
  <c r="L69" i="13"/>
  <c r="H69" i="13"/>
  <c r="F69" i="13"/>
  <c r="A69" i="13"/>
  <c r="L68" i="13"/>
  <c r="H68" i="13"/>
  <c r="F68" i="13"/>
  <c r="A68" i="13"/>
  <c r="L63" i="13"/>
  <c r="A63" i="13"/>
  <c r="L62" i="13"/>
  <c r="A62" i="13"/>
  <c r="L59" i="13"/>
  <c r="H59" i="13"/>
  <c r="F59" i="13"/>
  <c r="A59" i="13"/>
  <c r="L58" i="13"/>
  <c r="H58" i="13"/>
  <c r="F58" i="13"/>
  <c r="A58" i="13"/>
  <c r="L57" i="13"/>
  <c r="H57" i="13"/>
  <c r="F57" i="13"/>
  <c r="A57" i="13"/>
  <c r="L56" i="13"/>
  <c r="H56" i="13"/>
  <c r="F56" i="13"/>
  <c r="A56" i="13"/>
  <c r="L55" i="13"/>
  <c r="H55" i="13"/>
  <c r="F55" i="13"/>
  <c r="A55" i="13"/>
  <c r="L54" i="13"/>
  <c r="H54" i="13"/>
  <c r="F54" i="13"/>
  <c r="A54" i="13"/>
  <c r="L53" i="13"/>
  <c r="H53" i="13"/>
  <c r="F53" i="13"/>
  <c r="A53" i="13"/>
  <c r="L52" i="13"/>
  <c r="H52" i="13"/>
  <c r="F52" i="13"/>
  <c r="A52" i="13"/>
  <c r="L51" i="13"/>
  <c r="H51" i="13"/>
  <c r="F51" i="13"/>
  <c r="A51" i="13"/>
  <c r="L50" i="13"/>
  <c r="H50" i="13"/>
  <c r="F50" i="13"/>
  <c r="A50" i="13"/>
  <c r="L49" i="13"/>
  <c r="H49" i="13"/>
  <c r="F49" i="13"/>
  <c r="A49" i="13"/>
  <c r="L48" i="13"/>
  <c r="H48" i="13"/>
  <c r="F48" i="13"/>
  <c r="A48" i="13"/>
  <c r="L43" i="13"/>
  <c r="A43" i="13"/>
  <c r="L40" i="13"/>
  <c r="H40" i="13"/>
  <c r="F40" i="13"/>
  <c r="A40" i="13"/>
  <c r="L39" i="13"/>
  <c r="H39" i="13"/>
  <c r="F39" i="13"/>
  <c r="A39" i="13"/>
  <c r="L38" i="13"/>
  <c r="H38" i="13"/>
  <c r="F38" i="13"/>
  <c r="A38" i="13"/>
  <c r="L37" i="13"/>
  <c r="H37" i="13"/>
  <c r="F37" i="13"/>
  <c r="A37" i="13"/>
  <c r="L36" i="13"/>
  <c r="H36" i="13"/>
  <c r="F36" i="13"/>
  <c r="A36" i="13"/>
  <c r="L35" i="13"/>
  <c r="H35" i="13"/>
  <c r="F35" i="13"/>
  <c r="A35" i="13"/>
  <c r="L34" i="13"/>
  <c r="H34" i="13"/>
  <c r="F34" i="13"/>
  <c r="A34" i="13"/>
  <c r="L33" i="13"/>
  <c r="H33" i="13"/>
  <c r="F33" i="13"/>
  <c r="A33" i="13"/>
  <c r="L32" i="13"/>
  <c r="H32" i="13"/>
  <c r="F32" i="13"/>
  <c r="A32" i="13"/>
  <c r="L31" i="13"/>
  <c r="H31" i="13"/>
  <c r="F31" i="13"/>
  <c r="A31" i="13"/>
  <c r="L30" i="13"/>
  <c r="H30" i="13"/>
  <c r="F30" i="13"/>
  <c r="A30" i="13"/>
  <c r="L29" i="13"/>
  <c r="H29" i="13"/>
  <c r="F29" i="13"/>
  <c r="A29" i="13"/>
  <c r="D16" i="6"/>
  <c r="D222" i="10"/>
  <c r="D205" i="10"/>
  <c r="D196" i="10"/>
  <c r="D213" i="10"/>
  <c r="B225" i="10"/>
  <c r="Y74" i="12" s="1"/>
  <c r="B226" i="10"/>
  <c r="Y75" i="12" s="1"/>
  <c r="B227" i="10"/>
  <c r="B228" i="10"/>
  <c r="B224" i="10"/>
  <c r="Y73" i="12" s="1"/>
  <c r="B199" i="10"/>
  <c r="B200" i="10"/>
  <c r="B201" i="10"/>
  <c r="B202" i="10"/>
  <c r="B203" i="10"/>
  <c r="B208" i="10"/>
  <c r="B209" i="10"/>
  <c r="B210" i="10"/>
  <c r="B211" i="10"/>
  <c r="B216" i="10"/>
  <c r="B217" i="10"/>
  <c r="B218" i="10"/>
  <c r="B219" i="10"/>
  <c r="B220" i="10"/>
  <c r="U78" i="12" s="1"/>
  <c r="B198" i="10"/>
  <c r="B207" i="10"/>
  <c r="B215" i="10"/>
  <c r="U73" i="12" s="1"/>
  <c r="B192" i="10"/>
  <c r="W64" i="12" s="1"/>
  <c r="B191" i="10"/>
  <c r="W63" i="12" s="1"/>
  <c r="B190" i="10"/>
  <c r="W62" i="12" s="1"/>
  <c r="B189" i="10"/>
  <c r="W61" i="12" s="1"/>
  <c r="B188" i="10"/>
  <c r="W60" i="12" s="1"/>
  <c r="B187" i="10"/>
  <c r="W59" i="12" s="1"/>
  <c r="B186" i="10"/>
  <c r="W58" i="12" s="1"/>
  <c r="B185" i="10"/>
  <c r="W57" i="12" s="1"/>
  <c r="B184" i="10"/>
  <c r="W56" i="12" s="1"/>
  <c r="B183" i="10"/>
  <c r="W55" i="12" s="1"/>
  <c r="B182" i="10"/>
  <c r="W54" i="12" s="1"/>
  <c r="B181" i="10"/>
  <c r="W53" i="12" s="1"/>
  <c r="B177" i="10"/>
  <c r="V64" i="12" s="1"/>
  <c r="B176" i="10"/>
  <c r="V63" i="12" s="1"/>
  <c r="B175" i="10"/>
  <c r="V62" i="12" s="1"/>
  <c r="B174" i="10"/>
  <c r="V61" i="12" s="1"/>
  <c r="B173" i="10"/>
  <c r="V60" i="12" s="1"/>
  <c r="B172" i="10"/>
  <c r="V59" i="12" s="1"/>
  <c r="B171" i="10"/>
  <c r="V58" i="12" s="1"/>
  <c r="B170" i="10"/>
  <c r="V57" i="12" s="1"/>
  <c r="B169" i="10"/>
  <c r="V56" i="12" s="1"/>
  <c r="B168" i="10"/>
  <c r="V55" i="12" s="1"/>
  <c r="B167" i="10"/>
  <c r="V54" i="12" s="1"/>
  <c r="B166" i="10"/>
  <c r="V53" i="12" s="1"/>
  <c r="B162" i="10"/>
  <c r="AS64" i="12" s="1"/>
  <c r="B161" i="10"/>
  <c r="AS63" i="12" s="1"/>
  <c r="B160" i="10"/>
  <c r="AS62" i="12" s="1"/>
  <c r="B159" i="10"/>
  <c r="AS61" i="12" s="1"/>
  <c r="B158" i="10"/>
  <c r="AS60" i="12" s="1"/>
  <c r="B157" i="10"/>
  <c r="AS59" i="12" s="1"/>
  <c r="B156" i="10"/>
  <c r="AS58" i="12" s="1"/>
  <c r="B155" i="10"/>
  <c r="AS57" i="12" s="1"/>
  <c r="B154" i="10"/>
  <c r="AS56" i="12" s="1"/>
  <c r="B153" i="10"/>
  <c r="AS55" i="12" s="1"/>
  <c r="B152" i="10"/>
  <c r="AS54" i="12" s="1"/>
  <c r="B151" i="10"/>
  <c r="AS53" i="12" s="1"/>
  <c r="B145" i="10"/>
  <c r="W39" i="12" s="1"/>
  <c r="B144" i="10"/>
  <c r="W38" i="12" s="1"/>
  <c r="B143" i="10"/>
  <c r="W37" i="12" s="1"/>
  <c r="B142" i="10"/>
  <c r="W36" i="12" s="1"/>
  <c r="B141" i="10"/>
  <c r="W35" i="12" s="1"/>
  <c r="B140" i="10"/>
  <c r="W34" i="12" s="1"/>
  <c r="B139" i="10"/>
  <c r="W33" i="12" s="1"/>
  <c r="B138" i="10"/>
  <c r="W32" i="12" s="1"/>
  <c r="B137" i="10"/>
  <c r="W31" i="12" s="1"/>
  <c r="B136" i="10"/>
  <c r="W30" i="12" s="1"/>
  <c r="B135" i="10"/>
  <c r="W29" i="12" s="1"/>
  <c r="B134" i="10"/>
  <c r="W28" i="12" s="1"/>
  <c r="B124" i="10"/>
  <c r="V43" i="12" s="1"/>
  <c r="B123" i="10"/>
  <c r="V42" i="12" s="1"/>
  <c r="B120" i="10"/>
  <c r="V39" i="12" s="1"/>
  <c r="B119" i="10"/>
  <c r="V38" i="12" s="1"/>
  <c r="B118" i="10"/>
  <c r="V37" i="12" s="1"/>
  <c r="B117" i="10"/>
  <c r="V36" i="12" s="1"/>
  <c r="B116" i="10"/>
  <c r="V35" i="12" s="1"/>
  <c r="B115" i="10"/>
  <c r="V34" i="12" s="1"/>
  <c r="B114" i="10"/>
  <c r="V33" i="12" s="1"/>
  <c r="B113" i="10"/>
  <c r="V32" i="12" s="1"/>
  <c r="B112" i="10"/>
  <c r="V31" i="12" s="1"/>
  <c r="B111" i="10"/>
  <c r="V30" i="12" s="1"/>
  <c r="B110" i="10"/>
  <c r="V29" i="12" s="1"/>
  <c r="B109" i="10"/>
  <c r="V28" i="12" s="1"/>
  <c r="A69" i="10"/>
  <c r="B69" i="10"/>
  <c r="U17" i="12" s="1"/>
  <c r="B105" i="10"/>
  <c r="AR43" i="12" s="1"/>
  <c r="B104" i="10"/>
  <c r="AR42" i="12" s="1"/>
  <c r="B101" i="10"/>
  <c r="AR39" i="12" s="1"/>
  <c r="B100" i="10"/>
  <c r="AR38" i="12" s="1"/>
  <c r="B99" i="10"/>
  <c r="AR37" i="12" s="1"/>
  <c r="B98" i="10"/>
  <c r="AR36" i="12" s="1"/>
  <c r="B97" i="10"/>
  <c r="AR35" i="12" s="1"/>
  <c r="B96" i="10"/>
  <c r="AR34" i="12" s="1"/>
  <c r="B95" i="10"/>
  <c r="AR33" i="12" s="1"/>
  <c r="B94" i="10"/>
  <c r="AR32" i="12" s="1"/>
  <c r="B93" i="10"/>
  <c r="AR31" i="12" s="1"/>
  <c r="B92" i="10"/>
  <c r="AR30" i="12" s="1"/>
  <c r="B91" i="10"/>
  <c r="AR29" i="12" s="1"/>
  <c r="B90" i="10"/>
  <c r="AR28" i="12" s="1"/>
  <c r="D179" i="10"/>
  <c r="D164" i="10"/>
  <c r="D149" i="10"/>
  <c r="D132" i="10"/>
  <c r="D107" i="10"/>
  <c r="D88" i="10"/>
  <c r="B72" i="10"/>
  <c r="U20" i="12" s="1"/>
  <c r="B71" i="10"/>
  <c r="U19" i="12" s="1"/>
  <c r="B70" i="10"/>
  <c r="U18" i="12" s="1"/>
  <c r="B67" i="10"/>
  <c r="U15" i="12" s="1"/>
  <c r="B66" i="10"/>
  <c r="U14" i="12" s="1"/>
  <c r="B65" i="10"/>
  <c r="U13" i="12" s="1"/>
  <c r="B64" i="10"/>
  <c r="U12" i="12" s="1"/>
  <c r="B63" i="10"/>
  <c r="U11" i="12" s="1"/>
  <c r="B62" i="10"/>
  <c r="U10" i="12" s="1"/>
  <c r="B61" i="10"/>
  <c r="U9" i="12" s="1"/>
  <c r="B60" i="10"/>
  <c r="U8" i="12" s="1"/>
  <c r="B59" i="10"/>
  <c r="U7" i="12" s="1"/>
  <c r="B58" i="10"/>
  <c r="U6" i="12" s="1"/>
  <c r="B57" i="10"/>
  <c r="U5" i="12" s="1"/>
  <c r="B56" i="10"/>
  <c r="U4" i="12" s="1"/>
  <c r="B52" i="10"/>
  <c r="V20" i="12" s="1"/>
  <c r="B51" i="10"/>
  <c r="V19" i="12" s="1"/>
  <c r="B50" i="10"/>
  <c r="V18" i="12" s="1"/>
  <c r="B49" i="10"/>
  <c r="V17" i="12" s="1"/>
  <c r="B47" i="10"/>
  <c r="V15" i="12" s="1"/>
  <c r="B46" i="10"/>
  <c r="V14" i="12" s="1"/>
  <c r="B45" i="10"/>
  <c r="V13" i="12" s="1"/>
  <c r="B44" i="10"/>
  <c r="V12" i="12" s="1"/>
  <c r="B43" i="10"/>
  <c r="V11" i="12" s="1"/>
  <c r="B42" i="10"/>
  <c r="V10" i="12" s="1"/>
  <c r="B41" i="10"/>
  <c r="V9" i="12" s="1"/>
  <c r="B40" i="10"/>
  <c r="V8" i="12" s="1"/>
  <c r="B39" i="10"/>
  <c r="V7" i="12" s="1"/>
  <c r="B38" i="10"/>
  <c r="V6" i="12" s="1"/>
  <c r="B37" i="10"/>
  <c r="V5" i="12" s="1"/>
  <c r="B36" i="10"/>
  <c r="V4" i="12" s="1"/>
  <c r="B32" i="10"/>
  <c r="W20" i="12" s="1"/>
  <c r="B31" i="10"/>
  <c r="W19" i="12" s="1"/>
  <c r="B30" i="10"/>
  <c r="W18" i="12" s="1"/>
  <c r="B29" i="10"/>
  <c r="W17" i="12" s="1"/>
  <c r="B27" i="10"/>
  <c r="W15" i="12" s="1"/>
  <c r="B26" i="10"/>
  <c r="W14" i="12" s="1"/>
  <c r="B25" i="10"/>
  <c r="W13" i="12" s="1"/>
  <c r="B24" i="10"/>
  <c r="W12" i="12" s="1"/>
  <c r="B23" i="10"/>
  <c r="W11" i="12" s="1"/>
  <c r="B22" i="10"/>
  <c r="W10" i="12" s="1"/>
  <c r="B21" i="10"/>
  <c r="W9" i="12" s="1"/>
  <c r="B20" i="10"/>
  <c r="W8" i="12" s="1"/>
  <c r="B19" i="10"/>
  <c r="W7" i="12" s="1"/>
  <c r="B18" i="10"/>
  <c r="W6" i="12" s="1"/>
  <c r="B17" i="10"/>
  <c r="W5" i="12" s="1"/>
  <c r="B16" i="10"/>
  <c r="W4" i="12" s="1"/>
  <c r="D14" i="10"/>
  <c r="D34" i="10"/>
  <c r="D54" i="10"/>
  <c r="B98" i="11"/>
  <c r="B97" i="11"/>
  <c r="B96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79" i="11"/>
  <c r="B78" i="11"/>
  <c r="B77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0" i="11"/>
  <c r="B59" i="11"/>
  <c r="B58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21" i="11"/>
  <c r="B20" i="11"/>
  <c r="B19" i="11"/>
  <c r="B18" i="11"/>
  <c r="B198" i="11"/>
  <c r="B197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79" i="11"/>
  <c r="B178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0" i="11"/>
  <c r="B159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1" i="11"/>
  <c r="B140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250" i="11"/>
  <c r="B251" i="11"/>
  <c r="B252" i="11"/>
  <c r="B253" i="11"/>
  <c r="B254" i="11"/>
  <c r="B255" i="11"/>
  <c r="B256" i="11"/>
  <c r="B257" i="11"/>
  <c r="B258" i="11"/>
  <c r="B259" i="11"/>
  <c r="B260" i="11"/>
  <c r="B249" i="11"/>
  <c r="B235" i="11"/>
  <c r="B236" i="11"/>
  <c r="B237" i="11"/>
  <c r="B238" i="11"/>
  <c r="B239" i="11"/>
  <c r="B240" i="11"/>
  <c r="B241" i="11"/>
  <c r="B242" i="11"/>
  <c r="B243" i="11"/>
  <c r="B244" i="11"/>
  <c r="B245" i="11"/>
  <c r="B234" i="11"/>
  <c r="B220" i="11"/>
  <c r="B221" i="11"/>
  <c r="B222" i="11"/>
  <c r="B223" i="11"/>
  <c r="B224" i="11"/>
  <c r="B225" i="11"/>
  <c r="B226" i="11"/>
  <c r="B227" i="11"/>
  <c r="B228" i="11"/>
  <c r="B229" i="11"/>
  <c r="B230" i="11"/>
  <c r="B219" i="11"/>
  <c r="B205" i="11"/>
  <c r="B206" i="11"/>
  <c r="B207" i="11"/>
  <c r="B208" i="11"/>
  <c r="B209" i="11"/>
  <c r="B210" i="11"/>
  <c r="B211" i="11"/>
  <c r="B212" i="11"/>
  <c r="B213" i="11"/>
  <c r="B214" i="11"/>
  <c r="B215" i="11"/>
  <c r="B204" i="11"/>
  <c r="D283" i="11"/>
  <c r="D264" i="11"/>
  <c r="D268" i="11" s="1"/>
  <c r="D273" i="11"/>
  <c r="D293" i="11"/>
  <c r="B276" i="11"/>
  <c r="B277" i="11"/>
  <c r="B278" i="11"/>
  <c r="B279" i="11"/>
  <c r="B280" i="11"/>
  <c r="B281" i="11"/>
  <c r="B275" i="11"/>
  <c r="B286" i="11"/>
  <c r="B287" i="11"/>
  <c r="B288" i="11"/>
  <c r="B289" i="11"/>
  <c r="B290" i="11"/>
  <c r="B291" i="11"/>
  <c r="B296" i="11"/>
  <c r="B297" i="11"/>
  <c r="B298" i="11"/>
  <c r="B299" i="11"/>
  <c r="B300" i="11"/>
  <c r="B301" i="11"/>
  <c r="B302" i="11"/>
  <c r="B295" i="11"/>
  <c r="B285" i="11"/>
  <c r="B267" i="11"/>
  <c r="B268" i="11"/>
  <c r="B269" i="11"/>
  <c r="B270" i="11"/>
  <c r="B271" i="11"/>
  <c r="B266" i="11"/>
  <c r="D267" i="11"/>
  <c r="D269" i="11"/>
  <c r="D270" i="11"/>
  <c r="D271" i="11"/>
  <c r="D247" i="11"/>
  <c r="D232" i="11"/>
  <c r="D217" i="11"/>
  <c r="D202" i="11"/>
  <c r="D181" i="11"/>
  <c r="D162" i="11"/>
  <c r="D164" i="11" s="1"/>
  <c r="D124" i="11"/>
  <c r="D43" i="11"/>
  <c r="D29" i="11"/>
  <c r="D16" i="11"/>
  <c r="D62" i="11"/>
  <c r="D277" i="7"/>
  <c r="D258" i="7"/>
  <c r="D263" i="7" s="1"/>
  <c r="D268" i="7"/>
  <c r="D287" i="7"/>
  <c r="B290" i="7"/>
  <c r="B291" i="7"/>
  <c r="B292" i="7"/>
  <c r="B293" i="7"/>
  <c r="B294" i="7"/>
  <c r="B295" i="7"/>
  <c r="B296" i="7"/>
  <c r="B280" i="7"/>
  <c r="B281" i="7"/>
  <c r="B282" i="7"/>
  <c r="B283" i="7"/>
  <c r="B284" i="7"/>
  <c r="B285" i="7"/>
  <c r="B271" i="7"/>
  <c r="B272" i="7"/>
  <c r="B273" i="7"/>
  <c r="B274" i="7"/>
  <c r="B275" i="7"/>
  <c r="B261" i="7"/>
  <c r="B262" i="7"/>
  <c r="B263" i="7"/>
  <c r="B264" i="7"/>
  <c r="B265" i="7"/>
  <c r="B266" i="7"/>
  <c r="B289" i="7"/>
  <c r="B279" i="7"/>
  <c r="B270" i="7"/>
  <c r="B260" i="7"/>
  <c r="D266" i="7"/>
  <c r="D265" i="7"/>
  <c r="D264" i="7"/>
  <c r="D241" i="7"/>
  <c r="B254" i="7"/>
  <c r="B253" i="7"/>
  <c r="B252" i="7"/>
  <c r="B249" i="7"/>
  <c r="B248" i="7"/>
  <c r="B247" i="7"/>
  <c r="B246" i="7"/>
  <c r="B245" i="7"/>
  <c r="B244" i="7"/>
  <c r="B243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D210" i="7"/>
  <c r="D209" i="7"/>
  <c r="D194" i="7"/>
  <c r="D154" i="7"/>
  <c r="D135" i="7"/>
  <c r="B190" i="7"/>
  <c r="B189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1" i="7"/>
  <c r="B170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2" i="7"/>
  <c r="B151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3" i="7"/>
  <c r="B132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D116" i="7"/>
  <c r="D73" i="7"/>
  <c r="B90" i="7"/>
  <c r="B89" i="7"/>
  <c r="B88" i="7"/>
  <c r="B86" i="7"/>
  <c r="B85" i="7"/>
  <c r="B84" i="7"/>
  <c r="B83" i="7"/>
  <c r="B82" i="7"/>
  <c r="B81" i="7"/>
  <c r="B80" i="7"/>
  <c r="B79" i="7"/>
  <c r="B78" i="7"/>
  <c r="B77" i="7"/>
  <c r="B76" i="7"/>
  <c r="B75" i="7"/>
  <c r="B71" i="7"/>
  <c r="B70" i="7"/>
  <c r="B69" i="7"/>
  <c r="B67" i="7"/>
  <c r="B66" i="7"/>
  <c r="B65" i="7"/>
  <c r="B64" i="7"/>
  <c r="B63" i="7"/>
  <c r="B62" i="7"/>
  <c r="B61" i="7"/>
  <c r="B60" i="7"/>
  <c r="B59" i="7"/>
  <c r="B58" i="7"/>
  <c r="B57" i="7"/>
  <c r="B56" i="7"/>
  <c r="D54" i="7"/>
  <c r="B52" i="7"/>
  <c r="B51" i="7"/>
  <c r="B50" i="7"/>
  <c r="B48" i="7"/>
  <c r="B47" i="7"/>
  <c r="B46" i="7"/>
  <c r="B45" i="7"/>
  <c r="B44" i="7"/>
  <c r="B43" i="7"/>
  <c r="B42" i="7"/>
  <c r="B41" i="7"/>
  <c r="B40" i="7"/>
  <c r="B39" i="7"/>
  <c r="B38" i="7"/>
  <c r="B37" i="7"/>
  <c r="D35" i="7"/>
  <c r="B33" i="7"/>
  <c r="B32" i="7"/>
  <c r="B31" i="7"/>
  <c r="B29" i="7"/>
  <c r="B28" i="7"/>
  <c r="B27" i="7"/>
  <c r="B26" i="7"/>
  <c r="B25" i="7"/>
  <c r="B24" i="7"/>
  <c r="B23" i="7"/>
  <c r="B22" i="7"/>
  <c r="B21" i="7"/>
  <c r="B20" i="7"/>
  <c r="B19" i="7"/>
  <c r="B18" i="7"/>
  <c r="D16" i="7"/>
  <c r="D266" i="8"/>
  <c r="D276" i="8"/>
  <c r="D256" i="8"/>
  <c r="D285" i="8"/>
  <c r="B288" i="8"/>
  <c r="AR74" i="12" s="1"/>
  <c r="B289" i="8"/>
  <c r="AR75" i="12" s="1"/>
  <c r="B290" i="8"/>
  <c r="AR76" i="12" s="1"/>
  <c r="B291" i="8"/>
  <c r="AR77" i="12" s="1"/>
  <c r="B292" i="8"/>
  <c r="AR78" i="12" s="1"/>
  <c r="B293" i="8"/>
  <c r="AR79" i="12" s="1"/>
  <c r="B294" i="8"/>
  <c r="AR80" i="12" s="1"/>
  <c r="B287" i="8"/>
  <c r="AR73" i="12" s="1"/>
  <c r="B279" i="8"/>
  <c r="AI74" i="12" s="1"/>
  <c r="B280" i="8"/>
  <c r="AI75" i="12" s="1"/>
  <c r="B281" i="8"/>
  <c r="AI76" i="12" s="1"/>
  <c r="B282" i="8"/>
  <c r="AI77" i="12" s="1"/>
  <c r="B283" i="8"/>
  <c r="AI78" i="12" s="1"/>
  <c r="B278" i="8"/>
  <c r="AI73" i="12" s="1"/>
  <c r="B269" i="8"/>
  <c r="AP74" i="12" s="1"/>
  <c r="B270" i="8"/>
  <c r="AP75" i="12" s="1"/>
  <c r="B271" i="8"/>
  <c r="AP76" i="12" s="1"/>
  <c r="B272" i="8"/>
  <c r="AP77" i="12" s="1"/>
  <c r="B273" i="8"/>
  <c r="AP78" i="12" s="1"/>
  <c r="B274" i="8"/>
  <c r="AP79" i="12" s="1"/>
  <c r="B268" i="8"/>
  <c r="AP73" i="12" s="1"/>
  <c r="B259" i="8"/>
  <c r="AZ74" i="12" s="1"/>
  <c r="B260" i="8"/>
  <c r="AZ75" i="12" s="1"/>
  <c r="B261" i="8"/>
  <c r="AZ76" i="12" s="1"/>
  <c r="B262" i="8"/>
  <c r="AZ77" i="12" s="1"/>
  <c r="B263" i="8"/>
  <c r="AZ78" i="12" s="1"/>
  <c r="B264" i="8"/>
  <c r="AZ79" i="12" s="1"/>
  <c r="B258" i="8"/>
  <c r="AZ73" i="12" s="1"/>
  <c r="B197" i="8"/>
  <c r="AZ54" i="12" s="1"/>
  <c r="B198" i="8"/>
  <c r="AZ55" i="12" s="1"/>
  <c r="B199" i="8"/>
  <c r="AZ56" i="12" s="1"/>
  <c r="B200" i="8"/>
  <c r="AZ57" i="12" s="1"/>
  <c r="B201" i="8"/>
  <c r="AZ58" i="12" s="1"/>
  <c r="B202" i="8"/>
  <c r="AZ59" i="12" s="1"/>
  <c r="B203" i="8"/>
  <c r="AZ60" i="12" s="1"/>
  <c r="B204" i="8"/>
  <c r="AZ61" i="12" s="1"/>
  <c r="B205" i="8"/>
  <c r="AZ62" i="12" s="1"/>
  <c r="B206" i="8"/>
  <c r="AZ63" i="12" s="1"/>
  <c r="B207" i="8"/>
  <c r="AZ64" i="12" s="1"/>
  <c r="B196" i="8"/>
  <c r="AZ53" i="12" s="1"/>
  <c r="B212" i="8"/>
  <c r="AE54" i="12" s="1"/>
  <c r="B213" i="8"/>
  <c r="AE55" i="12" s="1"/>
  <c r="B214" i="8"/>
  <c r="AE56" i="12" s="1"/>
  <c r="B215" i="8"/>
  <c r="AE57" i="12" s="1"/>
  <c r="B216" i="8"/>
  <c r="AE58" i="12" s="1"/>
  <c r="B217" i="8"/>
  <c r="AE59" i="12" s="1"/>
  <c r="B218" i="8"/>
  <c r="AE60" i="12" s="1"/>
  <c r="B219" i="8"/>
  <c r="AE61" i="12" s="1"/>
  <c r="B220" i="8"/>
  <c r="AE62" i="12" s="1"/>
  <c r="B221" i="8"/>
  <c r="AE63" i="12" s="1"/>
  <c r="B222" i="8"/>
  <c r="AE64" i="12" s="1"/>
  <c r="B211" i="8"/>
  <c r="AE53" i="12" s="1"/>
  <c r="B227" i="8"/>
  <c r="AR54" i="12" s="1"/>
  <c r="B228" i="8"/>
  <c r="AR55" i="12" s="1"/>
  <c r="B229" i="8"/>
  <c r="AR56" i="12" s="1"/>
  <c r="B230" i="8"/>
  <c r="AR57" i="12" s="1"/>
  <c r="B231" i="8"/>
  <c r="AR58" i="12" s="1"/>
  <c r="B232" i="8"/>
  <c r="AR59" i="12" s="1"/>
  <c r="B233" i="8"/>
  <c r="AR60" i="12" s="1"/>
  <c r="B234" i="8"/>
  <c r="AR61" i="12" s="1"/>
  <c r="B235" i="8"/>
  <c r="AR62" i="12" s="1"/>
  <c r="B236" i="8"/>
  <c r="AR63" i="12" s="1"/>
  <c r="B237" i="8"/>
  <c r="AR64" i="12" s="1"/>
  <c r="B226" i="8"/>
  <c r="AR53" i="12" s="1"/>
  <c r="B242" i="8"/>
  <c r="AI54" i="12" s="1"/>
  <c r="B243" i="8"/>
  <c r="AI55" i="12" s="1"/>
  <c r="B244" i="8"/>
  <c r="AI56" i="12" s="1"/>
  <c r="B245" i="8"/>
  <c r="AI57" i="12" s="1"/>
  <c r="B246" i="8"/>
  <c r="AI58" i="12" s="1"/>
  <c r="B247" i="8"/>
  <c r="AI59" i="12" s="1"/>
  <c r="B248" i="8"/>
  <c r="AI60" i="12" s="1"/>
  <c r="B249" i="8"/>
  <c r="AI61" i="12" s="1"/>
  <c r="B250" i="8"/>
  <c r="AI62" i="12" s="1"/>
  <c r="B251" i="8"/>
  <c r="AI63" i="12" s="1"/>
  <c r="B252" i="8"/>
  <c r="AI64" i="12" s="1"/>
  <c r="B241" i="8"/>
  <c r="AI53" i="12" s="1"/>
  <c r="D239" i="8"/>
  <c r="D224" i="8"/>
  <c r="D209" i="8"/>
  <c r="D194" i="8"/>
  <c r="D173" i="8"/>
  <c r="B190" i="8"/>
  <c r="AS43" i="12" s="1"/>
  <c r="B189" i="8"/>
  <c r="AS42" i="12" s="1"/>
  <c r="B186" i="8"/>
  <c r="AS39" i="12" s="1"/>
  <c r="B185" i="8"/>
  <c r="AS38" i="12" s="1"/>
  <c r="B184" i="8"/>
  <c r="AS37" i="12" s="1"/>
  <c r="B183" i="8"/>
  <c r="AS36" i="12" s="1"/>
  <c r="B182" i="8"/>
  <c r="AS35" i="12" s="1"/>
  <c r="B181" i="8"/>
  <c r="AS34" i="12" s="1"/>
  <c r="B180" i="8"/>
  <c r="AS33" i="12" s="1"/>
  <c r="B179" i="8"/>
  <c r="AS32" i="12" s="1"/>
  <c r="B178" i="8"/>
  <c r="AS31" i="12" s="1"/>
  <c r="B177" i="8"/>
  <c r="AS30" i="12" s="1"/>
  <c r="B176" i="8"/>
  <c r="AS29" i="12" s="1"/>
  <c r="B175" i="8"/>
  <c r="AS28" i="12" s="1"/>
  <c r="B171" i="8"/>
  <c r="AI43" i="12" s="1"/>
  <c r="B170" i="8"/>
  <c r="AI42" i="12" s="1"/>
  <c r="B167" i="8"/>
  <c r="AI39" i="12" s="1"/>
  <c r="B166" i="8"/>
  <c r="AI38" i="12" s="1"/>
  <c r="B165" i="8"/>
  <c r="AI37" i="12" s="1"/>
  <c r="B164" i="8"/>
  <c r="AI36" i="12" s="1"/>
  <c r="B163" i="8"/>
  <c r="AI35" i="12" s="1"/>
  <c r="B162" i="8"/>
  <c r="AI34" i="12" s="1"/>
  <c r="B161" i="8"/>
  <c r="AI33" i="12" s="1"/>
  <c r="B160" i="8"/>
  <c r="AI32" i="12" s="1"/>
  <c r="B159" i="8"/>
  <c r="AI31" i="12" s="1"/>
  <c r="B158" i="8"/>
  <c r="AI30" i="12" s="1"/>
  <c r="B157" i="8"/>
  <c r="AI29" i="12" s="1"/>
  <c r="B156" i="8"/>
  <c r="AI28" i="12" s="1"/>
  <c r="B152" i="8"/>
  <c r="AH43" i="12" s="1"/>
  <c r="B151" i="8"/>
  <c r="AH42" i="12" s="1"/>
  <c r="B148" i="8"/>
  <c r="AH39" i="12" s="1"/>
  <c r="B147" i="8"/>
  <c r="AH38" i="12" s="1"/>
  <c r="B146" i="8"/>
  <c r="AH37" i="12" s="1"/>
  <c r="B145" i="8"/>
  <c r="AH36" i="12" s="1"/>
  <c r="B144" i="8"/>
  <c r="AH35" i="12" s="1"/>
  <c r="B143" i="8"/>
  <c r="AH34" i="12" s="1"/>
  <c r="B142" i="8"/>
  <c r="AH33" i="12" s="1"/>
  <c r="B141" i="8"/>
  <c r="AH32" i="12" s="1"/>
  <c r="B140" i="8"/>
  <c r="AH31" i="12" s="1"/>
  <c r="B139" i="8"/>
  <c r="AH30" i="12" s="1"/>
  <c r="B138" i="8"/>
  <c r="AH29" i="12" s="1"/>
  <c r="B137" i="8"/>
  <c r="AH28" i="12" s="1"/>
  <c r="B133" i="8"/>
  <c r="AJ43" i="12" s="1"/>
  <c r="B132" i="8"/>
  <c r="AJ42" i="12" s="1"/>
  <c r="B129" i="8"/>
  <c r="AJ39" i="12" s="1"/>
  <c r="B128" i="8"/>
  <c r="AJ38" i="12" s="1"/>
  <c r="B127" i="8"/>
  <c r="AJ37" i="12" s="1"/>
  <c r="B126" i="8"/>
  <c r="AJ36" i="12" s="1"/>
  <c r="B125" i="8"/>
  <c r="AJ35" i="12" s="1"/>
  <c r="B124" i="8"/>
  <c r="AJ34" i="12" s="1"/>
  <c r="B123" i="8"/>
  <c r="AJ33" i="12" s="1"/>
  <c r="B122" i="8"/>
  <c r="AJ32" i="12" s="1"/>
  <c r="B121" i="8"/>
  <c r="AJ31" i="12" s="1"/>
  <c r="B120" i="8"/>
  <c r="AJ30" i="12" s="1"/>
  <c r="B119" i="8"/>
  <c r="AJ29" i="12" s="1"/>
  <c r="B118" i="8"/>
  <c r="AJ28" i="12" s="1"/>
  <c r="D116" i="8"/>
  <c r="B90" i="8"/>
  <c r="AG19" i="12" s="1"/>
  <c r="B89" i="8"/>
  <c r="AG18" i="12" s="1"/>
  <c r="B88" i="8"/>
  <c r="AG17" i="12" s="1"/>
  <c r="B86" i="8"/>
  <c r="AG15" i="12" s="1"/>
  <c r="B85" i="8"/>
  <c r="AG14" i="12" s="1"/>
  <c r="B84" i="8"/>
  <c r="AG13" i="12" s="1"/>
  <c r="B83" i="8"/>
  <c r="AG12" i="12" s="1"/>
  <c r="B82" i="8"/>
  <c r="AG11" i="12" s="1"/>
  <c r="B81" i="8"/>
  <c r="AG10" i="12" s="1"/>
  <c r="B80" i="8"/>
  <c r="AG9" i="12" s="1"/>
  <c r="B79" i="8"/>
  <c r="AG8" i="12" s="1"/>
  <c r="B78" i="8"/>
  <c r="AG7" i="12" s="1"/>
  <c r="B77" i="8"/>
  <c r="AG6" i="12" s="1"/>
  <c r="B76" i="8"/>
  <c r="AG5" i="12" s="1"/>
  <c r="B75" i="8"/>
  <c r="AG4" i="12" s="1"/>
  <c r="B71" i="8"/>
  <c r="AI19" i="12" s="1"/>
  <c r="B70" i="8"/>
  <c r="AI18" i="12" s="1"/>
  <c r="B69" i="8"/>
  <c r="AI17" i="12" s="1"/>
  <c r="B67" i="8"/>
  <c r="AI15" i="12" s="1"/>
  <c r="B66" i="8"/>
  <c r="AI14" i="12" s="1"/>
  <c r="B65" i="8"/>
  <c r="AI13" i="12" s="1"/>
  <c r="B64" i="8"/>
  <c r="AI12" i="12" s="1"/>
  <c r="B63" i="8"/>
  <c r="AI11" i="12" s="1"/>
  <c r="B62" i="8"/>
  <c r="AI10" i="12" s="1"/>
  <c r="B61" i="8"/>
  <c r="AI9" i="12" s="1"/>
  <c r="B60" i="8"/>
  <c r="AI8" i="12" s="1"/>
  <c r="B59" i="8"/>
  <c r="AI7" i="12" s="1"/>
  <c r="B58" i="8"/>
  <c r="AI6" i="12" s="1"/>
  <c r="B57" i="8"/>
  <c r="AI5" i="12" s="1"/>
  <c r="B56" i="8"/>
  <c r="AI4" i="12" s="1"/>
  <c r="B52" i="8"/>
  <c r="AH19" i="12" s="1"/>
  <c r="B51" i="8"/>
  <c r="AH18" i="12" s="1"/>
  <c r="B50" i="8"/>
  <c r="AH17" i="12" s="1"/>
  <c r="B48" i="8"/>
  <c r="AH15" i="12" s="1"/>
  <c r="B47" i="8"/>
  <c r="AH14" i="12" s="1"/>
  <c r="B46" i="8"/>
  <c r="AH13" i="12" s="1"/>
  <c r="B45" i="8"/>
  <c r="AH12" i="12" s="1"/>
  <c r="B44" i="8"/>
  <c r="AH11" i="12" s="1"/>
  <c r="B43" i="8"/>
  <c r="AH10" i="12" s="1"/>
  <c r="B42" i="8"/>
  <c r="AH9" i="12" s="1"/>
  <c r="B41" i="8"/>
  <c r="AH8" i="12" s="1"/>
  <c r="B40" i="8"/>
  <c r="AH7" i="12" s="1"/>
  <c r="B39" i="8"/>
  <c r="AH6" i="12" s="1"/>
  <c r="B38" i="8"/>
  <c r="AH5" i="12" s="1"/>
  <c r="B37" i="8"/>
  <c r="AH4" i="12" s="1"/>
  <c r="B33" i="8"/>
  <c r="AJ19" i="12" s="1"/>
  <c r="B32" i="8"/>
  <c r="AJ18" i="12" s="1"/>
  <c r="B31" i="8"/>
  <c r="AJ17" i="12" s="1"/>
  <c r="B29" i="8"/>
  <c r="AJ15" i="12" s="1"/>
  <c r="B28" i="8"/>
  <c r="AJ14" i="12" s="1"/>
  <c r="B27" i="8"/>
  <c r="AJ13" i="12" s="1"/>
  <c r="B26" i="8"/>
  <c r="AJ12" i="12" s="1"/>
  <c r="B25" i="8"/>
  <c r="AJ11" i="12" s="1"/>
  <c r="B24" i="8"/>
  <c r="AJ10" i="12" s="1"/>
  <c r="B23" i="8"/>
  <c r="AJ9" i="12" s="1"/>
  <c r="B22" i="8"/>
  <c r="AJ8" i="12" s="1"/>
  <c r="B21" i="8"/>
  <c r="AJ7" i="12" s="1"/>
  <c r="B20" i="8"/>
  <c r="AJ6" i="12" s="1"/>
  <c r="B19" i="8"/>
  <c r="AJ5" i="12" s="1"/>
  <c r="B18" i="8"/>
  <c r="AJ4" i="12" s="1"/>
  <c r="D73" i="8"/>
  <c r="D16" i="8"/>
  <c r="B18" i="9"/>
  <c r="B19" i="9"/>
  <c r="B20" i="9"/>
  <c r="B21" i="9"/>
  <c r="B22" i="9"/>
  <c r="B17" i="9"/>
  <c r="B53" i="9"/>
  <c r="B52" i="9"/>
  <c r="B40" i="9"/>
  <c r="B41" i="9"/>
  <c r="B42" i="9"/>
  <c r="B43" i="9"/>
  <c r="B44" i="9"/>
  <c r="B45" i="9"/>
  <c r="B46" i="9"/>
  <c r="B47" i="9"/>
  <c r="B48" i="9"/>
  <c r="B49" i="9"/>
  <c r="B50" i="9"/>
  <c r="B39" i="9"/>
  <c r="B74" i="9"/>
  <c r="B75" i="9"/>
  <c r="B76" i="9"/>
  <c r="B77" i="9"/>
  <c r="B78" i="9"/>
  <c r="B79" i="9"/>
  <c r="B80" i="9"/>
  <c r="B81" i="9"/>
  <c r="B82" i="9"/>
  <c r="B83" i="9"/>
  <c r="B84" i="9"/>
  <c r="B73" i="9"/>
  <c r="B89" i="9"/>
  <c r="B90" i="9"/>
  <c r="B91" i="9"/>
  <c r="B92" i="9"/>
  <c r="B93" i="9"/>
  <c r="B94" i="9"/>
  <c r="B95" i="9"/>
  <c r="B96" i="9"/>
  <c r="B97" i="9"/>
  <c r="B98" i="9"/>
  <c r="B99" i="9"/>
  <c r="B88" i="9"/>
  <c r="B121" i="9"/>
  <c r="B122" i="9"/>
  <c r="B123" i="9"/>
  <c r="B124" i="9"/>
  <c r="B125" i="9"/>
  <c r="B126" i="9"/>
  <c r="B127" i="9"/>
  <c r="B128" i="9"/>
  <c r="B129" i="9"/>
  <c r="B130" i="9"/>
  <c r="B131" i="9"/>
  <c r="B120" i="9"/>
  <c r="B106" i="9"/>
  <c r="B107" i="9"/>
  <c r="B108" i="9"/>
  <c r="B109" i="9"/>
  <c r="B110" i="9"/>
  <c r="B111" i="9"/>
  <c r="B112" i="9"/>
  <c r="B113" i="9"/>
  <c r="B114" i="9"/>
  <c r="B115" i="9"/>
  <c r="B116" i="9"/>
  <c r="B105" i="9"/>
  <c r="B149" i="9"/>
  <c r="B150" i="9"/>
  <c r="B151" i="9"/>
  <c r="B152" i="9"/>
  <c r="B153" i="9"/>
  <c r="B154" i="9"/>
  <c r="B155" i="9"/>
  <c r="B148" i="9"/>
  <c r="B138" i="9"/>
  <c r="B139" i="9"/>
  <c r="B140" i="9"/>
  <c r="B141" i="9"/>
  <c r="B142" i="9"/>
  <c r="B143" i="9"/>
  <c r="B144" i="9"/>
  <c r="B137" i="9"/>
  <c r="D146" i="9"/>
  <c r="D135" i="9"/>
  <c r="D118" i="9"/>
  <c r="D103" i="9"/>
  <c r="D86" i="9"/>
  <c r="D71" i="9"/>
  <c r="D37" i="9"/>
  <c r="D34" i="9"/>
  <c r="D33" i="9"/>
  <c r="D32" i="9"/>
  <c r="D30" i="9"/>
  <c r="D29" i="9"/>
  <c r="D28" i="9"/>
  <c r="D27" i="9"/>
  <c r="D26" i="9"/>
  <c r="D15" i="9"/>
  <c r="B307" i="1"/>
  <c r="B305" i="1"/>
  <c r="B301" i="1"/>
  <c r="B299" i="1"/>
  <c r="D303" i="1"/>
  <c r="D297" i="1"/>
  <c r="D299" i="1" s="1"/>
  <c r="D301" i="1" s="1"/>
  <c r="B291" i="1"/>
  <c r="B292" i="1"/>
  <c r="B293" i="1"/>
  <c r="B294" i="1"/>
  <c r="B295" i="1"/>
  <c r="B290" i="1"/>
  <c r="B282" i="1"/>
  <c r="B283" i="1"/>
  <c r="B284" i="1"/>
  <c r="B285" i="1"/>
  <c r="B286" i="1"/>
  <c r="B281" i="1"/>
  <c r="B273" i="1"/>
  <c r="B274" i="1"/>
  <c r="B275" i="1"/>
  <c r="B276" i="1"/>
  <c r="B277" i="1"/>
  <c r="B272" i="1"/>
  <c r="B264" i="1"/>
  <c r="B265" i="1"/>
  <c r="B266" i="1"/>
  <c r="B267" i="1"/>
  <c r="B268" i="1"/>
  <c r="B263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04" i="1"/>
  <c r="B205" i="1"/>
  <c r="B206" i="1"/>
  <c r="B207" i="1"/>
  <c r="B208" i="1"/>
  <c r="B209" i="1"/>
  <c r="B210" i="1"/>
  <c r="B211" i="1"/>
  <c r="B212" i="1"/>
  <c r="B203" i="1"/>
  <c r="B202" i="1"/>
  <c r="B201" i="1"/>
  <c r="B195" i="1"/>
  <c r="B194" i="1"/>
  <c r="B191" i="1"/>
  <c r="B190" i="1"/>
  <c r="B189" i="1"/>
  <c r="B188" i="1"/>
  <c r="B187" i="1"/>
  <c r="B186" i="1"/>
  <c r="B185" i="1"/>
  <c r="B184" i="1"/>
  <c r="B183" i="1"/>
  <c r="B182" i="1"/>
  <c r="B178" i="1"/>
  <c r="B177" i="1"/>
  <c r="B175" i="1"/>
  <c r="B174" i="1"/>
  <c r="B173" i="1"/>
  <c r="B172" i="1"/>
  <c r="B171" i="1"/>
  <c r="B170" i="1"/>
  <c r="B169" i="1"/>
  <c r="B168" i="1"/>
  <c r="B167" i="1"/>
  <c r="B166" i="1"/>
  <c r="B162" i="1"/>
  <c r="B161" i="1"/>
  <c r="B159" i="1"/>
  <c r="B158" i="1"/>
  <c r="B157" i="1"/>
  <c r="B156" i="1"/>
  <c r="B155" i="1"/>
  <c r="B154" i="1"/>
  <c r="B153" i="1"/>
  <c r="B152" i="1"/>
  <c r="B151" i="1"/>
  <c r="B150" i="1"/>
  <c r="B146" i="1"/>
  <c r="B145" i="1"/>
  <c r="B142" i="1"/>
  <c r="B141" i="1"/>
  <c r="B140" i="1"/>
  <c r="B139" i="1"/>
  <c r="B138" i="1"/>
  <c r="B137" i="1"/>
  <c r="B136" i="1"/>
  <c r="B135" i="1"/>
  <c r="B134" i="1"/>
  <c r="B130" i="1"/>
  <c r="B129" i="1"/>
  <c r="B128" i="1"/>
  <c r="B127" i="1"/>
  <c r="B126" i="1"/>
  <c r="B125" i="1"/>
  <c r="B124" i="1"/>
  <c r="B123" i="1"/>
  <c r="B122" i="1"/>
  <c r="D270" i="1"/>
  <c r="D274" i="1" s="1"/>
  <c r="D261" i="1"/>
  <c r="D244" i="1"/>
  <c r="D229" i="1"/>
  <c r="D214" i="1"/>
  <c r="D164" i="1"/>
  <c r="D148" i="1"/>
  <c r="D132" i="1"/>
  <c r="D180" i="1"/>
  <c r="D199" i="1"/>
  <c r="D120" i="1"/>
  <c r="D80" i="1"/>
  <c r="B94" i="1"/>
  <c r="B93" i="1"/>
  <c r="B92" i="1"/>
  <c r="B91" i="1"/>
  <c r="B89" i="1"/>
  <c r="B88" i="1"/>
  <c r="B87" i="1"/>
  <c r="B86" i="1"/>
  <c r="B85" i="1"/>
  <c r="B84" i="1"/>
  <c r="B83" i="1"/>
  <c r="B82" i="1"/>
  <c r="B78" i="1"/>
  <c r="B77" i="1"/>
  <c r="B75" i="1"/>
  <c r="B74" i="1"/>
  <c r="B73" i="1"/>
  <c r="B72" i="1"/>
  <c r="B55" i="1"/>
  <c r="B70" i="1"/>
  <c r="B69" i="1"/>
  <c r="B68" i="1"/>
  <c r="B67" i="1"/>
  <c r="B66" i="1"/>
  <c r="B62" i="1"/>
  <c r="B61" i="1"/>
  <c r="B59" i="1"/>
  <c r="B58" i="1"/>
  <c r="B57" i="1"/>
  <c r="B56" i="1"/>
  <c r="B71" i="1"/>
  <c r="B54" i="1"/>
  <c r="B53" i="1"/>
  <c r="B52" i="1"/>
  <c r="B51" i="1"/>
  <c r="B50" i="1"/>
  <c r="B46" i="1"/>
  <c r="B45" i="1"/>
  <c r="B43" i="1"/>
  <c r="B42" i="1"/>
  <c r="B41" i="1"/>
  <c r="B40" i="1"/>
  <c r="B39" i="1"/>
  <c r="B38" i="1"/>
  <c r="B37" i="1"/>
  <c r="B36" i="1"/>
  <c r="B35" i="1"/>
  <c r="B34" i="1"/>
  <c r="D64" i="1"/>
  <c r="D71" i="1" s="1"/>
  <c r="D32" i="1"/>
  <c r="D48" i="1"/>
  <c r="D55" i="1" s="1"/>
  <c r="B30" i="1"/>
  <c r="B29" i="1"/>
  <c r="B27" i="1"/>
  <c r="B26" i="1"/>
  <c r="B25" i="1"/>
  <c r="B24" i="1"/>
  <c r="B23" i="1"/>
  <c r="B22" i="1"/>
  <c r="B21" i="1"/>
  <c r="B20" i="1"/>
  <c r="B19" i="1"/>
  <c r="B18" i="1"/>
  <c r="D16" i="1"/>
  <c r="B277" i="2"/>
  <c r="B278" i="2"/>
  <c r="B279" i="2"/>
  <c r="B280" i="2"/>
  <c r="B281" i="2"/>
  <c r="B276" i="2"/>
  <c r="B259" i="2"/>
  <c r="B260" i="2"/>
  <c r="B261" i="2"/>
  <c r="B262" i="2"/>
  <c r="B263" i="2"/>
  <c r="B258" i="2"/>
  <c r="B272" i="2"/>
  <c r="B271" i="2"/>
  <c r="B270" i="2"/>
  <c r="B269" i="2"/>
  <c r="B268" i="2"/>
  <c r="B267" i="2"/>
  <c r="D265" i="2"/>
  <c r="D269" i="2" s="1"/>
  <c r="D256" i="2"/>
  <c r="D274" i="2"/>
  <c r="B293" i="2"/>
  <c r="B287" i="2"/>
  <c r="D289" i="2"/>
  <c r="D283" i="2"/>
  <c r="D285" i="2" s="1"/>
  <c r="D287" i="2" s="1"/>
  <c r="B302" i="2"/>
  <c r="B301" i="2"/>
  <c r="B300" i="2"/>
  <c r="B299" i="2"/>
  <c r="B298" i="2"/>
  <c r="B297" i="2"/>
  <c r="D295" i="2"/>
  <c r="D297" i="2" s="1"/>
  <c r="D239" i="2"/>
  <c r="D224" i="2"/>
  <c r="D209" i="2"/>
  <c r="D194" i="2"/>
  <c r="B242" i="2"/>
  <c r="B243" i="2"/>
  <c r="B244" i="2"/>
  <c r="B245" i="2"/>
  <c r="B246" i="2"/>
  <c r="B247" i="2"/>
  <c r="B248" i="2"/>
  <c r="B249" i="2"/>
  <c r="B250" i="2"/>
  <c r="B251" i="2"/>
  <c r="B252" i="2"/>
  <c r="B241" i="2"/>
  <c r="B227" i="2"/>
  <c r="B228" i="2"/>
  <c r="B229" i="2"/>
  <c r="B230" i="2"/>
  <c r="B231" i="2"/>
  <c r="B232" i="2"/>
  <c r="B233" i="2"/>
  <c r="B234" i="2"/>
  <c r="B235" i="2"/>
  <c r="B236" i="2"/>
  <c r="B237" i="2"/>
  <c r="B226" i="2"/>
  <c r="B212" i="2"/>
  <c r="B213" i="2"/>
  <c r="B214" i="2"/>
  <c r="B215" i="2"/>
  <c r="B216" i="2"/>
  <c r="B217" i="2"/>
  <c r="B218" i="2"/>
  <c r="B219" i="2"/>
  <c r="B220" i="2"/>
  <c r="B221" i="2"/>
  <c r="B222" i="2"/>
  <c r="B211" i="2"/>
  <c r="B197" i="2"/>
  <c r="B198" i="2"/>
  <c r="B199" i="2"/>
  <c r="B200" i="2"/>
  <c r="B201" i="2"/>
  <c r="B202" i="2"/>
  <c r="B203" i="2"/>
  <c r="B204" i="2"/>
  <c r="B205" i="2"/>
  <c r="B206" i="2"/>
  <c r="B207" i="2"/>
  <c r="B196" i="2"/>
  <c r="D173" i="2"/>
  <c r="D154" i="2"/>
  <c r="D135" i="2"/>
  <c r="D116" i="2"/>
  <c r="B190" i="2"/>
  <c r="B189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1" i="2"/>
  <c r="B170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2" i="2"/>
  <c r="B151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3" i="2"/>
  <c r="B132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90" i="2"/>
  <c r="B89" i="2"/>
  <c r="B88" i="2"/>
  <c r="B86" i="2"/>
  <c r="B85" i="2"/>
  <c r="B84" i="2"/>
  <c r="B83" i="2"/>
  <c r="B82" i="2"/>
  <c r="B81" i="2"/>
  <c r="B80" i="2"/>
  <c r="B79" i="2"/>
  <c r="B78" i="2"/>
  <c r="B77" i="2"/>
  <c r="B76" i="2"/>
  <c r="B75" i="2"/>
  <c r="B71" i="2"/>
  <c r="B70" i="2"/>
  <c r="B69" i="2"/>
  <c r="B67" i="2"/>
  <c r="B66" i="2"/>
  <c r="B65" i="2"/>
  <c r="B64" i="2"/>
  <c r="B63" i="2"/>
  <c r="B62" i="2"/>
  <c r="B61" i="2"/>
  <c r="B60" i="2"/>
  <c r="B59" i="2"/>
  <c r="B58" i="2"/>
  <c r="B57" i="2"/>
  <c r="B56" i="2"/>
  <c r="B52" i="2"/>
  <c r="B51" i="2"/>
  <c r="B50" i="2"/>
  <c r="B48" i="2"/>
  <c r="B47" i="2"/>
  <c r="B46" i="2"/>
  <c r="B45" i="2"/>
  <c r="B44" i="2"/>
  <c r="B43" i="2"/>
  <c r="B42" i="2"/>
  <c r="B41" i="2"/>
  <c r="B40" i="2"/>
  <c r="B39" i="2"/>
  <c r="B38" i="2"/>
  <c r="B37" i="2"/>
  <c r="B33" i="2"/>
  <c r="B32" i="2"/>
  <c r="B31" i="2"/>
  <c r="B19" i="2"/>
  <c r="B20" i="2"/>
  <c r="B21" i="2"/>
  <c r="B22" i="2"/>
  <c r="B23" i="2"/>
  <c r="B24" i="2"/>
  <c r="B25" i="2"/>
  <c r="B26" i="2"/>
  <c r="B27" i="2"/>
  <c r="B28" i="2"/>
  <c r="B29" i="2"/>
  <c r="B18" i="2"/>
  <c r="D73" i="2"/>
  <c r="D54" i="2"/>
  <c r="D35" i="2"/>
  <c r="D16" i="2"/>
  <c r="B277" i="3"/>
  <c r="B278" i="3"/>
  <c r="B279" i="3"/>
  <c r="B280" i="3"/>
  <c r="B281" i="3"/>
  <c r="B276" i="3"/>
  <c r="B268" i="3"/>
  <c r="B269" i="3"/>
  <c r="B270" i="3"/>
  <c r="B271" i="3"/>
  <c r="B272" i="3"/>
  <c r="D265" i="3"/>
  <c r="D274" i="3"/>
  <c r="D256" i="3"/>
  <c r="D263" i="3" s="1"/>
  <c r="D283" i="3"/>
  <c r="B290" i="3"/>
  <c r="B289" i="3"/>
  <c r="B288" i="3"/>
  <c r="B287" i="3"/>
  <c r="B286" i="3"/>
  <c r="B285" i="3"/>
  <c r="B267" i="3"/>
  <c r="B263" i="3"/>
  <c r="B262" i="3"/>
  <c r="B261" i="3"/>
  <c r="B260" i="3"/>
  <c r="B259" i="3"/>
  <c r="B258" i="3"/>
  <c r="D296" i="3"/>
  <c r="D298" i="3" s="1"/>
  <c r="B301" i="3"/>
  <c r="B299" i="3"/>
  <c r="B294" i="3"/>
  <c r="D292" i="3"/>
  <c r="D239" i="3"/>
  <c r="B242" i="3"/>
  <c r="B243" i="3"/>
  <c r="B244" i="3"/>
  <c r="B245" i="3"/>
  <c r="B246" i="3"/>
  <c r="B247" i="3"/>
  <c r="B248" i="3"/>
  <c r="B249" i="3"/>
  <c r="B250" i="3"/>
  <c r="B251" i="3"/>
  <c r="B252" i="3"/>
  <c r="B241" i="3"/>
  <c r="B227" i="3"/>
  <c r="B228" i="3"/>
  <c r="B229" i="3"/>
  <c r="B230" i="3"/>
  <c r="B231" i="3"/>
  <c r="B232" i="3"/>
  <c r="B233" i="3"/>
  <c r="B234" i="3"/>
  <c r="B235" i="3"/>
  <c r="B236" i="3"/>
  <c r="B237" i="3"/>
  <c r="B226" i="3"/>
  <c r="B212" i="3"/>
  <c r="B213" i="3"/>
  <c r="B214" i="3"/>
  <c r="B215" i="3"/>
  <c r="B216" i="3"/>
  <c r="B217" i="3"/>
  <c r="B218" i="3"/>
  <c r="B219" i="3"/>
  <c r="B220" i="3"/>
  <c r="B221" i="3"/>
  <c r="B222" i="3"/>
  <c r="B211" i="3"/>
  <c r="B197" i="3"/>
  <c r="B198" i="3"/>
  <c r="B199" i="3"/>
  <c r="B200" i="3"/>
  <c r="B201" i="3"/>
  <c r="B202" i="3"/>
  <c r="B203" i="3"/>
  <c r="B204" i="3"/>
  <c r="B205" i="3"/>
  <c r="B206" i="3"/>
  <c r="B207" i="3"/>
  <c r="B196" i="3"/>
  <c r="D209" i="3"/>
  <c r="D222" i="3" s="1"/>
  <c r="D194" i="3"/>
  <c r="D173" i="3"/>
  <c r="D154" i="3"/>
  <c r="B190" i="3"/>
  <c r="B189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1" i="3"/>
  <c r="B170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2" i="3"/>
  <c r="B151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3" i="3"/>
  <c r="B132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D135" i="3"/>
  <c r="D116" i="3"/>
  <c r="B90" i="3"/>
  <c r="B89" i="3"/>
  <c r="B88" i="3"/>
  <c r="B86" i="3"/>
  <c r="B85" i="3"/>
  <c r="B84" i="3"/>
  <c r="B83" i="3"/>
  <c r="B82" i="3"/>
  <c r="B81" i="3"/>
  <c r="B80" i="3"/>
  <c r="B79" i="3"/>
  <c r="B78" i="3"/>
  <c r="B77" i="3"/>
  <c r="B76" i="3"/>
  <c r="B75" i="3"/>
  <c r="B71" i="3"/>
  <c r="B70" i="3"/>
  <c r="B69" i="3"/>
  <c r="B67" i="3"/>
  <c r="B66" i="3"/>
  <c r="B65" i="3"/>
  <c r="B64" i="3"/>
  <c r="B63" i="3"/>
  <c r="B62" i="3"/>
  <c r="B61" i="3"/>
  <c r="B60" i="3"/>
  <c r="B59" i="3"/>
  <c r="B58" i="3"/>
  <c r="B57" i="3"/>
  <c r="B56" i="3"/>
  <c r="B52" i="3"/>
  <c r="B51" i="3"/>
  <c r="B50" i="3"/>
  <c r="B48" i="3"/>
  <c r="B47" i="3"/>
  <c r="B46" i="3"/>
  <c r="B45" i="3"/>
  <c r="B44" i="3"/>
  <c r="B43" i="3"/>
  <c r="B42" i="3"/>
  <c r="B41" i="3"/>
  <c r="B40" i="3"/>
  <c r="B39" i="3"/>
  <c r="B38" i="3"/>
  <c r="B37" i="3"/>
  <c r="B33" i="3"/>
  <c r="B32" i="3"/>
  <c r="B31" i="3"/>
  <c r="B29" i="3"/>
  <c r="B28" i="3"/>
  <c r="B27" i="3"/>
  <c r="B26" i="3"/>
  <c r="B25" i="3"/>
  <c r="B24" i="3"/>
  <c r="B23" i="3"/>
  <c r="B22" i="3"/>
  <c r="B21" i="3"/>
  <c r="B20" i="3"/>
  <c r="B19" i="3"/>
  <c r="B18" i="3"/>
  <c r="D73" i="3"/>
  <c r="D54" i="3"/>
  <c r="D35" i="3"/>
  <c r="D16" i="3"/>
  <c r="B277" i="4"/>
  <c r="B278" i="4"/>
  <c r="B279" i="4"/>
  <c r="B280" i="4"/>
  <c r="B281" i="4"/>
  <c r="B276" i="4"/>
  <c r="B268" i="4"/>
  <c r="B269" i="4"/>
  <c r="B270" i="4"/>
  <c r="B271" i="4"/>
  <c r="B272" i="4"/>
  <c r="B267" i="4"/>
  <c r="D265" i="4"/>
  <c r="D274" i="4"/>
  <c r="B259" i="4"/>
  <c r="B260" i="4"/>
  <c r="B261" i="4"/>
  <c r="B262" i="4"/>
  <c r="B263" i="4"/>
  <c r="B258" i="4"/>
  <c r="D256" i="4"/>
  <c r="B286" i="4"/>
  <c r="B287" i="4"/>
  <c r="B288" i="4"/>
  <c r="B289" i="4"/>
  <c r="B290" i="4"/>
  <c r="B285" i="4"/>
  <c r="D283" i="4"/>
  <c r="B301" i="4"/>
  <c r="B297" i="4"/>
  <c r="B294" i="4"/>
  <c r="D299" i="4"/>
  <c r="D292" i="4"/>
  <c r="D295" i="4" s="1"/>
  <c r="B252" i="4"/>
  <c r="B251" i="4"/>
  <c r="B250" i="4"/>
  <c r="B249" i="4"/>
  <c r="B248" i="4"/>
  <c r="B247" i="4"/>
  <c r="B246" i="4"/>
  <c r="B245" i="4"/>
  <c r="B244" i="4"/>
  <c r="B243" i="4"/>
  <c r="B242" i="4"/>
  <c r="B241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D239" i="4"/>
  <c r="D224" i="4"/>
  <c r="D209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0" i="4"/>
  <c r="B189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1" i="4"/>
  <c r="B170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2" i="4"/>
  <c r="B151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3" i="4"/>
  <c r="B132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D194" i="4"/>
  <c r="D173" i="4"/>
  <c r="D154" i="4"/>
  <c r="D135" i="4"/>
  <c r="D116" i="4"/>
  <c r="B90" i="4"/>
  <c r="B89" i="4"/>
  <c r="B88" i="4"/>
  <c r="B86" i="4"/>
  <c r="B85" i="4"/>
  <c r="B84" i="4"/>
  <c r="B83" i="4"/>
  <c r="B82" i="4"/>
  <c r="B81" i="4"/>
  <c r="B80" i="4"/>
  <c r="B79" i="4"/>
  <c r="B78" i="4"/>
  <c r="B77" i="4"/>
  <c r="B76" i="4"/>
  <c r="B75" i="4"/>
  <c r="D73" i="4"/>
  <c r="B71" i="4"/>
  <c r="B70" i="4"/>
  <c r="B69" i="4"/>
  <c r="B67" i="4"/>
  <c r="B66" i="4"/>
  <c r="B65" i="4"/>
  <c r="B64" i="4"/>
  <c r="B63" i="4"/>
  <c r="B62" i="4"/>
  <c r="B61" i="4"/>
  <c r="B60" i="4"/>
  <c r="B59" i="4"/>
  <c r="B58" i="4"/>
  <c r="B57" i="4"/>
  <c r="B56" i="4"/>
  <c r="D54" i="4"/>
  <c r="B52" i="4"/>
  <c r="B51" i="4"/>
  <c r="B50" i="4"/>
  <c r="B48" i="4"/>
  <c r="B47" i="4"/>
  <c r="B46" i="4"/>
  <c r="B45" i="4"/>
  <c r="B44" i="4"/>
  <c r="B43" i="4"/>
  <c r="B42" i="4"/>
  <c r="B41" i="4"/>
  <c r="B40" i="4"/>
  <c r="B39" i="4"/>
  <c r="B38" i="4"/>
  <c r="B37" i="4"/>
  <c r="D35" i="4"/>
  <c r="B33" i="4"/>
  <c r="B32" i="4"/>
  <c r="B31" i="4"/>
  <c r="B19" i="4"/>
  <c r="B20" i="4"/>
  <c r="B21" i="4"/>
  <c r="B22" i="4"/>
  <c r="B23" i="4"/>
  <c r="B24" i="4"/>
  <c r="B25" i="4"/>
  <c r="B26" i="4"/>
  <c r="B27" i="4"/>
  <c r="B28" i="4"/>
  <c r="B29" i="4"/>
  <c r="B18" i="4"/>
  <c r="D16" i="4"/>
  <c r="B197" i="5"/>
  <c r="B198" i="5"/>
  <c r="B199" i="5"/>
  <c r="B200" i="5"/>
  <c r="B201" i="5"/>
  <c r="B196" i="5"/>
  <c r="D194" i="5"/>
  <c r="B229" i="5"/>
  <c r="B223" i="5"/>
  <c r="D221" i="5"/>
  <c r="D227" i="5"/>
  <c r="B206" i="5"/>
  <c r="B207" i="5"/>
  <c r="B208" i="5"/>
  <c r="B209" i="5"/>
  <c r="B210" i="5"/>
  <c r="B205" i="5"/>
  <c r="D203" i="5"/>
  <c r="B215" i="5"/>
  <c r="B216" i="5"/>
  <c r="B217" i="5"/>
  <c r="B218" i="5"/>
  <c r="B219" i="5"/>
  <c r="B214" i="5"/>
  <c r="D212" i="5"/>
  <c r="B182" i="5"/>
  <c r="B183" i="5"/>
  <c r="B184" i="5"/>
  <c r="B185" i="5"/>
  <c r="B186" i="5"/>
  <c r="B187" i="5"/>
  <c r="B188" i="5"/>
  <c r="B189" i="5"/>
  <c r="B190" i="5"/>
  <c r="B181" i="5"/>
  <c r="B167" i="5"/>
  <c r="B168" i="5"/>
  <c r="B169" i="5"/>
  <c r="B170" i="5"/>
  <c r="B171" i="5"/>
  <c r="B172" i="5"/>
  <c r="B173" i="5"/>
  <c r="B174" i="5"/>
  <c r="B175" i="5"/>
  <c r="B176" i="5"/>
  <c r="B177" i="5"/>
  <c r="B166" i="5"/>
  <c r="B152" i="5"/>
  <c r="B153" i="5"/>
  <c r="B154" i="5"/>
  <c r="B155" i="5"/>
  <c r="B156" i="5"/>
  <c r="B157" i="5"/>
  <c r="B158" i="5"/>
  <c r="B159" i="5"/>
  <c r="B160" i="5"/>
  <c r="B161" i="5"/>
  <c r="B162" i="5"/>
  <c r="B151" i="5"/>
  <c r="B135" i="5"/>
  <c r="B136" i="5"/>
  <c r="B137" i="5"/>
  <c r="B138" i="5"/>
  <c r="B139" i="5"/>
  <c r="B140" i="5"/>
  <c r="B141" i="5"/>
  <c r="B142" i="5"/>
  <c r="B143" i="5"/>
  <c r="B144" i="5"/>
  <c r="B145" i="5"/>
  <c r="B134" i="5"/>
  <c r="B122" i="5"/>
  <c r="B121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3" i="5"/>
  <c r="B102" i="5"/>
  <c r="B99" i="5"/>
  <c r="B98" i="5"/>
  <c r="B97" i="5"/>
  <c r="B96" i="5"/>
  <c r="B95" i="5"/>
  <c r="B94" i="5"/>
  <c r="B93" i="5"/>
  <c r="B92" i="5"/>
  <c r="B91" i="5"/>
  <c r="B90" i="5"/>
  <c r="B89" i="5"/>
  <c r="B88" i="5"/>
  <c r="D132" i="5"/>
  <c r="D105" i="5"/>
  <c r="D86" i="5"/>
  <c r="D34" i="5"/>
  <c r="D14" i="5"/>
  <c r="D54" i="5"/>
  <c r="B70" i="5"/>
  <c r="B69" i="5"/>
  <c r="B68" i="5"/>
  <c r="B65" i="5"/>
  <c r="B64" i="5"/>
  <c r="B63" i="5"/>
  <c r="B62" i="5"/>
  <c r="B61" i="5"/>
  <c r="B60" i="5"/>
  <c r="B59" i="5"/>
  <c r="B58" i="5"/>
  <c r="B57" i="5"/>
  <c r="B56" i="5"/>
  <c r="B52" i="5"/>
  <c r="B51" i="5"/>
  <c r="B50" i="5"/>
  <c r="B49" i="5"/>
  <c r="B47" i="5"/>
  <c r="B46" i="5"/>
  <c r="B45" i="5"/>
  <c r="B44" i="5"/>
  <c r="B43" i="5"/>
  <c r="B42" i="5"/>
  <c r="B41" i="5"/>
  <c r="B40" i="5"/>
  <c r="B39" i="5"/>
  <c r="B38" i="5"/>
  <c r="B37" i="5"/>
  <c r="B36" i="5"/>
  <c r="B32" i="5"/>
  <c r="B31" i="5"/>
  <c r="B30" i="5"/>
  <c r="B29" i="5"/>
  <c r="B27" i="5"/>
  <c r="B26" i="5"/>
  <c r="B25" i="5"/>
  <c r="B24" i="5"/>
  <c r="B23" i="5"/>
  <c r="B22" i="5"/>
  <c r="B21" i="5"/>
  <c r="B20" i="5"/>
  <c r="B19" i="5"/>
  <c r="B18" i="5"/>
  <c r="B17" i="5"/>
  <c r="B16" i="5"/>
  <c r="BI3" i="12"/>
  <c r="BI27" i="12"/>
  <c r="BI51" i="12"/>
  <c r="BI72" i="12"/>
  <c r="D324" i="11"/>
  <c r="B324" i="11"/>
  <c r="D323" i="11"/>
  <c r="B323" i="11"/>
  <c r="D322" i="11"/>
  <c r="B322" i="11"/>
  <c r="D321" i="11"/>
  <c r="B321" i="11"/>
  <c r="D320" i="11"/>
  <c r="B320" i="11"/>
  <c r="D319" i="11"/>
  <c r="B319" i="11"/>
  <c r="D318" i="11"/>
  <c r="B318" i="11"/>
  <c r="D317" i="11"/>
  <c r="B317" i="11"/>
  <c r="D316" i="11"/>
  <c r="B316" i="11"/>
  <c r="D315" i="11"/>
  <c r="B315" i="11"/>
  <c r="D314" i="11"/>
  <c r="B314" i="11"/>
  <c r="D313" i="11"/>
  <c r="B313" i="11"/>
  <c r="D312" i="11"/>
  <c r="B312" i="11"/>
  <c r="D311" i="11"/>
  <c r="B311" i="11"/>
  <c r="D310" i="11"/>
  <c r="B310" i="11"/>
  <c r="D309" i="11"/>
  <c r="B309" i="11"/>
  <c r="D308" i="11"/>
  <c r="B308" i="11"/>
  <c r="D307" i="11"/>
  <c r="B307" i="11"/>
  <c r="D306" i="11"/>
  <c r="B306" i="11"/>
  <c r="D305" i="11"/>
  <c r="B305" i="11"/>
  <c r="O302" i="11"/>
  <c r="N302" i="11"/>
  <c r="L302" i="11"/>
  <c r="H302" i="11"/>
  <c r="F302" i="11"/>
  <c r="A302" i="11"/>
  <c r="O301" i="11"/>
  <c r="N301" i="11"/>
  <c r="L301" i="11"/>
  <c r="H301" i="11"/>
  <c r="F301" i="11"/>
  <c r="A301" i="11"/>
  <c r="O300" i="11"/>
  <c r="N300" i="11"/>
  <c r="L300" i="11"/>
  <c r="H300" i="11"/>
  <c r="F300" i="11"/>
  <c r="A300" i="11"/>
  <c r="O299" i="11"/>
  <c r="N299" i="11"/>
  <c r="L299" i="11"/>
  <c r="H299" i="11"/>
  <c r="F299" i="11"/>
  <c r="A299" i="11"/>
  <c r="O288" i="11"/>
  <c r="N288" i="11"/>
  <c r="L288" i="11"/>
  <c r="H288" i="11"/>
  <c r="F288" i="11"/>
  <c r="A288" i="11"/>
  <c r="O298" i="11"/>
  <c r="N298" i="11"/>
  <c r="L298" i="11"/>
  <c r="H298" i="11"/>
  <c r="F298" i="11"/>
  <c r="A298" i="11"/>
  <c r="O297" i="11"/>
  <c r="N297" i="11"/>
  <c r="L297" i="11"/>
  <c r="H297" i="11"/>
  <c r="F297" i="11"/>
  <c r="A297" i="11"/>
  <c r="O296" i="11"/>
  <c r="N296" i="11"/>
  <c r="L296" i="11"/>
  <c r="H296" i="11"/>
  <c r="F296" i="11"/>
  <c r="A296" i="11"/>
  <c r="O295" i="11"/>
  <c r="N295" i="11"/>
  <c r="L295" i="11"/>
  <c r="H295" i="11"/>
  <c r="F295" i="11"/>
  <c r="A295" i="11"/>
  <c r="O286" i="11"/>
  <c r="N286" i="11"/>
  <c r="L286" i="11"/>
  <c r="F286" i="11"/>
  <c r="A286" i="11"/>
  <c r="O287" i="11"/>
  <c r="N287" i="11"/>
  <c r="L287" i="11"/>
  <c r="H287" i="11"/>
  <c r="F287" i="11"/>
  <c r="A287" i="11"/>
  <c r="O281" i="11"/>
  <c r="N281" i="11"/>
  <c r="L281" i="11"/>
  <c r="H281" i="11"/>
  <c r="F281" i="11"/>
  <c r="A281" i="11"/>
  <c r="O280" i="11"/>
  <c r="N280" i="11"/>
  <c r="L280" i="11"/>
  <c r="H280" i="11"/>
  <c r="F280" i="11"/>
  <c r="A280" i="11"/>
  <c r="O279" i="11"/>
  <c r="N279" i="11"/>
  <c r="L279" i="11"/>
  <c r="H279" i="11"/>
  <c r="F279" i="11"/>
  <c r="A279" i="11"/>
  <c r="O278" i="11"/>
  <c r="N278" i="11"/>
  <c r="L278" i="11"/>
  <c r="H278" i="11"/>
  <c r="F278" i="11"/>
  <c r="A278" i="11"/>
  <c r="O277" i="11"/>
  <c r="N277" i="11"/>
  <c r="L277" i="11"/>
  <c r="H277" i="11"/>
  <c r="F277" i="11"/>
  <c r="A277" i="11"/>
  <c r="O276" i="11"/>
  <c r="N276" i="11"/>
  <c r="L276" i="11"/>
  <c r="H276" i="11"/>
  <c r="F276" i="11"/>
  <c r="A276" i="11"/>
  <c r="O275" i="11"/>
  <c r="N275" i="11"/>
  <c r="L275" i="11"/>
  <c r="A275" i="11"/>
  <c r="O285" i="11"/>
  <c r="N285" i="11"/>
  <c r="L285" i="11"/>
  <c r="A285" i="11"/>
  <c r="O268" i="11"/>
  <c r="N268" i="11"/>
  <c r="L268" i="11"/>
  <c r="H268" i="11"/>
  <c r="F268" i="11"/>
  <c r="A268" i="11"/>
  <c r="O269" i="11"/>
  <c r="N269" i="11"/>
  <c r="L269" i="11"/>
  <c r="H269" i="11"/>
  <c r="F269" i="11"/>
  <c r="A269" i="11"/>
  <c r="O270" i="11"/>
  <c r="N270" i="11"/>
  <c r="L270" i="11"/>
  <c r="H270" i="11"/>
  <c r="F270" i="11"/>
  <c r="A270" i="11"/>
  <c r="O271" i="11"/>
  <c r="N271" i="11"/>
  <c r="L271" i="11"/>
  <c r="H271" i="11"/>
  <c r="F271" i="11"/>
  <c r="A271" i="11"/>
  <c r="O291" i="11"/>
  <c r="N291" i="11"/>
  <c r="L291" i="11"/>
  <c r="H291" i="11"/>
  <c r="F291" i="11"/>
  <c r="A291" i="11"/>
  <c r="O290" i="11"/>
  <c r="N290" i="11"/>
  <c r="L290" i="11"/>
  <c r="H290" i="11"/>
  <c r="F290" i="11"/>
  <c r="A290" i="11"/>
  <c r="O289" i="11"/>
  <c r="N289" i="11"/>
  <c r="L289" i="11"/>
  <c r="H289" i="11"/>
  <c r="F289" i="11"/>
  <c r="A289" i="11"/>
  <c r="O267" i="11"/>
  <c r="N267" i="11"/>
  <c r="L267" i="11"/>
  <c r="A267" i="11"/>
  <c r="O266" i="11"/>
  <c r="N266" i="11"/>
  <c r="L266" i="11"/>
  <c r="A266" i="11"/>
  <c r="O260" i="11"/>
  <c r="L260" i="11"/>
  <c r="H260" i="11"/>
  <c r="F260" i="11"/>
  <c r="A260" i="11"/>
  <c r="O259" i="11"/>
  <c r="L259" i="11"/>
  <c r="H259" i="11"/>
  <c r="F259" i="11"/>
  <c r="A259" i="11"/>
  <c r="O258" i="11"/>
  <c r="L258" i="11"/>
  <c r="H258" i="11"/>
  <c r="F258" i="11"/>
  <c r="A258" i="11"/>
  <c r="O257" i="11"/>
  <c r="L257" i="11"/>
  <c r="H257" i="11"/>
  <c r="F257" i="11"/>
  <c r="A257" i="11"/>
  <c r="O256" i="11"/>
  <c r="L256" i="11"/>
  <c r="A256" i="11"/>
  <c r="O255" i="11"/>
  <c r="L255" i="11"/>
  <c r="A255" i="11"/>
  <c r="O254" i="11"/>
  <c r="L254" i="11"/>
  <c r="F254" i="11"/>
  <c r="A254" i="11"/>
  <c r="O253" i="11"/>
  <c r="L253" i="11"/>
  <c r="F253" i="11"/>
  <c r="A253" i="11"/>
  <c r="O252" i="11"/>
  <c r="L252" i="11"/>
  <c r="F252" i="11"/>
  <c r="A252" i="11"/>
  <c r="O251" i="11"/>
  <c r="L251" i="11"/>
  <c r="F251" i="11"/>
  <c r="A251" i="11"/>
  <c r="O245" i="11"/>
  <c r="L245" i="11"/>
  <c r="H245" i="11"/>
  <c r="F245" i="11"/>
  <c r="A245" i="11"/>
  <c r="O244" i="11"/>
  <c r="L244" i="11"/>
  <c r="H244" i="11"/>
  <c r="F244" i="11"/>
  <c r="A244" i="11"/>
  <c r="O243" i="11"/>
  <c r="L243" i="11"/>
  <c r="H243" i="11"/>
  <c r="F243" i="11"/>
  <c r="A243" i="11"/>
  <c r="O242" i="11"/>
  <c r="L242" i="11"/>
  <c r="H242" i="11"/>
  <c r="F242" i="11"/>
  <c r="A242" i="11"/>
  <c r="O241" i="11"/>
  <c r="L241" i="11"/>
  <c r="H241" i="11"/>
  <c r="F241" i="11"/>
  <c r="A241" i="11"/>
  <c r="O240" i="11"/>
  <c r="L240" i="11"/>
  <c r="H240" i="11"/>
  <c r="F240" i="11"/>
  <c r="A240" i="11"/>
  <c r="O239" i="11"/>
  <c r="L239" i="11"/>
  <c r="A239" i="11"/>
  <c r="O238" i="11"/>
  <c r="L238" i="11"/>
  <c r="A238" i="11"/>
  <c r="O237" i="11"/>
  <c r="L237" i="11"/>
  <c r="H237" i="11"/>
  <c r="A237" i="11"/>
  <c r="O236" i="11"/>
  <c r="L236" i="11"/>
  <c r="H236" i="11"/>
  <c r="A236" i="11"/>
  <c r="O235" i="11"/>
  <c r="L235" i="11"/>
  <c r="H235" i="11"/>
  <c r="A235" i="11"/>
  <c r="O234" i="11"/>
  <c r="L234" i="11"/>
  <c r="H234" i="11"/>
  <c r="A234" i="11"/>
  <c r="O249" i="11"/>
  <c r="L249" i="11"/>
  <c r="A249" i="11"/>
  <c r="O230" i="11"/>
  <c r="L230" i="11"/>
  <c r="H230" i="11"/>
  <c r="F230" i="11"/>
  <c r="A230" i="11"/>
  <c r="O229" i="11"/>
  <c r="L229" i="11"/>
  <c r="H229" i="11"/>
  <c r="F229" i="11"/>
  <c r="A229" i="11"/>
  <c r="O228" i="11"/>
  <c r="L228" i="11"/>
  <c r="H228" i="11"/>
  <c r="F228" i="11"/>
  <c r="A228" i="11"/>
  <c r="O227" i="11"/>
  <c r="L227" i="11"/>
  <c r="H227" i="11"/>
  <c r="F227" i="11"/>
  <c r="A227" i="11"/>
  <c r="O226" i="11"/>
  <c r="L226" i="11"/>
  <c r="A226" i="11"/>
  <c r="O225" i="11"/>
  <c r="L225" i="11"/>
  <c r="A225" i="11"/>
  <c r="O224" i="11"/>
  <c r="L224" i="11"/>
  <c r="F224" i="11"/>
  <c r="A224" i="11"/>
  <c r="O223" i="11"/>
  <c r="L223" i="11"/>
  <c r="F223" i="11"/>
  <c r="A223" i="11"/>
  <c r="O222" i="11"/>
  <c r="L222" i="11"/>
  <c r="F222" i="11"/>
  <c r="A222" i="11"/>
  <c r="O221" i="11"/>
  <c r="L221" i="11"/>
  <c r="F221" i="11"/>
  <c r="A221" i="11"/>
  <c r="O220" i="11"/>
  <c r="L220" i="11"/>
  <c r="A220" i="11"/>
  <c r="O219" i="11"/>
  <c r="L219" i="11"/>
  <c r="A219" i="11"/>
  <c r="O250" i="11"/>
  <c r="L250" i="11"/>
  <c r="A250" i="11"/>
  <c r="O215" i="11"/>
  <c r="L215" i="11"/>
  <c r="H215" i="11"/>
  <c r="F215" i="11"/>
  <c r="A215" i="11"/>
  <c r="O214" i="11"/>
  <c r="L214" i="11"/>
  <c r="H214" i="11"/>
  <c r="F214" i="11"/>
  <c r="A214" i="11"/>
  <c r="O213" i="11"/>
  <c r="L213" i="11"/>
  <c r="H213" i="11"/>
  <c r="F213" i="11"/>
  <c r="A213" i="11"/>
  <c r="O212" i="11"/>
  <c r="L212" i="11"/>
  <c r="H212" i="11"/>
  <c r="F212" i="11"/>
  <c r="A212" i="11"/>
  <c r="O211" i="11"/>
  <c r="L211" i="11"/>
  <c r="H211" i="11"/>
  <c r="F211" i="11"/>
  <c r="A211" i="11"/>
  <c r="O210" i="11"/>
  <c r="L210" i="11"/>
  <c r="H210" i="11"/>
  <c r="F210" i="11"/>
  <c r="A210" i="11"/>
  <c r="O209" i="11"/>
  <c r="L209" i="11"/>
  <c r="A209" i="11"/>
  <c r="O208" i="11"/>
  <c r="L208" i="11"/>
  <c r="A208" i="11"/>
  <c r="O207" i="11"/>
  <c r="L207" i="11"/>
  <c r="H207" i="11"/>
  <c r="A207" i="11"/>
  <c r="O206" i="11"/>
  <c r="L206" i="11"/>
  <c r="H206" i="11"/>
  <c r="A206" i="11"/>
  <c r="O205" i="11"/>
  <c r="L205" i="11"/>
  <c r="H205" i="11"/>
  <c r="A205" i="11"/>
  <c r="O204" i="11"/>
  <c r="L204" i="11"/>
  <c r="H204" i="11"/>
  <c r="A204" i="11"/>
  <c r="O198" i="11"/>
  <c r="L198" i="11"/>
  <c r="A198" i="11"/>
  <c r="O197" i="11"/>
  <c r="L197" i="11"/>
  <c r="A197" i="11"/>
  <c r="O194" i="11"/>
  <c r="L194" i="11"/>
  <c r="A194" i="11"/>
  <c r="O193" i="11"/>
  <c r="L193" i="11"/>
  <c r="A193" i="11"/>
  <c r="O192" i="11"/>
  <c r="L192" i="11"/>
  <c r="A192" i="11"/>
  <c r="O191" i="11"/>
  <c r="L191" i="11"/>
  <c r="A191" i="11"/>
  <c r="O190" i="11"/>
  <c r="L190" i="11"/>
  <c r="A190" i="11"/>
  <c r="O189" i="11"/>
  <c r="L189" i="11"/>
  <c r="A189" i="11"/>
  <c r="O188" i="11"/>
  <c r="L188" i="11"/>
  <c r="A188" i="11"/>
  <c r="O187" i="11"/>
  <c r="L187" i="11"/>
  <c r="A187" i="11"/>
  <c r="O186" i="11"/>
  <c r="L186" i="11"/>
  <c r="A186" i="11"/>
  <c r="O185" i="11"/>
  <c r="L185" i="11"/>
  <c r="A185" i="11"/>
  <c r="O184" i="11"/>
  <c r="L184" i="11"/>
  <c r="A184" i="11"/>
  <c r="O183" i="11"/>
  <c r="L183" i="11"/>
  <c r="A183" i="11"/>
  <c r="O179" i="11"/>
  <c r="L179" i="11"/>
  <c r="A179" i="11"/>
  <c r="O178" i="11"/>
  <c r="L178" i="11"/>
  <c r="A178" i="11"/>
  <c r="O175" i="11"/>
  <c r="L175" i="11"/>
  <c r="A175" i="11"/>
  <c r="O174" i="11"/>
  <c r="L174" i="11"/>
  <c r="A174" i="11"/>
  <c r="O173" i="11"/>
  <c r="L173" i="11"/>
  <c r="A173" i="11"/>
  <c r="O172" i="11"/>
  <c r="L172" i="11"/>
  <c r="A172" i="11"/>
  <c r="O171" i="11"/>
  <c r="L171" i="11"/>
  <c r="A171" i="11"/>
  <c r="O170" i="11"/>
  <c r="L170" i="11"/>
  <c r="A170" i="11"/>
  <c r="O169" i="11"/>
  <c r="L169" i="11"/>
  <c r="A169" i="11"/>
  <c r="O168" i="11"/>
  <c r="L168" i="11"/>
  <c r="A168" i="11"/>
  <c r="O167" i="11"/>
  <c r="L167" i="11"/>
  <c r="A167" i="11"/>
  <c r="O166" i="11"/>
  <c r="L166" i="11"/>
  <c r="A166" i="11"/>
  <c r="O165" i="11"/>
  <c r="L165" i="11"/>
  <c r="A165" i="11"/>
  <c r="O164" i="11"/>
  <c r="L164" i="11"/>
  <c r="A164" i="11"/>
  <c r="O160" i="11"/>
  <c r="L160" i="11"/>
  <c r="A160" i="11"/>
  <c r="O159" i="11"/>
  <c r="L159" i="11"/>
  <c r="A159" i="11"/>
  <c r="O156" i="11"/>
  <c r="L156" i="11"/>
  <c r="A156" i="11"/>
  <c r="O155" i="11"/>
  <c r="L155" i="11"/>
  <c r="A155" i="11"/>
  <c r="O154" i="11"/>
  <c r="L154" i="11"/>
  <c r="A154" i="11"/>
  <c r="O153" i="11"/>
  <c r="L153" i="11"/>
  <c r="A153" i="11"/>
  <c r="O152" i="11"/>
  <c r="L152" i="11"/>
  <c r="A152" i="11"/>
  <c r="O151" i="11"/>
  <c r="L151" i="11"/>
  <c r="A151" i="11"/>
  <c r="O150" i="11"/>
  <c r="L150" i="11"/>
  <c r="A150" i="11"/>
  <c r="O149" i="11"/>
  <c r="L149" i="11"/>
  <c r="A149" i="11"/>
  <c r="O148" i="11"/>
  <c r="L148" i="11"/>
  <c r="A148" i="11"/>
  <c r="O147" i="11"/>
  <c r="L147" i="11"/>
  <c r="A147" i="11"/>
  <c r="O146" i="11"/>
  <c r="L146" i="11"/>
  <c r="A146" i="11"/>
  <c r="O145" i="11"/>
  <c r="L145" i="11"/>
  <c r="A145" i="11"/>
  <c r="O141" i="11"/>
  <c r="L141" i="11"/>
  <c r="A141" i="11"/>
  <c r="O140" i="11"/>
  <c r="L140" i="11"/>
  <c r="A140" i="11"/>
  <c r="O137" i="11"/>
  <c r="L137" i="11"/>
  <c r="A137" i="11"/>
  <c r="O136" i="11"/>
  <c r="L136" i="11"/>
  <c r="A136" i="11"/>
  <c r="O135" i="11"/>
  <c r="L135" i="11"/>
  <c r="A135" i="11"/>
  <c r="O134" i="11"/>
  <c r="L134" i="11"/>
  <c r="A134" i="11"/>
  <c r="O133" i="11"/>
  <c r="L133" i="11"/>
  <c r="A133" i="11"/>
  <c r="O132" i="11"/>
  <c r="L132" i="11"/>
  <c r="A132" i="11"/>
  <c r="O131" i="11"/>
  <c r="L131" i="11"/>
  <c r="A131" i="11"/>
  <c r="O130" i="11"/>
  <c r="L130" i="11"/>
  <c r="A130" i="11"/>
  <c r="O129" i="11"/>
  <c r="L129" i="11"/>
  <c r="A129" i="11"/>
  <c r="O128" i="11"/>
  <c r="L128" i="11"/>
  <c r="A128" i="11"/>
  <c r="O127" i="11"/>
  <c r="L127" i="11"/>
  <c r="A127" i="11"/>
  <c r="O126" i="11"/>
  <c r="L126" i="11"/>
  <c r="A126" i="11"/>
  <c r="L98" i="11"/>
  <c r="H98" i="11"/>
  <c r="F98" i="11"/>
  <c r="A98" i="11"/>
  <c r="L97" i="11"/>
  <c r="H97" i="11"/>
  <c r="F97" i="11"/>
  <c r="A97" i="11"/>
  <c r="L96" i="11"/>
  <c r="H96" i="11"/>
  <c r="F96" i="11"/>
  <c r="A96" i="11"/>
  <c r="L94" i="11"/>
  <c r="H94" i="11"/>
  <c r="F94" i="11"/>
  <c r="A94" i="11"/>
  <c r="L93" i="11"/>
  <c r="H93" i="11"/>
  <c r="F93" i="11"/>
  <c r="A93" i="11"/>
  <c r="L92" i="11"/>
  <c r="H92" i="11"/>
  <c r="F92" i="11"/>
  <c r="A92" i="11"/>
  <c r="L91" i="11"/>
  <c r="H91" i="11"/>
  <c r="F91" i="11"/>
  <c r="A91" i="11"/>
  <c r="L90" i="11"/>
  <c r="H90" i="11"/>
  <c r="F90" i="11"/>
  <c r="A90" i="11"/>
  <c r="L89" i="11"/>
  <c r="H89" i="11"/>
  <c r="F89" i="11"/>
  <c r="A89" i="11"/>
  <c r="L88" i="11"/>
  <c r="H88" i="11"/>
  <c r="F88" i="11"/>
  <c r="A88" i="11"/>
  <c r="L87" i="11"/>
  <c r="H87" i="11"/>
  <c r="F87" i="11"/>
  <c r="A87" i="11"/>
  <c r="L86" i="11"/>
  <c r="H86" i="11"/>
  <c r="F86" i="11"/>
  <c r="A86" i="11"/>
  <c r="L85" i="11"/>
  <c r="H85" i="11"/>
  <c r="F85" i="11"/>
  <c r="A85" i="11"/>
  <c r="L84" i="11"/>
  <c r="H84" i="11"/>
  <c r="F84" i="11"/>
  <c r="A84" i="11"/>
  <c r="L83" i="11"/>
  <c r="H83" i="11"/>
  <c r="F83" i="11"/>
  <c r="A83" i="11"/>
  <c r="L79" i="11"/>
  <c r="H79" i="11"/>
  <c r="F79" i="11"/>
  <c r="A79" i="11"/>
  <c r="L78" i="11"/>
  <c r="H78" i="11"/>
  <c r="F78" i="11"/>
  <c r="A78" i="11"/>
  <c r="L77" i="11"/>
  <c r="H77" i="11"/>
  <c r="F77" i="11"/>
  <c r="A77" i="11"/>
  <c r="L75" i="11"/>
  <c r="H75" i="11"/>
  <c r="F75" i="11"/>
  <c r="A75" i="11"/>
  <c r="L74" i="11"/>
  <c r="H74" i="11"/>
  <c r="F74" i="11"/>
  <c r="A74" i="11"/>
  <c r="L73" i="11"/>
  <c r="H73" i="11"/>
  <c r="F73" i="11"/>
  <c r="A73" i="11"/>
  <c r="L72" i="11"/>
  <c r="H72" i="11"/>
  <c r="F72" i="11"/>
  <c r="A72" i="11"/>
  <c r="L71" i="11"/>
  <c r="H71" i="11"/>
  <c r="F71" i="11"/>
  <c r="A71" i="11"/>
  <c r="L70" i="11"/>
  <c r="H70" i="11"/>
  <c r="F70" i="11"/>
  <c r="A70" i="11"/>
  <c r="L69" i="11"/>
  <c r="H69" i="11"/>
  <c r="F69" i="11"/>
  <c r="A69" i="11"/>
  <c r="L68" i="11"/>
  <c r="H68" i="11"/>
  <c r="F68" i="11"/>
  <c r="A68" i="11"/>
  <c r="L67" i="11"/>
  <c r="H67" i="11"/>
  <c r="F67" i="11"/>
  <c r="A67" i="11"/>
  <c r="L66" i="11"/>
  <c r="H66" i="11"/>
  <c r="F66" i="11"/>
  <c r="A66" i="11"/>
  <c r="L65" i="11"/>
  <c r="H65" i="11"/>
  <c r="F65" i="11"/>
  <c r="A65" i="11"/>
  <c r="L64" i="11"/>
  <c r="H64" i="11"/>
  <c r="F64" i="11"/>
  <c r="A64" i="11"/>
  <c r="L60" i="11"/>
  <c r="H60" i="11"/>
  <c r="F60" i="11"/>
  <c r="A60" i="11"/>
  <c r="L59" i="11"/>
  <c r="H59" i="11"/>
  <c r="F59" i="11"/>
  <c r="A59" i="11"/>
  <c r="L58" i="11"/>
  <c r="H58" i="11"/>
  <c r="F58" i="11"/>
  <c r="A58" i="11"/>
  <c r="L56" i="11"/>
  <c r="H56" i="11"/>
  <c r="F56" i="11"/>
  <c r="A56" i="11"/>
  <c r="L55" i="11"/>
  <c r="H55" i="11"/>
  <c r="F55" i="11"/>
  <c r="A55" i="11"/>
  <c r="L54" i="11"/>
  <c r="H54" i="11"/>
  <c r="F54" i="11"/>
  <c r="A54" i="11"/>
  <c r="L53" i="11"/>
  <c r="H53" i="11"/>
  <c r="F53" i="11"/>
  <c r="A53" i="11"/>
  <c r="L52" i="11"/>
  <c r="H52" i="11"/>
  <c r="F52" i="11"/>
  <c r="A52" i="11"/>
  <c r="L51" i="11"/>
  <c r="H51" i="11"/>
  <c r="F51" i="11"/>
  <c r="A51" i="11"/>
  <c r="L50" i="11"/>
  <c r="H50" i="11"/>
  <c r="F50" i="11"/>
  <c r="A50" i="11"/>
  <c r="L49" i="11"/>
  <c r="H49" i="11"/>
  <c r="F49" i="11"/>
  <c r="A49" i="11"/>
  <c r="L48" i="11"/>
  <c r="H48" i="11"/>
  <c r="F48" i="11"/>
  <c r="A48" i="11"/>
  <c r="L47" i="11"/>
  <c r="H47" i="11"/>
  <c r="F47" i="11"/>
  <c r="A47" i="11"/>
  <c r="L46" i="11"/>
  <c r="H46" i="11"/>
  <c r="F46" i="11"/>
  <c r="A46" i="11"/>
  <c r="L45" i="11"/>
  <c r="H45" i="11"/>
  <c r="F45" i="11"/>
  <c r="A45" i="11"/>
  <c r="L27" i="11"/>
  <c r="H27" i="11"/>
  <c r="F27" i="11"/>
  <c r="A27" i="11"/>
  <c r="L41" i="11"/>
  <c r="H41" i="11"/>
  <c r="F41" i="11"/>
  <c r="A41" i="11"/>
  <c r="L40" i="11"/>
  <c r="H40" i="11"/>
  <c r="F40" i="11"/>
  <c r="A40" i="11"/>
  <c r="L37" i="11"/>
  <c r="H37" i="11"/>
  <c r="F37" i="11"/>
  <c r="A37" i="11"/>
  <c r="L25" i="11"/>
  <c r="H25" i="11"/>
  <c r="F25" i="11"/>
  <c r="A25" i="11"/>
  <c r="L36" i="11"/>
  <c r="H36" i="11"/>
  <c r="F36" i="11"/>
  <c r="A36" i="11"/>
  <c r="L35" i="11"/>
  <c r="H35" i="11"/>
  <c r="F35" i="11"/>
  <c r="A35" i="11"/>
  <c r="L34" i="11"/>
  <c r="H34" i="11"/>
  <c r="F34" i="11"/>
  <c r="A34" i="11"/>
  <c r="L33" i="11"/>
  <c r="H33" i="11"/>
  <c r="F33" i="11"/>
  <c r="A33" i="11"/>
  <c r="L32" i="11"/>
  <c r="H32" i="11"/>
  <c r="F32" i="11"/>
  <c r="A32" i="11"/>
  <c r="L31" i="11"/>
  <c r="H31" i="11"/>
  <c r="F31" i="11"/>
  <c r="A31" i="11"/>
  <c r="L21" i="11"/>
  <c r="H21" i="11"/>
  <c r="F21" i="11"/>
  <c r="A21" i="11"/>
  <c r="L20" i="11"/>
  <c r="H20" i="11"/>
  <c r="F20" i="11"/>
  <c r="A20" i="11"/>
  <c r="L19" i="11"/>
  <c r="H19" i="11"/>
  <c r="F19" i="11"/>
  <c r="A19" i="11"/>
  <c r="L18" i="11"/>
  <c r="H18" i="11"/>
  <c r="F18" i="11"/>
  <c r="A18" i="11"/>
  <c r="B250" i="10"/>
  <c r="B249" i="10"/>
  <c r="B248" i="10"/>
  <c r="B247" i="10"/>
  <c r="B246" i="10"/>
  <c r="B245" i="10"/>
  <c r="B244" i="10"/>
  <c r="B243" i="10"/>
  <c r="D242" i="10"/>
  <c r="B242" i="10"/>
  <c r="D241" i="10"/>
  <c r="B241" i="10"/>
  <c r="D240" i="10"/>
  <c r="B240" i="10"/>
  <c r="D239" i="10"/>
  <c r="B239" i="10"/>
  <c r="D238" i="10"/>
  <c r="B238" i="10"/>
  <c r="D237" i="10"/>
  <c r="B237" i="10"/>
  <c r="D236" i="10"/>
  <c r="B236" i="10"/>
  <c r="D235" i="10"/>
  <c r="B235" i="10"/>
  <c r="D234" i="10"/>
  <c r="B234" i="10"/>
  <c r="D233" i="10"/>
  <c r="B233" i="10"/>
  <c r="D232" i="10"/>
  <c r="B232" i="10"/>
  <c r="D231" i="10"/>
  <c r="B231" i="10"/>
  <c r="O203" i="10"/>
  <c r="L203" i="10"/>
  <c r="H203" i="10"/>
  <c r="F203" i="10"/>
  <c r="A203" i="10"/>
  <c r="O202" i="10"/>
  <c r="L202" i="10"/>
  <c r="H202" i="10"/>
  <c r="F202" i="10"/>
  <c r="A202" i="10"/>
  <c r="O226" i="10"/>
  <c r="L226" i="10"/>
  <c r="H226" i="10"/>
  <c r="F226" i="10"/>
  <c r="A226" i="10"/>
  <c r="O225" i="10"/>
  <c r="L225" i="10"/>
  <c r="H225" i="10"/>
  <c r="F225" i="10"/>
  <c r="A225" i="10"/>
  <c r="O217" i="10"/>
  <c r="L217" i="10"/>
  <c r="H217" i="10"/>
  <c r="F217" i="10"/>
  <c r="A217" i="10"/>
  <c r="O201" i="10"/>
  <c r="L201" i="10"/>
  <c r="H201" i="10"/>
  <c r="F201" i="10"/>
  <c r="A201" i="10"/>
  <c r="O218" i="10"/>
  <c r="L218" i="10"/>
  <c r="H218" i="10"/>
  <c r="F218" i="10"/>
  <c r="A218" i="10"/>
  <c r="O224" i="10"/>
  <c r="L224" i="10"/>
  <c r="A224" i="10"/>
  <c r="O207" i="10"/>
  <c r="L207" i="10"/>
  <c r="A207" i="10"/>
  <c r="O228" i="10"/>
  <c r="L228" i="10"/>
  <c r="H228" i="10"/>
  <c r="F228" i="10"/>
  <c r="A228" i="10"/>
  <c r="O227" i="10"/>
  <c r="L227" i="10"/>
  <c r="H227" i="10"/>
  <c r="F227" i="10"/>
  <c r="A227" i="10"/>
  <c r="O211" i="10"/>
  <c r="L211" i="10"/>
  <c r="H211" i="10"/>
  <c r="F211" i="10"/>
  <c r="A211" i="10"/>
  <c r="O210" i="10"/>
  <c r="L210" i="10"/>
  <c r="H210" i="10"/>
  <c r="F210" i="10"/>
  <c r="A210" i="10"/>
  <c r="O200" i="10"/>
  <c r="L200" i="10"/>
  <c r="H200" i="10"/>
  <c r="F200" i="10"/>
  <c r="A200" i="10"/>
  <c r="O216" i="10"/>
  <c r="L216" i="10"/>
  <c r="H216" i="10"/>
  <c r="F216" i="10"/>
  <c r="A216" i="10"/>
  <c r="O215" i="10"/>
  <c r="L215" i="10"/>
  <c r="H215" i="10"/>
  <c r="F215" i="10"/>
  <c r="A215" i="10"/>
  <c r="O220" i="10"/>
  <c r="L220" i="10"/>
  <c r="H220" i="10"/>
  <c r="F220" i="10"/>
  <c r="A220" i="10"/>
  <c r="O219" i="10"/>
  <c r="L219" i="10"/>
  <c r="H219" i="10"/>
  <c r="F219" i="10"/>
  <c r="A219" i="10"/>
  <c r="O209" i="10"/>
  <c r="L209" i="10"/>
  <c r="H209" i="10"/>
  <c r="F209" i="10"/>
  <c r="A209" i="10"/>
  <c r="O208" i="10"/>
  <c r="L208" i="10"/>
  <c r="H208" i="10"/>
  <c r="F208" i="10"/>
  <c r="A208" i="10"/>
  <c r="O199" i="10"/>
  <c r="L199" i="10"/>
  <c r="H199" i="10"/>
  <c r="F199" i="10"/>
  <c r="A199" i="10"/>
  <c r="O198" i="10"/>
  <c r="L198" i="10"/>
  <c r="H198" i="10"/>
  <c r="F198" i="10"/>
  <c r="A198" i="10"/>
  <c r="O192" i="10"/>
  <c r="L192" i="10"/>
  <c r="H192" i="10"/>
  <c r="F192" i="10"/>
  <c r="A192" i="10"/>
  <c r="O191" i="10"/>
  <c r="L191" i="10"/>
  <c r="H191" i="10"/>
  <c r="F191" i="10"/>
  <c r="A191" i="10"/>
  <c r="O190" i="10"/>
  <c r="L190" i="10"/>
  <c r="H190" i="10"/>
  <c r="F190" i="10"/>
  <c r="A190" i="10"/>
  <c r="O189" i="10"/>
  <c r="L189" i="10"/>
  <c r="H189" i="10"/>
  <c r="F189" i="10"/>
  <c r="A189" i="10"/>
  <c r="O188" i="10"/>
  <c r="L188" i="10"/>
  <c r="H188" i="10"/>
  <c r="F188" i="10"/>
  <c r="A188" i="10"/>
  <c r="O187" i="10"/>
  <c r="L187" i="10"/>
  <c r="H187" i="10"/>
  <c r="F187" i="10"/>
  <c r="A187" i="10"/>
  <c r="O186" i="10"/>
  <c r="L186" i="10"/>
  <c r="A186" i="10"/>
  <c r="O185" i="10"/>
  <c r="L185" i="10"/>
  <c r="A185" i="10"/>
  <c r="O184" i="10"/>
  <c r="L184" i="10"/>
  <c r="A184" i="10"/>
  <c r="O183" i="10"/>
  <c r="L183" i="10"/>
  <c r="A183" i="10"/>
  <c r="O182" i="10"/>
  <c r="L182" i="10"/>
  <c r="A182" i="10"/>
  <c r="O181" i="10"/>
  <c r="L181" i="10"/>
  <c r="A181" i="10"/>
  <c r="O177" i="10"/>
  <c r="L177" i="10"/>
  <c r="H177" i="10"/>
  <c r="F177" i="10"/>
  <c r="A177" i="10"/>
  <c r="O176" i="10"/>
  <c r="L176" i="10"/>
  <c r="H176" i="10"/>
  <c r="F176" i="10"/>
  <c r="A176" i="10"/>
  <c r="O175" i="10"/>
  <c r="L175" i="10"/>
  <c r="H175" i="10"/>
  <c r="F175" i="10"/>
  <c r="A175" i="10"/>
  <c r="O174" i="10"/>
  <c r="L174" i="10"/>
  <c r="H174" i="10"/>
  <c r="F174" i="10"/>
  <c r="A174" i="10"/>
  <c r="O173" i="10"/>
  <c r="L173" i="10"/>
  <c r="A173" i="10"/>
  <c r="O172" i="10"/>
  <c r="L172" i="10"/>
  <c r="A172" i="10"/>
  <c r="O171" i="10"/>
  <c r="L171" i="10"/>
  <c r="F171" i="10"/>
  <c r="A171" i="10"/>
  <c r="O170" i="10"/>
  <c r="L170" i="10"/>
  <c r="F170" i="10"/>
  <c r="A170" i="10"/>
  <c r="O169" i="10"/>
  <c r="L169" i="10"/>
  <c r="F169" i="10"/>
  <c r="A169" i="10"/>
  <c r="O168" i="10"/>
  <c r="L168" i="10"/>
  <c r="F168" i="10"/>
  <c r="A168" i="10"/>
  <c r="O167" i="10"/>
  <c r="L167" i="10"/>
  <c r="A167" i="10"/>
  <c r="O166" i="10"/>
  <c r="L166" i="10"/>
  <c r="A166" i="10"/>
  <c r="O162" i="10"/>
  <c r="L162" i="10"/>
  <c r="H162" i="10"/>
  <c r="F162" i="10"/>
  <c r="A162" i="10"/>
  <c r="O161" i="10"/>
  <c r="L161" i="10"/>
  <c r="H161" i="10"/>
  <c r="F161" i="10"/>
  <c r="A161" i="10"/>
  <c r="O160" i="10"/>
  <c r="L160" i="10"/>
  <c r="H160" i="10"/>
  <c r="F160" i="10"/>
  <c r="A160" i="10"/>
  <c r="O159" i="10"/>
  <c r="L159" i="10"/>
  <c r="H159" i="10"/>
  <c r="F159" i="10"/>
  <c r="A159" i="10"/>
  <c r="O158" i="10"/>
  <c r="L158" i="10"/>
  <c r="H158" i="10"/>
  <c r="F158" i="10"/>
  <c r="A158" i="10"/>
  <c r="O157" i="10"/>
  <c r="L157" i="10"/>
  <c r="H157" i="10"/>
  <c r="F157" i="10"/>
  <c r="A157" i="10"/>
  <c r="O156" i="10"/>
  <c r="L156" i="10"/>
  <c r="A156" i="10"/>
  <c r="O155" i="10"/>
  <c r="L155" i="10"/>
  <c r="A155" i="10"/>
  <c r="O154" i="10"/>
  <c r="L154" i="10"/>
  <c r="H154" i="10"/>
  <c r="A154" i="10"/>
  <c r="O153" i="10"/>
  <c r="L153" i="10"/>
  <c r="H153" i="10"/>
  <c r="A153" i="10"/>
  <c r="O152" i="10"/>
  <c r="L152" i="10"/>
  <c r="H152" i="10"/>
  <c r="A152" i="10"/>
  <c r="O151" i="10"/>
  <c r="L151" i="10"/>
  <c r="H151" i="10"/>
  <c r="A151" i="10"/>
  <c r="O145" i="10"/>
  <c r="L145" i="10"/>
  <c r="A145" i="10"/>
  <c r="O144" i="10"/>
  <c r="L144" i="10"/>
  <c r="A144" i="10"/>
  <c r="O143" i="10"/>
  <c r="L143" i="10"/>
  <c r="A143" i="10"/>
  <c r="O142" i="10"/>
  <c r="L142" i="10"/>
  <c r="A142" i="10"/>
  <c r="O141" i="10"/>
  <c r="L141" i="10"/>
  <c r="A141" i="10"/>
  <c r="O140" i="10"/>
  <c r="L140" i="10"/>
  <c r="A140" i="10"/>
  <c r="O139" i="10"/>
  <c r="L139" i="10"/>
  <c r="A139" i="10"/>
  <c r="O138" i="10"/>
  <c r="L138" i="10"/>
  <c r="A138" i="10"/>
  <c r="O137" i="10"/>
  <c r="L137" i="10"/>
  <c r="A137" i="10"/>
  <c r="O136" i="10"/>
  <c r="L136" i="10"/>
  <c r="A136" i="10"/>
  <c r="O135" i="10"/>
  <c r="L135" i="10"/>
  <c r="A135" i="10"/>
  <c r="O134" i="10"/>
  <c r="L134" i="10"/>
  <c r="A134" i="10"/>
  <c r="O124" i="10"/>
  <c r="L124" i="10"/>
  <c r="A124" i="10"/>
  <c r="O123" i="10"/>
  <c r="L123" i="10"/>
  <c r="A123" i="10"/>
  <c r="O120" i="10"/>
  <c r="L120" i="10"/>
  <c r="A120" i="10"/>
  <c r="O119" i="10"/>
  <c r="L119" i="10"/>
  <c r="A119" i="10"/>
  <c r="O118" i="10"/>
  <c r="L118" i="10"/>
  <c r="A118" i="10"/>
  <c r="O117" i="10"/>
  <c r="L117" i="10"/>
  <c r="A117" i="10"/>
  <c r="O116" i="10"/>
  <c r="L116" i="10"/>
  <c r="A116" i="10"/>
  <c r="O115" i="10"/>
  <c r="L115" i="10"/>
  <c r="A115" i="10"/>
  <c r="O114" i="10"/>
  <c r="L114" i="10"/>
  <c r="A114" i="10"/>
  <c r="O113" i="10"/>
  <c r="L113" i="10"/>
  <c r="A113" i="10"/>
  <c r="O112" i="10"/>
  <c r="L112" i="10"/>
  <c r="A112" i="10"/>
  <c r="O111" i="10"/>
  <c r="L111" i="10"/>
  <c r="A111" i="10"/>
  <c r="O110" i="10"/>
  <c r="L110" i="10"/>
  <c r="A110" i="10"/>
  <c r="O109" i="10"/>
  <c r="L109" i="10"/>
  <c r="A109" i="10"/>
  <c r="O105" i="10"/>
  <c r="L105" i="10"/>
  <c r="A105" i="10"/>
  <c r="O104" i="10"/>
  <c r="L104" i="10"/>
  <c r="A104" i="10"/>
  <c r="O101" i="10"/>
  <c r="L101" i="10"/>
  <c r="A101" i="10"/>
  <c r="O100" i="10"/>
  <c r="L100" i="10"/>
  <c r="A100" i="10"/>
  <c r="O99" i="10"/>
  <c r="L99" i="10"/>
  <c r="A99" i="10"/>
  <c r="O98" i="10"/>
  <c r="L98" i="10"/>
  <c r="A98" i="10"/>
  <c r="O97" i="10"/>
  <c r="L97" i="10"/>
  <c r="A97" i="10"/>
  <c r="O96" i="10"/>
  <c r="L96" i="10"/>
  <c r="A96" i="10"/>
  <c r="O95" i="10"/>
  <c r="L95" i="10"/>
  <c r="A95" i="10"/>
  <c r="O94" i="10"/>
  <c r="L94" i="10"/>
  <c r="A94" i="10"/>
  <c r="O93" i="10"/>
  <c r="L93" i="10"/>
  <c r="A93" i="10"/>
  <c r="O92" i="10"/>
  <c r="L92" i="10"/>
  <c r="A92" i="10"/>
  <c r="O91" i="10"/>
  <c r="L91" i="10"/>
  <c r="A91" i="10"/>
  <c r="O90" i="10"/>
  <c r="L90" i="10"/>
  <c r="A90" i="10"/>
  <c r="L72" i="10"/>
  <c r="A72" i="10"/>
  <c r="L71" i="10"/>
  <c r="A71" i="10"/>
  <c r="L70" i="10"/>
  <c r="A70" i="10"/>
  <c r="L69" i="10"/>
  <c r="L67" i="10"/>
  <c r="H67" i="10"/>
  <c r="F67" i="10"/>
  <c r="A67" i="10"/>
  <c r="L66" i="10"/>
  <c r="H66" i="10"/>
  <c r="F66" i="10"/>
  <c r="A66" i="10"/>
  <c r="L65" i="10"/>
  <c r="H65" i="10"/>
  <c r="F65" i="10"/>
  <c r="A65" i="10"/>
  <c r="L64" i="10"/>
  <c r="H64" i="10"/>
  <c r="F64" i="10"/>
  <c r="A64" i="10"/>
  <c r="L63" i="10"/>
  <c r="H63" i="10"/>
  <c r="F63" i="10"/>
  <c r="A63" i="10"/>
  <c r="L62" i="10"/>
  <c r="H62" i="10"/>
  <c r="F62" i="10"/>
  <c r="A62" i="10"/>
  <c r="L61" i="10"/>
  <c r="H61" i="10"/>
  <c r="F61" i="10"/>
  <c r="A61" i="10"/>
  <c r="L60" i="10"/>
  <c r="H60" i="10"/>
  <c r="F60" i="10"/>
  <c r="A60" i="10"/>
  <c r="L59" i="10"/>
  <c r="H59" i="10"/>
  <c r="F59" i="10"/>
  <c r="A59" i="10"/>
  <c r="L58" i="10"/>
  <c r="H58" i="10"/>
  <c r="F58" i="10"/>
  <c r="A58" i="10"/>
  <c r="L57" i="10"/>
  <c r="H57" i="10"/>
  <c r="F57" i="10"/>
  <c r="A57" i="10"/>
  <c r="L56" i="10"/>
  <c r="H56" i="10"/>
  <c r="F56" i="10"/>
  <c r="A56" i="10"/>
  <c r="L52" i="10"/>
  <c r="A52" i="10"/>
  <c r="L51" i="10"/>
  <c r="A51" i="10"/>
  <c r="L50" i="10"/>
  <c r="A50" i="10"/>
  <c r="L49" i="10"/>
  <c r="A49" i="10"/>
  <c r="L47" i="10"/>
  <c r="H47" i="10"/>
  <c r="F47" i="10"/>
  <c r="A47" i="10"/>
  <c r="L46" i="10"/>
  <c r="H46" i="10"/>
  <c r="F46" i="10"/>
  <c r="A46" i="10"/>
  <c r="L45" i="10"/>
  <c r="H45" i="10"/>
  <c r="F45" i="10"/>
  <c r="A45" i="10"/>
  <c r="L44" i="10"/>
  <c r="H44" i="10"/>
  <c r="F44" i="10"/>
  <c r="A44" i="10"/>
  <c r="L43" i="10"/>
  <c r="H43" i="10"/>
  <c r="F43" i="10"/>
  <c r="A43" i="10"/>
  <c r="L42" i="10"/>
  <c r="H42" i="10"/>
  <c r="F42" i="10"/>
  <c r="A42" i="10"/>
  <c r="L41" i="10"/>
  <c r="H41" i="10"/>
  <c r="F41" i="10"/>
  <c r="A41" i="10"/>
  <c r="L40" i="10"/>
  <c r="H40" i="10"/>
  <c r="F40" i="10"/>
  <c r="A40" i="10"/>
  <c r="L39" i="10"/>
  <c r="H39" i="10"/>
  <c r="F39" i="10"/>
  <c r="A39" i="10"/>
  <c r="L38" i="10"/>
  <c r="H38" i="10"/>
  <c r="F38" i="10"/>
  <c r="A38" i="10"/>
  <c r="L37" i="10"/>
  <c r="H37" i="10"/>
  <c r="F37" i="10"/>
  <c r="A37" i="10"/>
  <c r="L36" i="10"/>
  <c r="H36" i="10"/>
  <c r="F36" i="10"/>
  <c r="A36" i="10"/>
  <c r="L32" i="10"/>
  <c r="A32" i="10"/>
  <c r="L31" i="10"/>
  <c r="A31" i="10"/>
  <c r="L30" i="10"/>
  <c r="A30" i="10"/>
  <c r="L29" i="10"/>
  <c r="A29" i="10"/>
  <c r="L27" i="10"/>
  <c r="H27" i="10"/>
  <c r="F27" i="10"/>
  <c r="A27" i="10"/>
  <c r="L26" i="10"/>
  <c r="H26" i="10"/>
  <c r="F26" i="10"/>
  <c r="A26" i="10"/>
  <c r="L25" i="10"/>
  <c r="H25" i="10"/>
  <c r="F25" i="10"/>
  <c r="A25" i="10"/>
  <c r="L24" i="10"/>
  <c r="H24" i="10"/>
  <c r="F24" i="10"/>
  <c r="A24" i="10"/>
  <c r="L23" i="10"/>
  <c r="H23" i="10"/>
  <c r="F23" i="10"/>
  <c r="A23" i="10"/>
  <c r="L22" i="10"/>
  <c r="H22" i="10"/>
  <c r="F22" i="10"/>
  <c r="A22" i="10"/>
  <c r="L21" i="10"/>
  <c r="H21" i="10"/>
  <c r="F21" i="10"/>
  <c r="A21" i="10"/>
  <c r="L20" i="10"/>
  <c r="H20" i="10"/>
  <c r="F20" i="10"/>
  <c r="A20" i="10"/>
  <c r="L19" i="10"/>
  <c r="H19" i="10"/>
  <c r="F19" i="10"/>
  <c r="A19" i="10"/>
  <c r="L18" i="10"/>
  <c r="H18" i="10"/>
  <c r="F18" i="10"/>
  <c r="A18" i="10"/>
  <c r="L17" i="10"/>
  <c r="H17" i="10"/>
  <c r="F17" i="10"/>
  <c r="A17" i="10"/>
  <c r="L16" i="10"/>
  <c r="H16" i="10"/>
  <c r="F16" i="10"/>
  <c r="A16" i="10"/>
  <c r="N155" i="9"/>
  <c r="L155" i="9"/>
  <c r="N154" i="9"/>
  <c r="L154" i="9"/>
  <c r="N153" i="9"/>
  <c r="L153" i="9"/>
  <c r="N152" i="9"/>
  <c r="L152" i="9"/>
  <c r="N151" i="9"/>
  <c r="L151" i="9"/>
  <c r="N150" i="9"/>
  <c r="L150" i="9"/>
  <c r="N149" i="9"/>
  <c r="L149" i="9"/>
  <c r="N148" i="9"/>
  <c r="L148" i="9"/>
  <c r="N144" i="9"/>
  <c r="L144" i="9"/>
  <c r="N143" i="9"/>
  <c r="L143" i="9"/>
  <c r="N142" i="9"/>
  <c r="L142" i="9"/>
  <c r="N141" i="9"/>
  <c r="L141" i="9"/>
  <c r="N140" i="9"/>
  <c r="L140" i="9"/>
  <c r="F140" i="9"/>
  <c r="H144" i="9" s="1"/>
  <c r="B158" i="9" s="1"/>
  <c r="N139" i="9"/>
  <c r="L139" i="9"/>
  <c r="F139" i="9"/>
  <c r="F143" i="9" s="1"/>
  <c r="B160" i="9" s="1"/>
  <c r="N138" i="9"/>
  <c r="L138" i="9"/>
  <c r="F138" i="9"/>
  <c r="H141" i="9" s="1"/>
  <c r="D161" i="9" s="1"/>
  <c r="N137" i="9"/>
  <c r="L137" i="9"/>
  <c r="F137" i="9"/>
  <c r="F142" i="9" s="1"/>
  <c r="D159" i="9" s="1"/>
  <c r="N131" i="9"/>
  <c r="L131" i="9"/>
  <c r="F131" i="9"/>
  <c r="H152" i="9" s="1"/>
  <c r="D163" i="9" s="1"/>
  <c r="N130" i="9"/>
  <c r="L130" i="9"/>
  <c r="F130" i="9"/>
  <c r="F152" i="9" s="1"/>
  <c r="D162" i="9" s="1"/>
  <c r="N129" i="9"/>
  <c r="L129" i="9"/>
  <c r="H129" i="9"/>
  <c r="H154" i="9" s="1"/>
  <c r="D167" i="9" s="1"/>
  <c r="F129" i="9"/>
  <c r="H155" i="9" s="1"/>
  <c r="D169" i="9" s="1"/>
  <c r="N128" i="9"/>
  <c r="L128" i="9"/>
  <c r="H128" i="9"/>
  <c r="F155" i="9" s="1"/>
  <c r="D168" i="9" s="1"/>
  <c r="F128" i="9"/>
  <c r="F154" i="9" s="1"/>
  <c r="D166" i="9" s="1"/>
  <c r="N127" i="9"/>
  <c r="L127" i="9"/>
  <c r="H127" i="9"/>
  <c r="H153" i="9" s="1"/>
  <c r="D165" i="9" s="1"/>
  <c r="F127" i="9"/>
  <c r="H131" i="9" s="1"/>
  <c r="H138" i="9" s="1"/>
  <c r="H142" i="9" s="1"/>
  <c r="D158" i="9" s="1"/>
  <c r="N126" i="9"/>
  <c r="L126" i="9"/>
  <c r="N125" i="9"/>
  <c r="L125" i="9"/>
  <c r="H125" i="9"/>
  <c r="F153" i="9" s="1"/>
  <c r="D164" i="9" s="1"/>
  <c r="F125" i="9"/>
  <c r="H130" i="9" s="1"/>
  <c r="H137" i="9" s="1"/>
  <c r="F141" i="9" s="1"/>
  <c r="D160" i="9" s="1"/>
  <c r="N124" i="9"/>
  <c r="L124" i="9"/>
  <c r="N123" i="9"/>
  <c r="L123" i="9"/>
  <c r="N122" i="9"/>
  <c r="L122" i="9"/>
  <c r="N121" i="9"/>
  <c r="L121" i="9"/>
  <c r="N120" i="9"/>
  <c r="L120" i="9"/>
  <c r="N116" i="9"/>
  <c r="L116" i="9"/>
  <c r="F116" i="9"/>
  <c r="H151" i="9" s="1"/>
  <c r="B163" i="9" s="1"/>
  <c r="N115" i="9"/>
  <c r="L115" i="9"/>
  <c r="F115" i="9"/>
  <c r="F151" i="9" s="1"/>
  <c r="B162" i="9" s="1"/>
  <c r="N114" i="9"/>
  <c r="L114" i="9"/>
  <c r="H114" i="9"/>
  <c r="H149" i="9" s="1"/>
  <c r="B167" i="9" s="1"/>
  <c r="F114" i="9"/>
  <c r="H148" i="9" s="1"/>
  <c r="B169" i="9" s="1"/>
  <c r="N113" i="9"/>
  <c r="L113" i="9"/>
  <c r="H113" i="9"/>
  <c r="F149" i="9" s="1"/>
  <c r="B166" i="9" s="1"/>
  <c r="F113" i="9"/>
  <c r="F148" i="9" s="1"/>
  <c r="B168" i="9" s="1"/>
  <c r="N112" i="9"/>
  <c r="L112" i="9"/>
  <c r="H112" i="9"/>
  <c r="H116" i="9" s="1"/>
  <c r="H140" i="9" s="1"/>
  <c r="H143" i="9" s="1"/>
  <c r="B161" i="9" s="1"/>
  <c r="F112" i="9"/>
  <c r="H150" i="9" s="1"/>
  <c r="B165" i="9" s="1"/>
  <c r="N111" i="9"/>
  <c r="L111" i="9"/>
  <c r="N110" i="9"/>
  <c r="L110" i="9"/>
  <c r="H110" i="9"/>
  <c r="F150" i="9" s="1"/>
  <c r="B164" i="9" s="1"/>
  <c r="F110" i="9"/>
  <c r="H115" i="9" s="1"/>
  <c r="H139" i="9" s="1"/>
  <c r="F144" i="9" s="1"/>
  <c r="B159" i="9" s="1"/>
  <c r="N109" i="9"/>
  <c r="L109" i="9"/>
  <c r="N108" i="9"/>
  <c r="L108" i="9"/>
  <c r="N107" i="9"/>
  <c r="L107" i="9"/>
  <c r="N106" i="9"/>
  <c r="L106" i="9"/>
  <c r="N105" i="9"/>
  <c r="L105" i="9"/>
  <c r="N99" i="9"/>
  <c r="L99" i="9"/>
  <c r="F99" i="9"/>
  <c r="N98" i="9"/>
  <c r="L98" i="9"/>
  <c r="F98" i="9"/>
  <c r="N97" i="9"/>
  <c r="L97" i="9"/>
  <c r="F97" i="9"/>
  <c r="N96" i="9"/>
  <c r="L96" i="9"/>
  <c r="F96" i="9"/>
  <c r="N95" i="9"/>
  <c r="L95" i="9"/>
  <c r="F95" i="9"/>
  <c r="N94" i="9"/>
  <c r="L94" i="9"/>
  <c r="F94" i="9"/>
  <c r="N93" i="9"/>
  <c r="L93" i="9"/>
  <c r="F93" i="9"/>
  <c r="N92" i="9"/>
  <c r="L92" i="9"/>
  <c r="F92" i="9"/>
  <c r="N91" i="9"/>
  <c r="L91" i="9"/>
  <c r="N90" i="9"/>
  <c r="L90" i="9"/>
  <c r="N89" i="9"/>
  <c r="L89" i="9"/>
  <c r="N88" i="9"/>
  <c r="L88" i="9"/>
  <c r="N84" i="9"/>
  <c r="L84" i="9"/>
  <c r="H84" i="9"/>
  <c r="N83" i="9"/>
  <c r="L83" i="9"/>
  <c r="H83" i="9"/>
  <c r="N82" i="9"/>
  <c r="L82" i="9"/>
  <c r="H82" i="9"/>
  <c r="N81" i="9"/>
  <c r="L81" i="9"/>
  <c r="H81" i="9"/>
  <c r="N80" i="9"/>
  <c r="L80" i="9"/>
  <c r="H80" i="9"/>
  <c r="N79" i="9"/>
  <c r="L79" i="9"/>
  <c r="H79" i="9"/>
  <c r="N78" i="9"/>
  <c r="L78" i="9"/>
  <c r="H78" i="9"/>
  <c r="N77" i="9"/>
  <c r="L77" i="9"/>
  <c r="H77" i="9"/>
  <c r="N76" i="9"/>
  <c r="L76" i="9"/>
  <c r="N75" i="9"/>
  <c r="L75" i="9"/>
  <c r="N74" i="9"/>
  <c r="L74" i="9"/>
  <c r="N73" i="9"/>
  <c r="L73" i="9"/>
  <c r="E66" i="9"/>
  <c r="D66" i="9"/>
  <c r="C66" i="9"/>
  <c r="B66" i="9"/>
  <c r="E61" i="9"/>
  <c r="D61" i="9"/>
  <c r="C61" i="9"/>
  <c r="B61" i="9"/>
  <c r="L53" i="9"/>
  <c r="L52" i="9"/>
  <c r="L50" i="9"/>
  <c r="H50" i="9"/>
  <c r="F50" i="9"/>
  <c r="L49" i="9"/>
  <c r="H49" i="9"/>
  <c r="F49" i="9"/>
  <c r="L48" i="9"/>
  <c r="H48" i="9"/>
  <c r="F48" i="9"/>
  <c r="L47" i="9"/>
  <c r="H47" i="9"/>
  <c r="F47" i="9"/>
  <c r="L46" i="9"/>
  <c r="H46" i="9"/>
  <c r="F46" i="9"/>
  <c r="L45" i="9"/>
  <c r="H45" i="9"/>
  <c r="F45" i="9"/>
  <c r="L44" i="9"/>
  <c r="H44" i="9"/>
  <c r="F44" i="9"/>
  <c r="L43" i="9"/>
  <c r="H43" i="9"/>
  <c r="F43" i="9"/>
  <c r="L42" i="9"/>
  <c r="H42" i="9"/>
  <c r="F42" i="9"/>
  <c r="L41" i="9"/>
  <c r="H41" i="9"/>
  <c r="F41" i="9"/>
  <c r="L40" i="9"/>
  <c r="H40" i="9"/>
  <c r="F40" i="9"/>
  <c r="L39" i="9"/>
  <c r="H39" i="9"/>
  <c r="F39" i="9"/>
  <c r="L34" i="9"/>
  <c r="L33" i="9"/>
  <c r="L32" i="9"/>
  <c r="H32" i="9"/>
  <c r="F32" i="9"/>
  <c r="L30" i="9"/>
  <c r="H30" i="9"/>
  <c r="F30" i="9"/>
  <c r="L29" i="9"/>
  <c r="H29" i="9"/>
  <c r="F29" i="9"/>
  <c r="L28" i="9"/>
  <c r="H28" i="9"/>
  <c r="F28" i="9"/>
  <c r="L27" i="9"/>
  <c r="H27" i="9"/>
  <c r="F27" i="9"/>
  <c r="L26" i="9"/>
  <c r="H26" i="9"/>
  <c r="F26" i="9"/>
  <c r="L22" i="9"/>
  <c r="H22" i="9"/>
  <c r="F22" i="9"/>
  <c r="L21" i="9"/>
  <c r="H21" i="9"/>
  <c r="F21" i="9"/>
  <c r="L20" i="9"/>
  <c r="H20" i="9"/>
  <c r="F20" i="9"/>
  <c r="L19" i="9"/>
  <c r="H19" i="9"/>
  <c r="F19" i="9"/>
  <c r="L18" i="9"/>
  <c r="H18" i="9"/>
  <c r="F18" i="9"/>
  <c r="L17" i="9"/>
  <c r="H17" i="9"/>
  <c r="F17" i="9"/>
  <c r="O294" i="8"/>
  <c r="N294" i="8"/>
  <c r="L294" i="8"/>
  <c r="O293" i="8"/>
  <c r="N293" i="8"/>
  <c r="L293" i="8"/>
  <c r="O292" i="8"/>
  <c r="N292" i="8"/>
  <c r="L292" i="8"/>
  <c r="O291" i="8"/>
  <c r="N291" i="8"/>
  <c r="L291" i="8"/>
  <c r="O290" i="8"/>
  <c r="N290" i="8"/>
  <c r="L290" i="8"/>
  <c r="F290" i="8"/>
  <c r="H294" i="8" s="1"/>
  <c r="B297" i="8" s="1"/>
  <c r="O289" i="8"/>
  <c r="N289" i="8"/>
  <c r="L289" i="8"/>
  <c r="F289" i="8"/>
  <c r="F294" i="8" s="1"/>
  <c r="B298" i="8" s="1"/>
  <c r="O288" i="8"/>
  <c r="N288" i="8"/>
  <c r="L288" i="8"/>
  <c r="F288" i="8"/>
  <c r="H291" i="8" s="1"/>
  <c r="D299" i="8" s="1"/>
  <c r="O287" i="8"/>
  <c r="N287" i="8"/>
  <c r="L287" i="8"/>
  <c r="F287" i="8"/>
  <c r="F292" i="8" s="1"/>
  <c r="D297" i="8" s="1"/>
  <c r="O283" i="8"/>
  <c r="N283" i="8"/>
  <c r="L283" i="8"/>
  <c r="O282" i="8"/>
  <c r="N282" i="8"/>
  <c r="L282" i="8"/>
  <c r="O281" i="8"/>
  <c r="N281" i="8"/>
  <c r="L281" i="8"/>
  <c r="O280" i="8"/>
  <c r="L280" i="8"/>
  <c r="O279" i="8"/>
  <c r="N279" i="8"/>
  <c r="L279" i="8"/>
  <c r="O278" i="8"/>
  <c r="N278" i="8"/>
  <c r="L278" i="8"/>
  <c r="O274" i="8"/>
  <c r="N274" i="8"/>
  <c r="L274" i="8"/>
  <c r="O273" i="8"/>
  <c r="N273" i="8"/>
  <c r="L273" i="8"/>
  <c r="O272" i="8"/>
  <c r="N272" i="8"/>
  <c r="L272" i="8"/>
  <c r="O271" i="8"/>
  <c r="N271" i="8"/>
  <c r="L271" i="8"/>
  <c r="O270" i="8"/>
  <c r="N270" i="8"/>
  <c r="L270" i="8"/>
  <c r="O269" i="8"/>
  <c r="N269" i="8"/>
  <c r="L269" i="8"/>
  <c r="O268" i="8"/>
  <c r="N268" i="8"/>
  <c r="L268" i="8"/>
  <c r="O264" i="8"/>
  <c r="N264" i="8"/>
  <c r="L264" i="8"/>
  <c r="O263" i="8"/>
  <c r="N263" i="8"/>
  <c r="L263" i="8"/>
  <c r="O262" i="8"/>
  <c r="N262" i="8"/>
  <c r="L262" i="8"/>
  <c r="O261" i="8"/>
  <c r="N261" i="8"/>
  <c r="L261" i="8"/>
  <c r="O260" i="8"/>
  <c r="N260" i="8"/>
  <c r="L260" i="8"/>
  <c r="O259" i="8"/>
  <c r="N259" i="8"/>
  <c r="L259" i="8"/>
  <c r="O258" i="8"/>
  <c r="N258" i="8"/>
  <c r="L258" i="8"/>
  <c r="O252" i="8"/>
  <c r="L252" i="8"/>
  <c r="H252" i="8"/>
  <c r="H274" i="8" s="1"/>
  <c r="D313" i="8" s="1"/>
  <c r="O251" i="8"/>
  <c r="L251" i="8"/>
  <c r="H251" i="8"/>
  <c r="H273" i="8" s="1"/>
  <c r="D312" i="8" s="1"/>
  <c r="O250" i="8"/>
  <c r="L250" i="8"/>
  <c r="F250" i="8"/>
  <c r="F274" i="8" s="1"/>
  <c r="D314" i="8" s="1"/>
  <c r="O249" i="8"/>
  <c r="L249" i="8"/>
  <c r="F249" i="8"/>
  <c r="F273" i="8" s="1"/>
  <c r="D311" i="8" s="1"/>
  <c r="O248" i="8"/>
  <c r="L248" i="8"/>
  <c r="O247" i="8"/>
  <c r="L247" i="8"/>
  <c r="O246" i="8"/>
  <c r="L246" i="8"/>
  <c r="F246" i="8"/>
  <c r="F252" i="8" s="1"/>
  <c r="H278" i="8" s="1"/>
  <c r="D315" i="8" s="1"/>
  <c r="O245" i="8"/>
  <c r="L245" i="8"/>
  <c r="F245" i="8"/>
  <c r="F251" i="8" s="1"/>
  <c r="H283" i="8" s="1"/>
  <c r="D310" i="8" s="1"/>
  <c r="O244" i="8"/>
  <c r="L244" i="8"/>
  <c r="F244" i="8"/>
  <c r="H249" i="8" s="1"/>
  <c r="F283" i="8" s="1"/>
  <c r="D309" i="8" s="1"/>
  <c r="O243" i="8"/>
  <c r="L243" i="8"/>
  <c r="F243" i="8"/>
  <c r="H250" i="8" s="1"/>
  <c r="F278" i="8" s="1"/>
  <c r="D316" i="8" s="1"/>
  <c r="O242" i="8"/>
  <c r="L242" i="8"/>
  <c r="O241" i="8"/>
  <c r="L241" i="8"/>
  <c r="O237" i="8"/>
  <c r="L237" i="8"/>
  <c r="F237" i="8"/>
  <c r="H279" i="8" s="1"/>
  <c r="D302" i="8" s="1"/>
  <c r="O236" i="8"/>
  <c r="L236" i="8"/>
  <c r="F236" i="8"/>
  <c r="F279" i="8" s="1"/>
  <c r="D301" i="8" s="1"/>
  <c r="O235" i="8"/>
  <c r="L235" i="8"/>
  <c r="H235" i="8"/>
  <c r="H282" i="8" s="1"/>
  <c r="D308" i="8" s="1"/>
  <c r="F235" i="8"/>
  <c r="H280" i="8" s="1"/>
  <c r="D306" i="8" s="1"/>
  <c r="O234" i="8"/>
  <c r="L234" i="8"/>
  <c r="H234" i="8"/>
  <c r="F282" i="8" s="1"/>
  <c r="D307" i="8" s="1"/>
  <c r="F234" i="8"/>
  <c r="F280" i="8" s="1"/>
  <c r="D305" i="8" s="1"/>
  <c r="O233" i="8"/>
  <c r="L233" i="8"/>
  <c r="O232" i="8"/>
  <c r="L232" i="8"/>
  <c r="O231" i="8"/>
  <c r="L231" i="8"/>
  <c r="O230" i="8"/>
  <c r="L230" i="8"/>
  <c r="O229" i="8"/>
  <c r="L229" i="8"/>
  <c r="H229" i="8"/>
  <c r="H233" i="8" s="1"/>
  <c r="H281" i="8" s="1"/>
  <c r="D303" i="8" s="1"/>
  <c r="O228" i="8"/>
  <c r="L228" i="8"/>
  <c r="H228" i="8"/>
  <c r="F233" i="8" s="1"/>
  <c r="H237" i="8" s="1"/>
  <c r="H288" i="8" s="1"/>
  <c r="H292" i="8" s="1"/>
  <c r="D298" i="8" s="1"/>
  <c r="O227" i="8"/>
  <c r="L227" i="8"/>
  <c r="H227" i="8"/>
  <c r="H232" i="8" s="1"/>
  <c r="F281" i="8" s="1"/>
  <c r="D304" i="8" s="1"/>
  <c r="O226" i="8"/>
  <c r="L226" i="8"/>
  <c r="H226" i="8"/>
  <c r="F232" i="8" s="1"/>
  <c r="H236" i="8" s="1"/>
  <c r="H287" i="8" s="1"/>
  <c r="F291" i="8" s="1"/>
  <c r="D300" i="8" s="1"/>
  <c r="O222" i="8"/>
  <c r="L222" i="8"/>
  <c r="H222" i="8"/>
  <c r="H272" i="8" s="1"/>
  <c r="B315" i="8" s="1"/>
  <c r="O221" i="8"/>
  <c r="L221" i="8"/>
  <c r="H221" i="8"/>
  <c r="H263" i="8" s="1"/>
  <c r="B311" i="8" s="1"/>
  <c r="O220" i="8"/>
  <c r="L220" i="8"/>
  <c r="F220" i="8"/>
  <c r="F272" i="8" s="1"/>
  <c r="B316" i="8" s="1"/>
  <c r="O219" i="8"/>
  <c r="L219" i="8"/>
  <c r="F219" i="8"/>
  <c r="F262" i="8" s="1"/>
  <c r="B310" i="8" s="1"/>
  <c r="O218" i="8"/>
  <c r="L218" i="8"/>
  <c r="O217" i="8"/>
  <c r="L217" i="8"/>
  <c r="O216" i="8"/>
  <c r="L216" i="8"/>
  <c r="F216" i="8"/>
  <c r="F222" i="8" s="1"/>
  <c r="H264" i="8" s="1"/>
  <c r="B314" i="8" s="1"/>
  <c r="O215" i="8"/>
  <c r="L215" i="8"/>
  <c r="F215" i="8"/>
  <c r="F221" i="8" s="1"/>
  <c r="H262" i="8" s="1"/>
  <c r="B309" i="8" s="1"/>
  <c r="O214" i="8"/>
  <c r="L214" i="8"/>
  <c r="F214" i="8"/>
  <c r="H219" i="8" s="1"/>
  <c r="F263" i="8" s="1"/>
  <c r="B312" i="8" s="1"/>
  <c r="O213" i="8"/>
  <c r="L213" i="8"/>
  <c r="F213" i="8"/>
  <c r="H220" i="8" s="1"/>
  <c r="F264" i="8" s="1"/>
  <c r="B313" i="8" s="1"/>
  <c r="O212" i="8"/>
  <c r="L212" i="8"/>
  <c r="O211" i="8"/>
  <c r="L211" i="8"/>
  <c r="O207" i="8"/>
  <c r="L207" i="8"/>
  <c r="F207" i="8"/>
  <c r="H290" i="8" s="1"/>
  <c r="H293" i="8" s="1"/>
  <c r="B300" i="8" s="1"/>
  <c r="O206" i="8"/>
  <c r="L206" i="8"/>
  <c r="F206" i="8"/>
  <c r="F260" i="8" s="1"/>
  <c r="B302" i="8" s="1"/>
  <c r="O205" i="8"/>
  <c r="L205" i="8"/>
  <c r="H205" i="8"/>
  <c r="H261" i="8" s="1"/>
  <c r="B307" i="8" s="1"/>
  <c r="O204" i="8"/>
  <c r="L204" i="8"/>
  <c r="F204" i="8"/>
  <c r="F261" i="8" s="1"/>
  <c r="B308" i="8" s="1"/>
  <c r="O203" i="8"/>
  <c r="L203" i="8"/>
  <c r="H203" i="8"/>
  <c r="H207" i="8" s="1"/>
  <c r="H260" i="8" s="1"/>
  <c r="B301" i="8" s="1"/>
  <c r="O202" i="8"/>
  <c r="L202" i="8"/>
  <c r="F202" i="8"/>
  <c r="F259" i="8" s="1"/>
  <c r="B303" i="8" s="1"/>
  <c r="O201" i="8"/>
  <c r="L201" i="8"/>
  <c r="O200" i="8"/>
  <c r="L200" i="8"/>
  <c r="O199" i="8"/>
  <c r="L199" i="8"/>
  <c r="H199" i="8"/>
  <c r="F205" i="8" s="1"/>
  <c r="H258" i="8" s="1"/>
  <c r="B306" i="8" s="1"/>
  <c r="O198" i="8"/>
  <c r="L198" i="8"/>
  <c r="H198" i="8"/>
  <c r="F203" i="8" s="1"/>
  <c r="H259" i="8" s="1"/>
  <c r="B304" i="8" s="1"/>
  <c r="O197" i="8"/>
  <c r="L197" i="8"/>
  <c r="H197" i="8"/>
  <c r="H202" i="8" s="1"/>
  <c r="H206" i="8" s="1"/>
  <c r="H289" i="8" s="1"/>
  <c r="F293" i="8" s="1"/>
  <c r="B299" i="8" s="1"/>
  <c r="O196" i="8"/>
  <c r="L196" i="8"/>
  <c r="H196" i="8"/>
  <c r="H204" i="8" s="1"/>
  <c r="F258" i="8" s="1"/>
  <c r="B305" i="8" s="1"/>
  <c r="O190" i="8"/>
  <c r="L190" i="8"/>
  <c r="O189" i="8"/>
  <c r="L189" i="8"/>
  <c r="O186" i="8"/>
  <c r="L186" i="8"/>
  <c r="O185" i="8"/>
  <c r="L185" i="8"/>
  <c r="O184" i="8"/>
  <c r="L184" i="8"/>
  <c r="O183" i="8"/>
  <c r="L183" i="8"/>
  <c r="O182" i="8"/>
  <c r="L182" i="8"/>
  <c r="O181" i="8"/>
  <c r="L181" i="8"/>
  <c r="O180" i="8"/>
  <c r="L180" i="8"/>
  <c r="O179" i="8"/>
  <c r="L179" i="8"/>
  <c r="O178" i="8"/>
  <c r="L178" i="8"/>
  <c r="O177" i="8"/>
  <c r="L177" i="8"/>
  <c r="O176" i="8"/>
  <c r="L176" i="8"/>
  <c r="O175" i="8"/>
  <c r="L175" i="8"/>
  <c r="O171" i="8"/>
  <c r="L171" i="8"/>
  <c r="O170" i="8"/>
  <c r="L170" i="8"/>
  <c r="O167" i="8"/>
  <c r="L167" i="8"/>
  <c r="O166" i="8"/>
  <c r="L166" i="8"/>
  <c r="O165" i="8"/>
  <c r="L165" i="8"/>
  <c r="O164" i="8"/>
  <c r="L164" i="8"/>
  <c r="O163" i="8"/>
  <c r="L163" i="8"/>
  <c r="O162" i="8"/>
  <c r="L162" i="8"/>
  <c r="O161" i="8"/>
  <c r="L161" i="8"/>
  <c r="O160" i="8"/>
  <c r="L160" i="8"/>
  <c r="O159" i="8"/>
  <c r="L159" i="8"/>
  <c r="O158" i="8"/>
  <c r="L158" i="8"/>
  <c r="O157" i="8"/>
  <c r="L157" i="8"/>
  <c r="O156" i="8"/>
  <c r="L156" i="8"/>
  <c r="O152" i="8"/>
  <c r="L152" i="8"/>
  <c r="O151" i="8"/>
  <c r="L151" i="8"/>
  <c r="O148" i="8"/>
  <c r="L148" i="8"/>
  <c r="O147" i="8"/>
  <c r="L147" i="8"/>
  <c r="O146" i="8"/>
  <c r="L146" i="8"/>
  <c r="O145" i="8"/>
  <c r="L145" i="8"/>
  <c r="O144" i="8"/>
  <c r="L144" i="8"/>
  <c r="O143" i="8"/>
  <c r="L143" i="8"/>
  <c r="O142" i="8"/>
  <c r="L142" i="8"/>
  <c r="O141" i="8"/>
  <c r="L141" i="8"/>
  <c r="O140" i="8"/>
  <c r="L140" i="8"/>
  <c r="O139" i="8"/>
  <c r="L139" i="8"/>
  <c r="O138" i="8"/>
  <c r="L138" i="8"/>
  <c r="O137" i="8"/>
  <c r="L137" i="8"/>
  <c r="O133" i="8"/>
  <c r="L133" i="8"/>
  <c r="O132" i="8"/>
  <c r="L132" i="8"/>
  <c r="O129" i="8"/>
  <c r="L129" i="8"/>
  <c r="O128" i="8"/>
  <c r="L128" i="8"/>
  <c r="O127" i="8"/>
  <c r="L127" i="8"/>
  <c r="O126" i="8"/>
  <c r="L126" i="8"/>
  <c r="O125" i="8"/>
  <c r="L125" i="8"/>
  <c r="O124" i="8"/>
  <c r="L124" i="8"/>
  <c r="O123" i="8"/>
  <c r="L123" i="8"/>
  <c r="O122" i="8"/>
  <c r="L122" i="8"/>
  <c r="O121" i="8"/>
  <c r="L121" i="8"/>
  <c r="O120" i="8"/>
  <c r="L120" i="8"/>
  <c r="O119" i="8"/>
  <c r="L119" i="8"/>
  <c r="O118" i="8"/>
  <c r="L118" i="8"/>
  <c r="L90" i="8"/>
  <c r="L89" i="8"/>
  <c r="L88" i="8"/>
  <c r="L86" i="8"/>
  <c r="L85" i="8"/>
  <c r="L84" i="8"/>
  <c r="L83" i="8"/>
  <c r="L82" i="8"/>
  <c r="L81" i="8"/>
  <c r="L80" i="8"/>
  <c r="H80" i="8"/>
  <c r="H86" i="8" s="1"/>
  <c r="H90" i="8" s="1"/>
  <c r="F80" i="8"/>
  <c r="H85" i="8" s="1"/>
  <c r="F89" i="8" s="1"/>
  <c r="L79" i="8"/>
  <c r="H79" i="8"/>
  <c r="F86" i="8" s="1"/>
  <c r="F79" i="8"/>
  <c r="F85" i="8" s="1"/>
  <c r="L78" i="8"/>
  <c r="H78" i="8"/>
  <c r="H83" i="8" s="1"/>
  <c r="F78" i="8"/>
  <c r="H84" i="8" s="1"/>
  <c r="H89" i="8" s="1"/>
  <c r="L77" i="8"/>
  <c r="H77" i="8"/>
  <c r="F84" i="8" s="1"/>
  <c r="F77" i="8"/>
  <c r="F83" i="8" s="1"/>
  <c r="F90" i="8" s="1"/>
  <c r="L76" i="8"/>
  <c r="H76" i="8"/>
  <c r="H82" i="8" s="1"/>
  <c r="F76" i="8"/>
  <c r="H81" i="8" s="1"/>
  <c r="F69" i="8" s="1"/>
  <c r="L75" i="8"/>
  <c r="H75" i="8"/>
  <c r="F82" i="8" s="1"/>
  <c r="H88" i="8" s="1"/>
  <c r="F75" i="8"/>
  <c r="F81" i="8" s="1"/>
  <c r="L71" i="8"/>
  <c r="L70" i="8"/>
  <c r="L69" i="8"/>
  <c r="L67" i="8"/>
  <c r="L66" i="8"/>
  <c r="L65" i="8"/>
  <c r="L64" i="8"/>
  <c r="L63" i="8"/>
  <c r="L62" i="8"/>
  <c r="L61" i="8"/>
  <c r="H61" i="8"/>
  <c r="H67" i="8" s="1"/>
  <c r="H71" i="8" s="1"/>
  <c r="F61" i="8"/>
  <c r="H66" i="8" s="1"/>
  <c r="L60" i="8"/>
  <c r="H60" i="8"/>
  <c r="F67" i="8" s="1"/>
  <c r="F60" i="8"/>
  <c r="F66" i="8" s="1"/>
  <c r="F70" i="8" s="1"/>
  <c r="L59" i="8"/>
  <c r="H59" i="8"/>
  <c r="H64" i="8" s="1"/>
  <c r="F71" i="8" s="1"/>
  <c r="F59" i="8"/>
  <c r="H65" i="8" s="1"/>
  <c r="L58" i="8"/>
  <c r="H58" i="8"/>
  <c r="F65" i="8" s="1"/>
  <c r="H70" i="8" s="1"/>
  <c r="F58" i="8"/>
  <c r="F64" i="8" s="1"/>
  <c r="L57" i="8"/>
  <c r="H57" i="8"/>
  <c r="H63" i="8" s="1"/>
  <c r="H69" i="8" s="1"/>
  <c r="F57" i="8"/>
  <c r="H62" i="8" s="1"/>
  <c r="L56" i="8"/>
  <c r="H56" i="8"/>
  <c r="F63" i="8" s="1"/>
  <c r="F56" i="8"/>
  <c r="F88" i="8" s="1"/>
  <c r="L52" i="8"/>
  <c r="L51" i="8"/>
  <c r="L50" i="8"/>
  <c r="L48" i="8"/>
  <c r="L47" i="8"/>
  <c r="L46" i="8"/>
  <c r="L45" i="8"/>
  <c r="L44" i="8"/>
  <c r="L43" i="8"/>
  <c r="L42" i="8"/>
  <c r="H42" i="8"/>
  <c r="H47" i="8" s="1"/>
  <c r="F42" i="8"/>
  <c r="H48" i="8" s="1"/>
  <c r="L41" i="8"/>
  <c r="H41" i="8"/>
  <c r="F48" i="8" s="1"/>
  <c r="H52" i="8" s="1"/>
  <c r="D108" i="8" s="1"/>
  <c r="F41" i="8"/>
  <c r="F47" i="8" s="1"/>
  <c r="F51" i="8" s="1"/>
  <c r="L40" i="8"/>
  <c r="H40" i="8"/>
  <c r="H46" i="8" s="1"/>
  <c r="H51" i="8" s="1"/>
  <c r="F40" i="8"/>
  <c r="H45" i="8" s="1"/>
  <c r="F52" i="8" s="1"/>
  <c r="L39" i="8"/>
  <c r="H39" i="8"/>
  <c r="F46" i="8" s="1"/>
  <c r="F39" i="8"/>
  <c r="F45" i="8" s="1"/>
  <c r="L38" i="8"/>
  <c r="H38" i="8"/>
  <c r="H44" i="8" s="1"/>
  <c r="F38" i="8"/>
  <c r="H43" i="8" s="1"/>
  <c r="F31" i="8" s="1"/>
  <c r="L37" i="8"/>
  <c r="H37" i="8"/>
  <c r="F44" i="8" s="1"/>
  <c r="H50" i="8" s="1"/>
  <c r="F37" i="8"/>
  <c r="F43" i="8" s="1"/>
  <c r="L33" i="8"/>
  <c r="L32" i="8"/>
  <c r="L31" i="8"/>
  <c r="L29" i="8"/>
  <c r="L28" i="8"/>
  <c r="L27" i="8"/>
  <c r="L26" i="8"/>
  <c r="L25" i="8"/>
  <c r="L24" i="8"/>
  <c r="L23" i="8"/>
  <c r="H23" i="8"/>
  <c r="H28" i="8" s="1"/>
  <c r="F32" i="8" s="1"/>
  <c r="F23" i="8"/>
  <c r="H29" i="8" s="1"/>
  <c r="H33" i="8" s="1"/>
  <c r="L22" i="8"/>
  <c r="H22" i="8"/>
  <c r="F29" i="8" s="1"/>
  <c r="F22" i="8"/>
  <c r="F28" i="8" s="1"/>
  <c r="L21" i="8"/>
  <c r="H21" i="8"/>
  <c r="H27" i="8" s="1"/>
  <c r="H32" i="8" s="1"/>
  <c r="F21" i="8"/>
  <c r="H26" i="8" s="1"/>
  <c r="F33" i="8" s="1"/>
  <c r="L20" i="8"/>
  <c r="H20" i="8"/>
  <c r="F20" i="8"/>
  <c r="L19" i="8"/>
  <c r="H19" i="8"/>
  <c r="H25" i="8" s="1"/>
  <c r="H31" i="8" s="1"/>
  <c r="F19" i="8"/>
  <c r="H24" i="8" s="1"/>
  <c r="F50" i="8" s="1"/>
  <c r="L18" i="8"/>
  <c r="H18" i="8"/>
  <c r="F25" i="8" s="1"/>
  <c r="F18" i="8"/>
  <c r="F24" i="8" s="1"/>
  <c r="O296" i="7"/>
  <c r="N296" i="7"/>
  <c r="L296" i="7"/>
  <c r="O295" i="7"/>
  <c r="N295" i="7"/>
  <c r="L295" i="7"/>
  <c r="O294" i="7"/>
  <c r="N294" i="7"/>
  <c r="L294" i="7"/>
  <c r="O293" i="7"/>
  <c r="N293" i="7"/>
  <c r="L293" i="7"/>
  <c r="O280" i="7"/>
  <c r="N280" i="7"/>
  <c r="L280" i="7"/>
  <c r="O292" i="7"/>
  <c r="N292" i="7"/>
  <c r="L292" i="7"/>
  <c r="F292" i="7"/>
  <c r="H295" i="7" s="1"/>
  <c r="B302" i="7" s="1"/>
  <c r="O291" i="7"/>
  <c r="N291" i="7"/>
  <c r="L291" i="7"/>
  <c r="F291" i="7"/>
  <c r="O290" i="7"/>
  <c r="N290" i="7"/>
  <c r="L290" i="7"/>
  <c r="F290" i="7"/>
  <c r="H294" i="7" s="1"/>
  <c r="D300" i="7" s="1"/>
  <c r="O289" i="7"/>
  <c r="N289" i="7"/>
  <c r="L289" i="7"/>
  <c r="F289" i="7"/>
  <c r="F294" i="7" s="1"/>
  <c r="D299" i="7" s="1"/>
  <c r="O275" i="7"/>
  <c r="N275" i="7"/>
  <c r="L275" i="7"/>
  <c r="O274" i="7"/>
  <c r="N274" i="7"/>
  <c r="L274" i="7"/>
  <c r="O273" i="7"/>
  <c r="N273" i="7"/>
  <c r="L273" i="7"/>
  <c r="O272" i="7"/>
  <c r="N272" i="7"/>
  <c r="L272" i="7"/>
  <c r="O279" i="7"/>
  <c r="N279" i="7"/>
  <c r="L279" i="7"/>
  <c r="O285" i="7"/>
  <c r="N285" i="7"/>
  <c r="L285" i="7"/>
  <c r="O284" i="7"/>
  <c r="N284" i="7"/>
  <c r="L284" i="7"/>
  <c r="O283" i="7"/>
  <c r="N283" i="7"/>
  <c r="L283" i="7"/>
  <c r="O271" i="7"/>
  <c r="N271" i="7"/>
  <c r="L271" i="7"/>
  <c r="O270" i="7"/>
  <c r="N270" i="7"/>
  <c r="L270" i="7"/>
  <c r="O266" i="7"/>
  <c r="N266" i="7"/>
  <c r="L266" i="7"/>
  <c r="O265" i="7"/>
  <c r="N265" i="7"/>
  <c r="L265" i="7"/>
  <c r="O264" i="7"/>
  <c r="N264" i="7"/>
  <c r="L264" i="7"/>
  <c r="O263" i="7"/>
  <c r="N263" i="7"/>
  <c r="L263" i="7"/>
  <c r="O262" i="7"/>
  <c r="N262" i="7"/>
  <c r="L262" i="7"/>
  <c r="O282" i="7"/>
  <c r="N282" i="7"/>
  <c r="L282" i="7"/>
  <c r="O281" i="7"/>
  <c r="N281" i="7"/>
  <c r="L281" i="7"/>
  <c r="O261" i="7"/>
  <c r="N261" i="7"/>
  <c r="L261" i="7"/>
  <c r="O260" i="7"/>
  <c r="N260" i="7"/>
  <c r="L260" i="7"/>
  <c r="O254" i="7"/>
  <c r="L254" i="7"/>
  <c r="H254" i="7"/>
  <c r="H274" i="7" s="1"/>
  <c r="D316" i="7" s="1"/>
  <c r="O253" i="7"/>
  <c r="L253" i="7"/>
  <c r="O252" i="7"/>
  <c r="L252" i="7"/>
  <c r="F252" i="7"/>
  <c r="O249" i="7"/>
  <c r="L249" i="7"/>
  <c r="O248" i="7"/>
  <c r="L248" i="7"/>
  <c r="O247" i="7"/>
  <c r="L247" i="7"/>
  <c r="O246" i="7"/>
  <c r="L246" i="7"/>
  <c r="F246" i="7"/>
  <c r="O245" i="7"/>
  <c r="L245" i="7"/>
  <c r="F245" i="7"/>
  <c r="F253" i="7" s="1"/>
  <c r="H272" i="7" s="1"/>
  <c r="D312" i="7" s="1"/>
  <c r="O244" i="7"/>
  <c r="L244" i="7"/>
  <c r="F244" i="7"/>
  <c r="H249" i="7" s="1"/>
  <c r="O243" i="7"/>
  <c r="L243" i="7"/>
  <c r="F243" i="7"/>
  <c r="O239" i="7"/>
  <c r="L239" i="7"/>
  <c r="F239" i="7"/>
  <c r="H290" i="7" s="1"/>
  <c r="H293" i="7" s="1"/>
  <c r="D302" i="7" s="1"/>
  <c r="O238" i="7"/>
  <c r="L238" i="7"/>
  <c r="F238" i="7"/>
  <c r="F283" i="7" s="1"/>
  <c r="O237" i="7"/>
  <c r="L237" i="7"/>
  <c r="H237" i="7"/>
  <c r="H279" i="7" s="1"/>
  <c r="D309" i="7" s="1"/>
  <c r="F237" i="7"/>
  <c r="H285" i="7" s="1"/>
  <c r="D308" i="7" s="1"/>
  <c r="O236" i="7"/>
  <c r="L236" i="7"/>
  <c r="O235" i="7"/>
  <c r="L235" i="7"/>
  <c r="O234" i="7"/>
  <c r="L234" i="7"/>
  <c r="F234" i="7"/>
  <c r="O233" i="7"/>
  <c r="L233" i="7"/>
  <c r="O232" i="7"/>
  <c r="L232" i="7"/>
  <c r="O231" i="7"/>
  <c r="L231" i="7"/>
  <c r="H231" i="7"/>
  <c r="H235" i="7" s="1"/>
  <c r="O230" i="7"/>
  <c r="L230" i="7"/>
  <c r="H230" i="7"/>
  <c r="F235" i="7" s="1"/>
  <c r="H284" i="7" s="1"/>
  <c r="O229" i="7"/>
  <c r="L229" i="7"/>
  <c r="H229" i="7"/>
  <c r="O228" i="7"/>
  <c r="L228" i="7"/>
  <c r="H228" i="7"/>
  <c r="H236" i="7" s="1"/>
  <c r="F285" i="7" s="1"/>
  <c r="D307" i="7" s="1"/>
  <c r="O227" i="7"/>
  <c r="L227" i="7"/>
  <c r="O223" i="7"/>
  <c r="L223" i="7"/>
  <c r="F223" i="7"/>
  <c r="O222" i="7"/>
  <c r="L222" i="7"/>
  <c r="O221" i="7"/>
  <c r="L221" i="7"/>
  <c r="O220" i="7"/>
  <c r="L220" i="7"/>
  <c r="O219" i="7"/>
  <c r="L219" i="7"/>
  <c r="O218" i="7"/>
  <c r="L218" i="7"/>
  <c r="O217" i="7"/>
  <c r="L217" i="7"/>
  <c r="F217" i="7"/>
  <c r="H222" i="7" s="1"/>
  <c r="O216" i="7"/>
  <c r="L216" i="7"/>
  <c r="F216" i="7"/>
  <c r="O215" i="7"/>
  <c r="L215" i="7"/>
  <c r="F215" i="7"/>
  <c r="O214" i="7"/>
  <c r="L214" i="7"/>
  <c r="F214" i="7"/>
  <c r="O213" i="7"/>
  <c r="L213" i="7"/>
  <c r="O212" i="7"/>
  <c r="L212" i="7"/>
  <c r="O211" i="7"/>
  <c r="L211" i="7"/>
  <c r="O207" i="7"/>
  <c r="L207" i="7"/>
  <c r="F207" i="7"/>
  <c r="H280" i="7" s="1"/>
  <c r="B303" i="7" s="1"/>
  <c r="O206" i="7"/>
  <c r="L206" i="7"/>
  <c r="F206" i="7"/>
  <c r="F280" i="7" s="1"/>
  <c r="B304" i="7" s="1"/>
  <c r="O205" i="7"/>
  <c r="L205" i="7"/>
  <c r="H205" i="7"/>
  <c r="O204" i="7"/>
  <c r="L204" i="7"/>
  <c r="F204" i="7"/>
  <c r="F262" i="7" s="1"/>
  <c r="B310" i="7" s="1"/>
  <c r="O203" i="7"/>
  <c r="L203" i="7"/>
  <c r="H203" i="7"/>
  <c r="H281" i="7" s="1"/>
  <c r="B306" i="7" s="1"/>
  <c r="O202" i="7"/>
  <c r="L202" i="7"/>
  <c r="F202" i="7"/>
  <c r="H206" i="7" s="1"/>
  <c r="H291" i="7" s="1"/>
  <c r="F295" i="7" s="1"/>
  <c r="B301" i="7" s="1"/>
  <c r="O201" i="7"/>
  <c r="L201" i="7"/>
  <c r="O200" i="7"/>
  <c r="L200" i="7"/>
  <c r="O199" i="7"/>
  <c r="L199" i="7"/>
  <c r="H199" i="7"/>
  <c r="F205" i="7" s="1"/>
  <c r="H262" i="7" s="1"/>
  <c r="B309" i="7" s="1"/>
  <c r="O198" i="7"/>
  <c r="L198" i="7"/>
  <c r="H198" i="7"/>
  <c r="F203" i="7" s="1"/>
  <c r="H207" i="7" s="1"/>
  <c r="H292" i="7" s="1"/>
  <c r="H296" i="7" s="1"/>
  <c r="O197" i="7"/>
  <c r="L197" i="7"/>
  <c r="H197" i="7"/>
  <c r="H202" i="7" s="1"/>
  <c r="F281" i="7" s="1"/>
  <c r="B305" i="7" s="1"/>
  <c r="O196" i="7"/>
  <c r="L196" i="7"/>
  <c r="H196" i="7"/>
  <c r="H204" i="7" s="1"/>
  <c r="F282" i="7" s="1"/>
  <c r="B308" i="7" s="1"/>
  <c r="O190" i="7"/>
  <c r="L190" i="7"/>
  <c r="O189" i="7"/>
  <c r="L189" i="7"/>
  <c r="O186" i="7"/>
  <c r="L186" i="7"/>
  <c r="O185" i="7"/>
  <c r="L185" i="7"/>
  <c r="O184" i="7"/>
  <c r="L184" i="7"/>
  <c r="O183" i="7"/>
  <c r="L183" i="7"/>
  <c r="O182" i="7"/>
  <c r="L182" i="7"/>
  <c r="O181" i="7"/>
  <c r="L181" i="7"/>
  <c r="O180" i="7"/>
  <c r="L180" i="7"/>
  <c r="O179" i="7"/>
  <c r="L179" i="7"/>
  <c r="O178" i="7"/>
  <c r="L178" i="7"/>
  <c r="O177" i="7"/>
  <c r="L177" i="7"/>
  <c r="O176" i="7"/>
  <c r="L176" i="7"/>
  <c r="O175" i="7"/>
  <c r="L175" i="7"/>
  <c r="O171" i="7"/>
  <c r="L171" i="7"/>
  <c r="O170" i="7"/>
  <c r="L170" i="7"/>
  <c r="O167" i="7"/>
  <c r="L167" i="7"/>
  <c r="O166" i="7"/>
  <c r="L166" i="7"/>
  <c r="O165" i="7"/>
  <c r="L165" i="7"/>
  <c r="O164" i="7"/>
  <c r="L164" i="7"/>
  <c r="O163" i="7"/>
  <c r="L163" i="7"/>
  <c r="O162" i="7"/>
  <c r="L162" i="7"/>
  <c r="O161" i="7"/>
  <c r="L161" i="7"/>
  <c r="O160" i="7"/>
  <c r="L160" i="7"/>
  <c r="O159" i="7"/>
  <c r="L159" i="7"/>
  <c r="O158" i="7"/>
  <c r="L158" i="7"/>
  <c r="O157" i="7"/>
  <c r="L157" i="7"/>
  <c r="O156" i="7"/>
  <c r="L156" i="7"/>
  <c r="O152" i="7"/>
  <c r="L152" i="7"/>
  <c r="O151" i="7"/>
  <c r="L151" i="7"/>
  <c r="O148" i="7"/>
  <c r="L148" i="7"/>
  <c r="O147" i="7"/>
  <c r="L147" i="7"/>
  <c r="O146" i="7"/>
  <c r="L146" i="7"/>
  <c r="O145" i="7"/>
  <c r="L145" i="7"/>
  <c r="O144" i="7"/>
  <c r="L144" i="7"/>
  <c r="O143" i="7"/>
  <c r="L143" i="7"/>
  <c r="O142" i="7"/>
  <c r="L142" i="7"/>
  <c r="O141" i="7"/>
  <c r="L141" i="7"/>
  <c r="O140" i="7"/>
  <c r="L140" i="7"/>
  <c r="O139" i="7"/>
  <c r="L139" i="7"/>
  <c r="O138" i="7"/>
  <c r="L138" i="7"/>
  <c r="O137" i="7"/>
  <c r="L137" i="7"/>
  <c r="O133" i="7"/>
  <c r="L133" i="7"/>
  <c r="O132" i="7"/>
  <c r="L132" i="7"/>
  <c r="O129" i="7"/>
  <c r="L129" i="7"/>
  <c r="O128" i="7"/>
  <c r="L128" i="7"/>
  <c r="O127" i="7"/>
  <c r="L127" i="7"/>
  <c r="O126" i="7"/>
  <c r="L126" i="7"/>
  <c r="O125" i="7"/>
  <c r="L125" i="7"/>
  <c r="O124" i="7"/>
  <c r="L124" i="7"/>
  <c r="O123" i="7"/>
  <c r="L123" i="7"/>
  <c r="O122" i="7"/>
  <c r="L122" i="7"/>
  <c r="O121" i="7"/>
  <c r="L121" i="7"/>
  <c r="O120" i="7"/>
  <c r="L120" i="7"/>
  <c r="O119" i="7"/>
  <c r="L119" i="7"/>
  <c r="O118" i="7"/>
  <c r="L118" i="7"/>
  <c r="L90" i="7"/>
  <c r="L89" i="7"/>
  <c r="L88" i="7"/>
  <c r="L86" i="7"/>
  <c r="L85" i="7"/>
  <c r="L84" i="7"/>
  <c r="L83" i="7"/>
  <c r="L82" i="7"/>
  <c r="L81" i="7"/>
  <c r="L80" i="7"/>
  <c r="H80" i="7"/>
  <c r="F80" i="7"/>
  <c r="H86" i="7" s="1"/>
  <c r="H90" i="7" s="1"/>
  <c r="E109" i="7" s="1"/>
  <c r="L79" i="7"/>
  <c r="H79" i="7"/>
  <c r="F86" i="7" s="1"/>
  <c r="B112" i="7" s="1"/>
  <c r="F79" i="7"/>
  <c r="F85" i="7" s="1"/>
  <c r="L78" i="7"/>
  <c r="H78" i="7"/>
  <c r="H84" i="7" s="1"/>
  <c r="F78" i="7"/>
  <c r="H83" i="7" s="1"/>
  <c r="L77" i="7"/>
  <c r="H77" i="7"/>
  <c r="F84" i="7" s="1"/>
  <c r="F77" i="7"/>
  <c r="F83" i="7" s="1"/>
  <c r="L76" i="7"/>
  <c r="H76" i="7"/>
  <c r="H82" i="7" s="1"/>
  <c r="H88" i="7" s="1"/>
  <c r="E101" i="7" s="1"/>
  <c r="F76" i="7"/>
  <c r="H81" i="7" s="1"/>
  <c r="F69" i="7" s="1"/>
  <c r="B109" i="7" s="1"/>
  <c r="L75" i="7"/>
  <c r="H75" i="7"/>
  <c r="F82" i="7" s="1"/>
  <c r="D112" i="7" s="1"/>
  <c r="F75" i="7"/>
  <c r="F81" i="7" s="1"/>
  <c r="C98" i="7" s="1"/>
  <c r="L71" i="7"/>
  <c r="L70" i="7"/>
  <c r="L69" i="7"/>
  <c r="L67" i="7"/>
  <c r="L66" i="7"/>
  <c r="L65" i="7"/>
  <c r="L64" i="7"/>
  <c r="L63" i="7"/>
  <c r="L62" i="7"/>
  <c r="L61" i="7"/>
  <c r="H61" i="7"/>
  <c r="F61" i="7"/>
  <c r="H67" i="7" s="1"/>
  <c r="L60" i="7"/>
  <c r="H60" i="7"/>
  <c r="F67" i="7" s="1"/>
  <c r="F60" i="7"/>
  <c r="F66" i="7" s="1"/>
  <c r="F70" i="7" s="1"/>
  <c r="C108" i="7" s="1"/>
  <c r="L59" i="7"/>
  <c r="H59" i="7"/>
  <c r="F59" i="7"/>
  <c r="H65" i="7" s="1"/>
  <c r="H70" i="7" s="1"/>
  <c r="E102" i="7" s="1"/>
  <c r="L58" i="7"/>
  <c r="H58" i="7"/>
  <c r="F65" i="7" s="1"/>
  <c r="D113" i="7" s="1"/>
  <c r="F58" i="7"/>
  <c r="F64" i="7" s="1"/>
  <c r="C97" i="7" s="1"/>
  <c r="L57" i="7"/>
  <c r="H57" i="7"/>
  <c r="H63" i="7" s="1"/>
  <c r="H69" i="7" s="1"/>
  <c r="D101" i="7" s="1"/>
  <c r="F57" i="7"/>
  <c r="H62" i="7" s="1"/>
  <c r="F88" i="7" s="1"/>
  <c r="C109" i="7" s="1"/>
  <c r="L56" i="7"/>
  <c r="H56" i="7"/>
  <c r="F63" i="7" s="1"/>
  <c r="E112" i="7" s="1"/>
  <c r="F56" i="7"/>
  <c r="F62" i="7" s="1"/>
  <c r="B98" i="7" s="1"/>
  <c r="L52" i="7"/>
  <c r="L51" i="7"/>
  <c r="L50" i="7"/>
  <c r="L48" i="7"/>
  <c r="L47" i="7"/>
  <c r="L46" i="7"/>
  <c r="L45" i="7"/>
  <c r="L44" i="7"/>
  <c r="L43" i="7"/>
  <c r="L42" i="7"/>
  <c r="H42" i="7"/>
  <c r="H48" i="7" s="1"/>
  <c r="H52" i="7" s="1"/>
  <c r="B102" i="7" s="1"/>
  <c r="F42" i="7"/>
  <c r="H47" i="7" s="1"/>
  <c r="F51" i="7" s="1"/>
  <c r="C102" i="7" s="1"/>
  <c r="L41" i="7"/>
  <c r="H41" i="7"/>
  <c r="F48" i="7" s="1"/>
  <c r="C113" i="7" s="1"/>
  <c r="F41" i="7"/>
  <c r="F47" i="7" s="1"/>
  <c r="D97" i="7" s="1"/>
  <c r="L40" i="7"/>
  <c r="H40" i="7"/>
  <c r="H46" i="7" s="1"/>
  <c r="H51" i="7" s="1"/>
  <c r="E108" i="7" s="1"/>
  <c r="F40" i="7"/>
  <c r="H45" i="7" s="1"/>
  <c r="F52" i="7" s="1"/>
  <c r="D108" i="7" s="1"/>
  <c r="L39" i="7"/>
  <c r="H39" i="7"/>
  <c r="F46" i="7" s="1"/>
  <c r="B113" i="7" s="1"/>
  <c r="F39" i="7"/>
  <c r="F45" i="7" s="1"/>
  <c r="E97" i="7" s="1"/>
  <c r="L38" i="7"/>
  <c r="H38" i="7"/>
  <c r="H43" i="7" s="1"/>
  <c r="F31" i="7" s="1"/>
  <c r="F38" i="7"/>
  <c r="H44" i="7" s="1"/>
  <c r="L37" i="7"/>
  <c r="H37" i="7"/>
  <c r="F44" i="7" s="1"/>
  <c r="F37" i="7"/>
  <c r="F43" i="7" s="1"/>
  <c r="E96" i="7" s="1"/>
  <c r="L33" i="7"/>
  <c r="L32" i="7"/>
  <c r="L31" i="7"/>
  <c r="L29" i="7"/>
  <c r="L28" i="7"/>
  <c r="L27" i="7"/>
  <c r="L26" i="7"/>
  <c r="L25" i="7"/>
  <c r="L24" i="7"/>
  <c r="L23" i="7"/>
  <c r="H23" i="7"/>
  <c r="F23" i="7"/>
  <c r="H29" i="7" s="1"/>
  <c r="H33" i="7" s="1"/>
  <c r="C107" i="7" s="1"/>
  <c r="L22" i="7"/>
  <c r="H22" i="7"/>
  <c r="F29" i="7" s="1"/>
  <c r="D114" i="7" s="1"/>
  <c r="F22" i="7"/>
  <c r="F28" i="7" s="1"/>
  <c r="L21" i="7"/>
  <c r="H21" i="7"/>
  <c r="H27" i="7" s="1"/>
  <c r="H32" i="7" s="1"/>
  <c r="B107" i="7" s="1"/>
  <c r="F21" i="7"/>
  <c r="H26" i="7" s="1"/>
  <c r="F33" i="7" s="1"/>
  <c r="E103" i="7" s="1"/>
  <c r="L20" i="7"/>
  <c r="H20" i="7"/>
  <c r="F27" i="7" s="1"/>
  <c r="E114" i="7" s="1"/>
  <c r="F20" i="7"/>
  <c r="F26" i="7" s="1"/>
  <c r="B96" i="7" s="1"/>
  <c r="L19" i="7"/>
  <c r="H19" i="7"/>
  <c r="F19" i="7"/>
  <c r="H25" i="7" s="1"/>
  <c r="H31" i="7" s="1"/>
  <c r="L18" i="7"/>
  <c r="H18" i="7"/>
  <c r="F25" i="7" s="1"/>
  <c r="C114" i="7" s="1"/>
  <c r="F18" i="7"/>
  <c r="F24" i="7" s="1"/>
  <c r="D96" i="7" s="1"/>
  <c r="N287" i="6"/>
  <c r="L287" i="6"/>
  <c r="N309" i="6"/>
  <c r="L309" i="6"/>
  <c r="N308" i="6"/>
  <c r="L308" i="6"/>
  <c r="N307" i="6"/>
  <c r="L307" i="6"/>
  <c r="N306" i="6"/>
  <c r="L306" i="6"/>
  <c r="N305" i="6"/>
  <c r="L305" i="6"/>
  <c r="F305" i="6"/>
  <c r="H309" i="6" s="1"/>
  <c r="B312" i="6" s="1"/>
  <c r="N304" i="6"/>
  <c r="L304" i="6"/>
  <c r="F304" i="6"/>
  <c r="F308" i="6" s="1"/>
  <c r="B315" i="6" s="1"/>
  <c r="N303" i="6"/>
  <c r="L303" i="6"/>
  <c r="F303" i="6"/>
  <c r="H306" i="6" s="1"/>
  <c r="D315" i="6" s="1"/>
  <c r="N302" i="6"/>
  <c r="L302" i="6"/>
  <c r="F302" i="6"/>
  <c r="F306" i="6" s="1"/>
  <c r="D314" i="6" s="1"/>
  <c r="N298" i="6"/>
  <c r="L298" i="6"/>
  <c r="N297" i="6"/>
  <c r="L297" i="6"/>
  <c r="N296" i="6"/>
  <c r="L296" i="6"/>
  <c r="N295" i="6"/>
  <c r="L295" i="6"/>
  <c r="N294" i="6"/>
  <c r="L294" i="6"/>
  <c r="N293" i="6"/>
  <c r="L293" i="6"/>
  <c r="N289" i="6"/>
  <c r="L289" i="6"/>
  <c r="N288" i="6"/>
  <c r="L288" i="6"/>
  <c r="N286" i="6"/>
  <c r="L286" i="6"/>
  <c r="N285" i="6"/>
  <c r="L285" i="6"/>
  <c r="N284" i="6"/>
  <c r="L284" i="6"/>
  <c r="N283" i="6"/>
  <c r="L283" i="6"/>
  <c r="N279" i="6"/>
  <c r="L279" i="6"/>
  <c r="N278" i="6"/>
  <c r="L278" i="6"/>
  <c r="N277" i="6"/>
  <c r="L277" i="6"/>
  <c r="N276" i="6"/>
  <c r="L276" i="6"/>
  <c r="N275" i="6"/>
  <c r="L275" i="6"/>
  <c r="N274" i="6"/>
  <c r="L274" i="6"/>
  <c r="N273" i="6"/>
  <c r="L273" i="6"/>
  <c r="N267" i="6"/>
  <c r="L267" i="6"/>
  <c r="H267" i="6"/>
  <c r="H296" i="6" s="1"/>
  <c r="D325" i="6" s="1"/>
  <c r="F267" i="6"/>
  <c r="H297" i="6" s="1"/>
  <c r="D326" i="6" s="1"/>
  <c r="N266" i="6"/>
  <c r="L266" i="6"/>
  <c r="F266" i="6"/>
  <c r="F297" i="6" s="1"/>
  <c r="D327" i="6" s="1"/>
  <c r="N265" i="6"/>
  <c r="L265" i="6"/>
  <c r="N264" i="6"/>
  <c r="L264" i="6"/>
  <c r="N263" i="6"/>
  <c r="L263" i="6"/>
  <c r="N262" i="6"/>
  <c r="L262" i="6"/>
  <c r="F262" i="6"/>
  <c r="F283" i="6" s="1"/>
  <c r="D331" i="6" s="1"/>
  <c r="N258" i="6"/>
  <c r="L258" i="6"/>
  <c r="F258" i="6"/>
  <c r="F263" i="6" s="1"/>
  <c r="H298" i="6" s="1"/>
  <c r="D328" i="6" s="1"/>
  <c r="N257" i="6"/>
  <c r="L257" i="6"/>
  <c r="F257" i="6"/>
  <c r="H263" i="6" s="1"/>
  <c r="H283" i="6" s="1"/>
  <c r="D330" i="6" s="1"/>
  <c r="N256" i="6"/>
  <c r="L256" i="6"/>
  <c r="F256" i="6"/>
  <c r="H266" i="6" s="1"/>
  <c r="F296" i="6" s="1"/>
  <c r="D324" i="6" s="1"/>
  <c r="N255" i="6"/>
  <c r="L255" i="6"/>
  <c r="F255" i="6"/>
  <c r="H262" i="6" s="1"/>
  <c r="F298" i="6" s="1"/>
  <c r="D329" i="6" s="1"/>
  <c r="N254" i="6"/>
  <c r="L254" i="6"/>
  <c r="N253" i="6"/>
  <c r="L253" i="6"/>
  <c r="N249" i="6"/>
  <c r="L249" i="6"/>
  <c r="F249" i="6"/>
  <c r="H284" i="6" s="1"/>
  <c r="D316" i="6" s="1"/>
  <c r="N248" i="6"/>
  <c r="L248" i="6"/>
  <c r="F248" i="6"/>
  <c r="H302" i="6" s="1"/>
  <c r="F307" i="6" s="1"/>
  <c r="D312" i="6" s="1"/>
  <c r="N247" i="6"/>
  <c r="L247" i="6"/>
  <c r="F247" i="6"/>
  <c r="H294" i="6" s="1"/>
  <c r="D321" i="6" s="1"/>
  <c r="N246" i="6"/>
  <c r="L246" i="6"/>
  <c r="N245" i="6"/>
  <c r="L245" i="6"/>
  <c r="F245" i="6"/>
  <c r="H293" i="6" s="1"/>
  <c r="D319" i="6" s="1"/>
  <c r="N244" i="6"/>
  <c r="L244" i="6"/>
  <c r="H244" i="6"/>
  <c r="H248" i="6" s="1"/>
  <c r="F284" i="6" s="1"/>
  <c r="D317" i="6" s="1"/>
  <c r="F244" i="6"/>
  <c r="F293" i="6" s="1"/>
  <c r="D318" i="6" s="1"/>
  <c r="N243" i="6"/>
  <c r="L243" i="6"/>
  <c r="N242" i="6"/>
  <c r="L242" i="6"/>
  <c r="N241" i="6"/>
  <c r="L241" i="6"/>
  <c r="H241" i="6"/>
  <c r="H245" i="6" s="1"/>
  <c r="H249" i="6" s="1"/>
  <c r="H303" i="6" s="1"/>
  <c r="H307" i="6" s="1"/>
  <c r="D313" i="6" s="1"/>
  <c r="N240" i="6"/>
  <c r="L240" i="6"/>
  <c r="H247" i="6"/>
  <c r="H295" i="6" s="1"/>
  <c r="D323" i="6" s="1"/>
  <c r="N239" i="6"/>
  <c r="L239" i="6"/>
  <c r="H239" i="6"/>
  <c r="F246" i="6" s="1"/>
  <c r="F294" i="6" s="1"/>
  <c r="D320" i="6" s="1"/>
  <c r="N238" i="6"/>
  <c r="L238" i="6"/>
  <c r="H238" i="6"/>
  <c r="H246" i="6" s="1"/>
  <c r="F295" i="6" s="1"/>
  <c r="D322" i="6" s="1"/>
  <c r="N234" i="6"/>
  <c r="L234" i="6"/>
  <c r="N233" i="6"/>
  <c r="L233" i="6"/>
  <c r="H233" i="6"/>
  <c r="H277" i="6" s="1"/>
  <c r="B325" i="6" s="1"/>
  <c r="F233" i="6"/>
  <c r="H278" i="6" s="1"/>
  <c r="B327" i="6" s="1"/>
  <c r="N232" i="6"/>
  <c r="L232" i="6"/>
  <c r="H232" i="6"/>
  <c r="F287" i="6" s="1"/>
  <c r="B330" i="6" s="1"/>
  <c r="N231" i="6"/>
  <c r="L231" i="6"/>
  <c r="H231" i="6"/>
  <c r="F277" i="6" s="1"/>
  <c r="B324" i="6" s="1"/>
  <c r="N230" i="6"/>
  <c r="L230" i="6"/>
  <c r="N229" i="6"/>
  <c r="L229" i="6"/>
  <c r="N228" i="6"/>
  <c r="L228" i="6"/>
  <c r="F228" i="6"/>
  <c r="F234" i="6" s="1"/>
  <c r="H287" i="6" s="1"/>
  <c r="B331" i="6" s="1"/>
  <c r="N227" i="6"/>
  <c r="L227" i="6"/>
  <c r="F227" i="6"/>
  <c r="H234" i="6" s="1"/>
  <c r="H279" i="6" s="1"/>
  <c r="B328" i="6" s="1"/>
  <c r="N226" i="6"/>
  <c r="L226" i="6"/>
  <c r="F226" i="6"/>
  <c r="F232" i="6" s="1"/>
  <c r="F279" i="6" s="1"/>
  <c r="B329" i="6" s="1"/>
  <c r="N225" i="6"/>
  <c r="L225" i="6"/>
  <c r="F225" i="6"/>
  <c r="F231" i="6" s="1"/>
  <c r="F278" i="6" s="1"/>
  <c r="B326" i="6" s="1"/>
  <c r="N224" i="6"/>
  <c r="L224" i="6"/>
  <c r="N223" i="6"/>
  <c r="L223" i="6"/>
  <c r="N219" i="6"/>
  <c r="L219" i="6"/>
  <c r="F219" i="6"/>
  <c r="H273" i="6" s="1"/>
  <c r="B316" i="6" s="1"/>
  <c r="N218" i="6"/>
  <c r="L218" i="6"/>
  <c r="F218" i="6"/>
  <c r="H304" i="6" s="1"/>
  <c r="F309" i="6" s="1"/>
  <c r="B313" i="6" s="1"/>
  <c r="N217" i="6"/>
  <c r="L217" i="6"/>
  <c r="N216" i="6"/>
  <c r="L216" i="6"/>
  <c r="F216" i="6"/>
  <c r="F276" i="6" s="1"/>
  <c r="B322" i="6" s="1"/>
  <c r="N215" i="6"/>
  <c r="L215" i="6"/>
  <c r="H215" i="6"/>
  <c r="H219" i="6" s="1"/>
  <c r="H305" i="6" s="1"/>
  <c r="H308" i="6" s="1"/>
  <c r="B314" i="6" s="1"/>
  <c r="F215" i="6"/>
  <c r="H275" i="6" s="1"/>
  <c r="B319" i="6" s="1"/>
  <c r="N214" i="6"/>
  <c r="L214" i="6"/>
  <c r="F214" i="6"/>
  <c r="F275" i="6" s="1"/>
  <c r="B318" i="6" s="1"/>
  <c r="N213" i="6"/>
  <c r="L213" i="6"/>
  <c r="N212" i="6"/>
  <c r="L212" i="6"/>
  <c r="N211" i="6"/>
  <c r="L211" i="6"/>
  <c r="H211" i="6"/>
  <c r="F217" i="6" s="1"/>
  <c r="H274" i="6" s="1"/>
  <c r="B321" i="6" s="1"/>
  <c r="N210" i="6"/>
  <c r="L210" i="6"/>
  <c r="H210" i="6"/>
  <c r="H217" i="6" s="1"/>
  <c r="H276" i="6" s="1"/>
  <c r="B323" i="6" s="1"/>
  <c r="N209" i="6"/>
  <c r="L209" i="6"/>
  <c r="H209" i="6"/>
  <c r="H214" i="6" s="1"/>
  <c r="H218" i="6" s="1"/>
  <c r="F273" i="6" s="1"/>
  <c r="B317" i="6" s="1"/>
  <c r="N208" i="6"/>
  <c r="L208" i="6"/>
  <c r="H208" i="6"/>
  <c r="H216" i="6" s="1"/>
  <c r="F274" i="6" s="1"/>
  <c r="B320" i="6" s="1"/>
  <c r="N202" i="6"/>
  <c r="L202" i="6"/>
  <c r="Y43" i="12" s="1"/>
  <c r="N201" i="6"/>
  <c r="L201" i="6"/>
  <c r="Y42" i="12" s="1"/>
  <c r="N198" i="6"/>
  <c r="L198" i="6"/>
  <c r="Y39" i="12" s="1"/>
  <c r="N197" i="6"/>
  <c r="L197" i="6"/>
  <c r="Y38" i="12" s="1"/>
  <c r="N193" i="6"/>
  <c r="L193" i="6"/>
  <c r="AB37" i="12" s="1"/>
  <c r="N192" i="6"/>
  <c r="L192" i="6"/>
  <c r="AB36" i="12" s="1"/>
  <c r="N191" i="6"/>
  <c r="L191" i="6"/>
  <c r="AB35" i="12" s="1"/>
  <c r="N190" i="6"/>
  <c r="L190" i="6"/>
  <c r="AB34" i="12" s="1"/>
  <c r="N189" i="6"/>
  <c r="L189" i="6"/>
  <c r="AB33" i="12" s="1"/>
  <c r="N188" i="6"/>
  <c r="L188" i="6"/>
  <c r="AB32" i="12" s="1"/>
  <c r="N187" i="6"/>
  <c r="L187" i="6"/>
  <c r="AB31" i="12" s="1"/>
  <c r="N186" i="6"/>
  <c r="L186" i="6"/>
  <c r="AB30" i="12" s="1"/>
  <c r="N185" i="6"/>
  <c r="L185" i="6"/>
  <c r="AB29" i="12" s="1"/>
  <c r="N184" i="6"/>
  <c r="L184" i="6"/>
  <c r="AB28" i="12" s="1"/>
  <c r="N180" i="6"/>
  <c r="L180" i="6"/>
  <c r="N179" i="6"/>
  <c r="L179" i="6"/>
  <c r="N176" i="6"/>
  <c r="L176" i="6"/>
  <c r="N175" i="6"/>
  <c r="L175" i="6"/>
  <c r="N174" i="6"/>
  <c r="L174" i="6"/>
  <c r="N173" i="6"/>
  <c r="L173" i="6"/>
  <c r="N172" i="6"/>
  <c r="L172" i="6"/>
  <c r="N171" i="6"/>
  <c r="L171" i="6"/>
  <c r="N170" i="6"/>
  <c r="L170" i="6"/>
  <c r="N169" i="6"/>
  <c r="L169" i="6"/>
  <c r="N168" i="6"/>
  <c r="L168" i="6"/>
  <c r="N167" i="6"/>
  <c r="L167" i="6"/>
  <c r="N166" i="6"/>
  <c r="L166" i="6"/>
  <c r="N165" i="6"/>
  <c r="L165" i="6"/>
  <c r="N161" i="6"/>
  <c r="L161" i="6"/>
  <c r="N160" i="6"/>
  <c r="L160" i="6"/>
  <c r="N157" i="6"/>
  <c r="L157" i="6"/>
  <c r="N156" i="6"/>
  <c r="L156" i="6"/>
  <c r="N155" i="6"/>
  <c r="L155" i="6"/>
  <c r="N154" i="6"/>
  <c r="L154" i="6"/>
  <c r="N153" i="6"/>
  <c r="L153" i="6"/>
  <c r="N152" i="6"/>
  <c r="L152" i="6"/>
  <c r="N151" i="6"/>
  <c r="L151" i="6"/>
  <c r="N150" i="6"/>
  <c r="L150" i="6"/>
  <c r="N149" i="6"/>
  <c r="L149" i="6"/>
  <c r="N148" i="6"/>
  <c r="L148" i="6"/>
  <c r="N147" i="6"/>
  <c r="L147" i="6"/>
  <c r="N146" i="6"/>
  <c r="L146" i="6"/>
  <c r="N142" i="6"/>
  <c r="L142" i="6"/>
  <c r="N141" i="6"/>
  <c r="L141" i="6"/>
  <c r="N138" i="6"/>
  <c r="L138" i="6"/>
  <c r="N134" i="6"/>
  <c r="L134" i="6"/>
  <c r="N133" i="6"/>
  <c r="L133" i="6"/>
  <c r="N132" i="6"/>
  <c r="L132" i="6"/>
  <c r="N131" i="6"/>
  <c r="L131" i="6"/>
  <c r="N130" i="6"/>
  <c r="L130" i="6"/>
  <c r="N129" i="6"/>
  <c r="L129" i="6"/>
  <c r="N128" i="6"/>
  <c r="L128" i="6"/>
  <c r="N127" i="6"/>
  <c r="L127" i="6"/>
  <c r="N126" i="6"/>
  <c r="L126" i="6"/>
  <c r="N125" i="6"/>
  <c r="L125" i="6"/>
  <c r="N124" i="6"/>
  <c r="L124" i="6"/>
  <c r="L96" i="6"/>
  <c r="AD19" i="12" s="1"/>
  <c r="L95" i="6"/>
  <c r="AD18" i="12" s="1"/>
  <c r="L94" i="6"/>
  <c r="AD17" i="12" s="1"/>
  <c r="L92" i="6"/>
  <c r="AD15" i="12" s="1"/>
  <c r="L88" i="6"/>
  <c r="AC14" i="12" s="1"/>
  <c r="L87" i="6"/>
  <c r="AC13" i="12" s="1"/>
  <c r="L86" i="6"/>
  <c r="AC12" i="12" s="1"/>
  <c r="L85" i="6"/>
  <c r="AC11" i="12" s="1"/>
  <c r="L84" i="6"/>
  <c r="AC10" i="12" s="1"/>
  <c r="L83" i="6"/>
  <c r="AC9" i="12" s="1"/>
  <c r="H83" i="6"/>
  <c r="H88" i="6" s="1"/>
  <c r="F95" i="6" s="1"/>
  <c r="F83" i="6"/>
  <c r="H92" i="6" s="1"/>
  <c r="L82" i="6"/>
  <c r="AC8" i="12" s="1"/>
  <c r="H82" i="6"/>
  <c r="F92" i="6" s="1"/>
  <c r="H96" i="6" s="1"/>
  <c r="F82" i="6"/>
  <c r="F88" i="6" s="1"/>
  <c r="L81" i="6"/>
  <c r="AC7" i="12" s="1"/>
  <c r="H81" i="6"/>
  <c r="H87" i="6" s="1"/>
  <c r="H95" i="6" s="1"/>
  <c r="F81" i="6"/>
  <c r="H86" i="6" s="1"/>
  <c r="F96" i="6" s="1"/>
  <c r="L80" i="6"/>
  <c r="AC6" i="12" s="1"/>
  <c r="H80" i="6"/>
  <c r="F87" i="6" s="1"/>
  <c r="F80" i="6"/>
  <c r="F86" i="6" s="1"/>
  <c r="L79" i="6"/>
  <c r="AC5" i="12" s="1"/>
  <c r="H79" i="6"/>
  <c r="H85" i="6" s="1"/>
  <c r="H94" i="6" s="1"/>
  <c r="F79" i="6"/>
  <c r="H84" i="6" s="1"/>
  <c r="L78" i="6"/>
  <c r="H78" i="6"/>
  <c r="F85" i="6" s="1"/>
  <c r="F78" i="6"/>
  <c r="F84" i="6" s="1"/>
  <c r="F72" i="6" s="1"/>
  <c r="L74" i="6"/>
  <c r="L73" i="6"/>
  <c r="L72" i="6"/>
  <c r="L70" i="6"/>
  <c r="L66" i="6"/>
  <c r="L65" i="6"/>
  <c r="L64" i="6"/>
  <c r="L63" i="6"/>
  <c r="L62" i="6"/>
  <c r="L61" i="6"/>
  <c r="H61" i="6"/>
  <c r="H66" i="6" s="1"/>
  <c r="F73" i="6" s="1"/>
  <c r="F61" i="6"/>
  <c r="H70" i="6" s="1"/>
  <c r="H74" i="6" s="1"/>
  <c r="L60" i="6"/>
  <c r="H60" i="6"/>
  <c r="F70" i="6" s="1"/>
  <c r="F60" i="6"/>
  <c r="F66" i="6" s="1"/>
  <c r="L59" i="6"/>
  <c r="H59" i="6"/>
  <c r="H65" i="6" s="1"/>
  <c r="F59" i="6"/>
  <c r="H64" i="6" s="1"/>
  <c r="F74" i="6" s="1"/>
  <c r="L58" i="6"/>
  <c r="H58" i="6"/>
  <c r="F64" i="6" s="1"/>
  <c r="F58" i="6"/>
  <c r="F65" i="6" s="1"/>
  <c r="H73" i="6" s="1"/>
  <c r="L57" i="6"/>
  <c r="H57" i="6"/>
  <c r="H62" i="6" s="1"/>
  <c r="F94" i="6" s="1"/>
  <c r="F57" i="6"/>
  <c r="H63" i="6" s="1"/>
  <c r="H72" i="6" s="1"/>
  <c r="L56" i="6"/>
  <c r="H56" i="6"/>
  <c r="F63" i="6" s="1"/>
  <c r="F56" i="6"/>
  <c r="F62" i="6" s="1"/>
  <c r="L52" i="6"/>
  <c r="L51" i="6"/>
  <c r="L50" i="6"/>
  <c r="L48" i="6"/>
  <c r="L47" i="6"/>
  <c r="L46" i="6"/>
  <c r="L45" i="6"/>
  <c r="L44" i="6"/>
  <c r="L43" i="6"/>
  <c r="L42" i="6"/>
  <c r="H42" i="6"/>
  <c r="H47" i="6" s="1"/>
  <c r="F51" i="6" s="1"/>
  <c r="F42" i="6"/>
  <c r="H48" i="6" s="1"/>
  <c r="H52" i="6" s="1"/>
  <c r="L41" i="6"/>
  <c r="H41" i="6"/>
  <c r="F48" i="6" s="1"/>
  <c r="F41" i="6"/>
  <c r="F47" i="6" s="1"/>
  <c r="L40" i="6"/>
  <c r="H40" i="6"/>
  <c r="H46" i="6" s="1"/>
  <c r="H51" i="6" s="1"/>
  <c r="F40" i="6"/>
  <c r="H45" i="6" s="1"/>
  <c r="F52" i="6" s="1"/>
  <c r="L39" i="6"/>
  <c r="H39" i="6"/>
  <c r="F46" i="6" s="1"/>
  <c r="F39" i="6"/>
  <c r="F45" i="6" s="1"/>
  <c r="L38" i="6"/>
  <c r="H38" i="6"/>
  <c r="H43" i="6" s="1"/>
  <c r="F38" i="6"/>
  <c r="H44" i="6" s="1"/>
  <c r="H50" i="6" s="1"/>
  <c r="L37" i="6"/>
  <c r="H37" i="6"/>
  <c r="F44" i="6" s="1"/>
  <c r="F37" i="6"/>
  <c r="F43" i="6" s="1"/>
  <c r="F31" i="6" s="1"/>
  <c r="L33" i="6"/>
  <c r="L32" i="6"/>
  <c r="L31" i="6"/>
  <c r="L29" i="6"/>
  <c r="L28" i="6"/>
  <c r="L27" i="6"/>
  <c r="L26" i="6"/>
  <c r="L25" i="6"/>
  <c r="L24" i="6"/>
  <c r="L23" i="6"/>
  <c r="H23" i="6"/>
  <c r="H29" i="6" s="1"/>
  <c r="H33" i="6" s="1"/>
  <c r="F23" i="6"/>
  <c r="H28" i="6" s="1"/>
  <c r="L22" i="6"/>
  <c r="H22" i="6"/>
  <c r="F29" i="6" s="1"/>
  <c r="F22" i="6"/>
  <c r="F28" i="6" s="1"/>
  <c r="F32" i="6" s="1"/>
  <c r="L21" i="6"/>
  <c r="H21" i="6"/>
  <c r="H27" i="6" s="1"/>
  <c r="H32" i="6" s="1"/>
  <c r="F21" i="6"/>
  <c r="H26" i="6" s="1"/>
  <c r="F33" i="6" s="1"/>
  <c r="L20" i="6"/>
  <c r="H20" i="6"/>
  <c r="F27" i="6" s="1"/>
  <c r="F20" i="6"/>
  <c r="F26" i="6" s="1"/>
  <c r="L19" i="6"/>
  <c r="H19" i="6"/>
  <c r="H25" i="6" s="1"/>
  <c r="F19" i="6"/>
  <c r="H24" i="6" s="1"/>
  <c r="L18" i="6"/>
  <c r="H18" i="6"/>
  <c r="F25" i="6" s="1"/>
  <c r="H31" i="6" s="1"/>
  <c r="F18" i="6"/>
  <c r="F24" i="6" s="1"/>
  <c r="F50" i="6" s="1"/>
  <c r="O219" i="5"/>
  <c r="L219" i="5"/>
  <c r="F219" i="5"/>
  <c r="O218" i="5"/>
  <c r="L218" i="5"/>
  <c r="O217" i="5"/>
  <c r="L217" i="5"/>
  <c r="O199" i="5"/>
  <c r="L199" i="5"/>
  <c r="O216" i="5"/>
  <c r="L216" i="5"/>
  <c r="F216" i="5"/>
  <c r="O215" i="5"/>
  <c r="L215" i="5"/>
  <c r="O214" i="5"/>
  <c r="L214" i="5"/>
  <c r="O210" i="5"/>
  <c r="L210" i="5"/>
  <c r="O209" i="5"/>
  <c r="L209" i="5"/>
  <c r="O208" i="5"/>
  <c r="L208" i="5"/>
  <c r="O207" i="5"/>
  <c r="L207" i="5"/>
  <c r="O206" i="5"/>
  <c r="L206" i="5"/>
  <c r="O205" i="5"/>
  <c r="L205" i="5"/>
  <c r="O198" i="5"/>
  <c r="L198" i="5"/>
  <c r="O231" i="5"/>
  <c r="L231" i="5"/>
  <c r="O225" i="5"/>
  <c r="L225" i="5"/>
  <c r="O201" i="5"/>
  <c r="L201" i="5"/>
  <c r="O200" i="5"/>
  <c r="L200" i="5"/>
  <c r="O229" i="5"/>
  <c r="L229" i="5"/>
  <c r="F229" i="5"/>
  <c r="H231" i="5" s="1"/>
  <c r="B234" i="5" s="1"/>
  <c r="O223" i="5"/>
  <c r="L223" i="5"/>
  <c r="F223" i="5"/>
  <c r="F231" i="5" s="1"/>
  <c r="B235" i="5" s="1"/>
  <c r="O197" i="5"/>
  <c r="L197" i="5"/>
  <c r="O196" i="5"/>
  <c r="L196" i="5"/>
  <c r="F196" i="5"/>
  <c r="F200" i="5" s="1"/>
  <c r="D237" i="5" s="1"/>
  <c r="O190" i="5"/>
  <c r="L190" i="5"/>
  <c r="O189" i="5"/>
  <c r="L189" i="5"/>
  <c r="O188" i="5"/>
  <c r="L188" i="5"/>
  <c r="O187" i="5"/>
  <c r="L187" i="5"/>
  <c r="O186" i="5"/>
  <c r="L186" i="5"/>
  <c r="O185" i="5"/>
  <c r="L185" i="5"/>
  <c r="H185" i="5"/>
  <c r="F218" i="5" s="1"/>
  <c r="O184" i="5"/>
  <c r="L184" i="5"/>
  <c r="O183" i="5"/>
  <c r="L183" i="5"/>
  <c r="O182" i="5"/>
  <c r="L182" i="5"/>
  <c r="O181" i="5"/>
  <c r="L181" i="5"/>
  <c r="O177" i="5"/>
  <c r="L177" i="5"/>
  <c r="H177" i="5"/>
  <c r="F177" i="5"/>
  <c r="H210" i="5" s="1"/>
  <c r="B253" i="5" s="1"/>
  <c r="O176" i="5"/>
  <c r="L176" i="5"/>
  <c r="O175" i="5"/>
  <c r="L175" i="5"/>
  <c r="O174" i="5"/>
  <c r="L174" i="5"/>
  <c r="H174" i="5"/>
  <c r="F174" i="5"/>
  <c r="F208" i="5" s="1"/>
  <c r="B248" i="5" s="1"/>
  <c r="O173" i="5"/>
  <c r="L173" i="5"/>
  <c r="O172" i="5"/>
  <c r="L172" i="5"/>
  <c r="O171" i="5"/>
  <c r="L171" i="5"/>
  <c r="F171" i="5"/>
  <c r="H176" i="5" s="1"/>
  <c r="H208" i="5" s="1"/>
  <c r="B249" i="5" s="1"/>
  <c r="O170" i="5"/>
  <c r="L170" i="5"/>
  <c r="F170" i="5"/>
  <c r="F176" i="5" s="1"/>
  <c r="H207" i="5" s="1"/>
  <c r="B246" i="5" s="1"/>
  <c r="O169" i="5"/>
  <c r="L169" i="5"/>
  <c r="F169" i="5"/>
  <c r="F175" i="5" s="1"/>
  <c r="F209" i="5" s="1"/>
  <c r="B250" i="5" s="1"/>
  <c r="O168" i="5"/>
  <c r="L168" i="5"/>
  <c r="F168" i="5"/>
  <c r="H175" i="5" s="1"/>
  <c r="F210" i="5" s="1"/>
  <c r="B252" i="5" s="1"/>
  <c r="O167" i="5"/>
  <c r="L167" i="5"/>
  <c r="O166" i="5"/>
  <c r="L166" i="5"/>
  <c r="O162" i="5"/>
  <c r="L162" i="5"/>
  <c r="F162" i="5"/>
  <c r="H199" i="5" s="1"/>
  <c r="B238" i="5" s="1"/>
  <c r="O161" i="5"/>
  <c r="L161" i="5"/>
  <c r="F161" i="5"/>
  <c r="H223" i="5" s="1"/>
  <c r="F225" i="5" s="1"/>
  <c r="B236" i="5" s="1"/>
  <c r="O160" i="5"/>
  <c r="L160" i="5"/>
  <c r="H160" i="5"/>
  <c r="H205" i="5" s="1"/>
  <c r="B242" i="5" s="1"/>
  <c r="F160" i="5"/>
  <c r="H206" i="5" s="1"/>
  <c r="B244" i="5" s="1"/>
  <c r="O159" i="5"/>
  <c r="L159" i="5"/>
  <c r="H159" i="5"/>
  <c r="F206" i="5" s="1"/>
  <c r="B245" i="5" s="1"/>
  <c r="F159" i="5"/>
  <c r="F205" i="5" s="1"/>
  <c r="B243" i="5" s="1"/>
  <c r="O158" i="5"/>
  <c r="L158" i="5"/>
  <c r="O157" i="5"/>
  <c r="L157" i="5"/>
  <c r="O156" i="5"/>
  <c r="L156" i="5"/>
  <c r="O155" i="5"/>
  <c r="L155" i="5"/>
  <c r="O154" i="5"/>
  <c r="L154" i="5"/>
  <c r="H154" i="5"/>
  <c r="H158" i="5" s="1"/>
  <c r="H198" i="5" s="1"/>
  <c r="B240" i="5" s="1"/>
  <c r="O153" i="5"/>
  <c r="L153" i="5"/>
  <c r="H153" i="5"/>
  <c r="F158" i="5" s="1"/>
  <c r="H162" i="5" s="1"/>
  <c r="H229" i="5" s="1"/>
  <c r="H225" i="5" s="1"/>
  <c r="B237" i="5" s="1"/>
  <c r="O152" i="5"/>
  <c r="L152" i="5"/>
  <c r="H152" i="5"/>
  <c r="H157" i="5" s="1"/>
  <c r="H161" i="5" s="1"/>
  <c r="F199" i="5" s="1"/>
  <c r="B239" i="5" s="1"/>
  <c r="O151" i="5"/>
  <c r="L151" i="5"/>
  <c r="H151" i="5"/>
  <c r="F157" i="5" s="1"/>
  <c r="F198" i="5" s="1"/>
  <c r="B241" i="5" s="1"/>
  <c r="O145" i="5"/>
  <c r="L145" i="5"/>
  <c r="O144" i="5"/>
  <c r="L144" i="5"/>
  <c r="O143" i="5"/>
  <c r="L143" i="5"/>
  <c r="O142" i="5"/>
  <c r="L142" i="5"/>
  <c r="O141" i="5"/>
  <c r="L141" i="5"/>
  <c r="O140" i="5"/>
  <c r="L140" i="5"/>
  <c r="O139" i="5"/>
  <c r="L139" i="5"/>
  <c r="O138" i="5"/>
  <c r="L138" i="5"/>
  <c r="H142" i="5"/>
  <c r="H145" i="5" s="1"/>
  <c r="F185" i="5" s="1"/>
  <c r="H189" i="5" s="1"/>
  <c r="H196" i="5" s="1"/>
  <c r="F201" i="5" s="1"/>
  <c r="D234" i="5" s="1"/>
  <c r="H143" i="5"/>
  <c r="F183" i="5" s="1"/>
  <c r="H187" i="5" s="1"/>
  <c r="H190" i="5" s="1"/>
  <c r="H217" i="5" s="1"/>
  <c r="O137" i="5"/>
  <c r="L137" i="5"/>
  <c r="F143" i="5"/>
  <c r="H182" i="5" s="1"/>
  <c r="F142" i="5"/>
  <c r="H184" i="5" s="1"/>
  <c r="F197" i="5" s="1"/>
  <c r="H200" i="5" s="1"/>
  <c r="D236" i="5" s="1"/>
  <c r="O136" i="5"/>
  <c r="L136" i="5"/>
  <c r="H140" i="5"/>
  <c r="F145" i="5" s="1"/>
  <c r="H186" i="5" s="1"/>
  <c r="F190" i="5" s="1"/>
  <c r="H197" i="5" s="1"/>
  <c r="H201" i="5" s="1"/>
  <c r="D235" i="5" s="1"/>
  <c r="H141" i="5"/>
  <c r="H181" i="5" s="1"/>
  <c r="O135" i="5"/>
  <c r="L135" i="5"/>
  <c r="F140" i="5"/>
  <c r="F184" i="5" s="1"/>
  <c r="F189" i="5" s="1"/>
  <c r="F217" i="5" s="1"/>
  <c r="F141" i="5"/>
  <c r="F182" i="5" s="1"/>
  <c r="F187" i="5" s="1"/>
  <c r="H218" i="5" s="1"/>
  <c r="O134" i="5"/>
  <c r="L134" i="5"/>
  <c r="O122" i="5"/>
  <c r="L122" i="5"/>
  <c r="O121" i="5"/>
  <c r="L121" i="5"/>
  <c r="O118" i="5"/>
  <c r="L118" i="5"/>
  <c r="O117" i="5"/>
  <c r="L117" i="5"/>
  <c r="O116" i="5"/>
  <c r="L116" i="5"/>
  <c r="O115" i="5"/>
  <c r="L115" i="5"/>
  <c r="O114" i="5"/>
  <c r="L114" i="5"/>
  <c r="O113" i="5"/>
  <c r="L113" i="5"/>
  <c r="O112" i="5"/>
  <c r="L112" i="5"/>
  <c r="O111" i="5"/>
  <c r="L111" i="5"/>
  <c r="O110" i="5"/>
  <c r="L110" i="5"/>
  <c r="O109" i="5"/>
  <c r="L109" i="5"/>
  <c r="O108" i="5"/>
  <c r="L108" i="5"/>
  <c r="O107" i="5"/>
  <c r="L107" i="5"/>
  <c r="O103" i="5"/>
  <c r="L103" i="5"/>
  <c r="O102" i="5"/>
  <c r="L102" i="5"/>
  <c r="O99" i="5"/>
  <c r="L99" i="5"/>
  <c r="O98" i="5"/>
  <c r="L98" i="5"/>
  <c r="O97" i="5"/>
  <c r="L97" i="5"/>
  <c r="O96" i="5"/>
  <c r="L96" i="5"/>
  <c r="O95" i="5"/>
  <c r="L95" i="5"/>
  <c r="O94" i="5"/>
  <c r="L94" i="5"/>
  <c r="O93" i="5"/>
  <c r="L93" i="5"/>
  <c r="O92" i="5"/>
  <c r="L92" i="5"/>
  <c r="O91" i="5"/>
  <c r="L91" i="5"/>
  <c r="O90" i="5"/>
  <c r="L90" i="5"/>
  <c r="O89" i="5"/>
  <c r="L89" i="5"/>
  <c r="O88" i="5"/>
  <c r="L88" i="5"/>
  <c r="L70" i="5"/>
  <c r="L69" i="5"/>
  <c r="L68" i="5"/>
  <c r="L65" i="5"/>
  <c r="H65" i="5"/>
  <c r="F65" i="5"/>
  <c r="L64" i="5"/>
  <c r="H64" i="5"/>
  <c r="F64" i="5"/>
  <c r="L63" i="5"/>
  <c r="H63" i="5"/>
  <c r="F63" i="5"/>
  <c r="L62" i="5"/>
  <c r="H62" i="5"/>
  <c r="F62" i="5"/>
  <c r="L61" i="5"/>
  <c r="H61" i="5"/>
  <c r="F61" i="5"/>
  <c r="L60" i="5"/>
  <c r="H60" i="5"/>
  <c r="F60" i="5"/>
  <c r="L59" i="5"/>
  <c r="H59" i="5"/>
  <c r="F59" i="5"/>
  <c r="L58" i="5"/>
  <c r="H58" i="5"/>
  <c r="F58" i="5"/>
  <c r="L57" i="5"/>
  <c r="H57" i="5"/>
  <c r="F57" i="5"/>
  <c r="L56" i="5"/>
  <c r="H56" i="5"/>
  <c r="F56" i="5"/>
  <c r="L52" i="5"/>
  <c r="L51" i="5"/>
  <c r="L50" i="5"/>
  <c r="L49" i="5"/>
  <c r="L47" i="5"/>
  <c r="H47" i="5"/>
  <c r="F47" i="5"/>
  <c r="L46" i="5"/>
  <c r="H46" i="5"/>
  <c r="F46" i="5"/>
  <c r="L45" i="5"/>
  <c r="H45" i="5"/>
  <c r="F45" i="5"/>
  <c r="L44" i="5"/>
  <c r="H44" i="5"/>
  <c r="F44" i="5"/>
  <c r="L43" i="5"/>
  <c r="H43" i="5"/>
  <c r="F43" i="5"/>
  <c r="L42" i="5"/>
  <c r="H42" i="5"/>
  <c r="F42" i="5"/>
  <c r="L41" i="5"/>
  <c r="H41" i="5"/>
  <c r="F41" i="5"/>
  <c r="L40" i="5"/>
  <c r="H40" i="5"/>
  <c r="F40" i="5"/>
  <c r="L39" i="5"/>
  <c r="H39" i="5"/>
  <c r="F39" i="5"/>
  <c r="L38" i="5"/>
  <c r="H38" i="5"/>
  <c r="F38" i="5"/>
  <c r="L37" i="5"/>
  <c r="H37" i="5"/>
  <c r="F37" i="5"/>
  <c r="L36" i="5"/>
  <c r="H36" i="5"/>
  <c r="F36" i="5"/>
  <c r="L32" i="5"/>
  <c r="L31" i="5"/>
  <c r="L30" i="5"/>
  <c r="L29" i="5"/>
  <c r="L27" i="5"/>
  <c r="H27" i="5"/>
  <c r="F27" i="5"/>
  <c r="L26" i="5"/>
  <c r="H26" i="5"/>
  <c r="F26" i="5"/>
  <c r="L25" i="5"/>
  <c r="H25" i="5"/>
  <c r="F25" i="5"/>
  <c r="L24" i="5"/>
  <c r="H24" i="5"/>
  <c r="F24" i="5"/>
  <c r="L23" i="5"/>
  <c r="H23" i="5"/>
  <c r="F23" i="5"/>
  <c r="L22" i="5"/>
  <c r="H22" i="5"/>
  <c r="F22" i="5"/>
  <c r="L21" i="5"/>
  <c r="H21" i="5"/>
  <c r="F21" i="5"/>
  <c r="L20" i="5"/>
  <c r="H20" i="5"/>
  <c r="F20" i="5"/>
  <c r="L19" i="5"/>
  <c r="H19" i="5"/>
  <c r="F19" i="5"/>
  <c r="L18" i="5"/>
  <c r="H18" i="5"/>
  <c r="F18" i="5"/>
  <c r="L17" i="5"/>
  <c r="H17" i="5"/>
  <c r="F17" i="5"/>
  <c r="L16" i="5"/>
  <c r="H16" i="5"/>
  <c r="F16" i="5"/>
  <c r="N301" i="4"/>
  <c r="L301" i="4"/>
  <c r="N297" i="4"/>
  <c r="L297" i="4"/>
  <c r="N290" i="4"/>
  <c r="L290" i="4"/>
  <c r="N289" i="4"/>
  <c r="L289" i="4"/>
  <c r="N288" i="4"/>
  <c r="L288" i="4"/>
  <c r="N287" i="4"/>
  <c r="L287" i="4"/>
  <c r="N286" i="4"/>
  <c r="L286" i="4"/>
  <c r="F286" i="4"/>
  <c r="N285" i="4"/>
  <c r="L285" i="4"/>
  <c r="F285" i="4"/>
  <c r="N279" i="4"/>
  <c r="L279" i="4"/>
  <c r="N278" i="4"/>
  <c r="L278" i="4"/>
  <c r="N281" i="4"/>
  <c r="L281" i="4"/>
  <c r="N267" i="4"/>
  <c r="L267" i="4"/>
  <c r="N268" i="4"/>
  <c r="L268" i="4"/>
  <c r="N272" i="4"/>
  <c r="L272" i="4"/>
  <c r="N271" i="4"/>
  <c r="L271" i="4"/>
  <c r="N270" i="4"/>
  <c r="L270" i="4"/>
  <c r="N269" i="4"/>
  <c r="L269" i="4"/>
  <c r="N276" i="4"/>
  <c r="L276" i="4"/>
  <c r="N294" i="4"/>
  <c r="L294" i="4"/>
  <c r="F294" i="4"/>
  <c r="N280" i="4"/>
  <c r="L280" i="4"/>
  <c r="N263" i="4"/>
  <c r="L263" i="4"/>
  <c r="N262" i="4"/>
  <c r="L262" i="4"/>
  <c r="N261" i="4"/>
  <c r="L261" i="4"/>
  <c r="N260" i="4"/>
  <c r="L260" i="4"/>
  <c r="N259" i="4"/>
  <c r="L259" i="4"/>
  <c r="N258" i="4"/>
  <c r="L258" i="4"/>
  <c r="N277" i="4"/>
  <c r="L277" i="4"/>
  <c r="N295" i="4"/>
  <c r="L295" i="4"/>
  <c r="B87" i="12" s="1"/>
  <c r="F295" i="4"/>
  <c r="N252" i="4"/>
  <c r="L252" i="4"/>
  <c r="H252" i="4"/>
  <c r="N251" i="4"/>
  <c r="L251" i="4"/>
  <c r="N250" i="4"/>
  <c r="L250" i="4"/>
  <c r="N249" i="4"/>
  <c r="L249" i="4"/>
  <c r="N248" i="4"/>
  <c r="L248" i="4"/>
  <c r="N247" i="4"/>
  <c r="L247" i="4"/>
  <c r="N246" i="4"/>
  <c r="L246" i="4"/>
  <c r="F246" i="4"/>
  <c r="N245" i="4"/>
  <c r="L245" i="4"/>
  <c r="F245" i="4"/>
  <c r="F251" i="4" s="1"/>
  <c r="H268" i="4" s="1"/>
  <c r="N244" i="4"/>
  <c r="L244" i="4"/>
  <c r="F244" i="4"/>
  <c r="N243" i="4"/>
  <c r="L243" i="4"/>
  <c r="F243" i="4"/>
  <c r="N242" i="4"/>
  <c r="L242" i="4"/>
  <c r="N241" i="4"/>
  <c r="L241" i="4"/>
  <c r="N237" i="4"/>
  <c r="L237" i="4"/>
  <c r="F237" i="4"/>
  <c r="H269" i="4" s="1"/>
  <c r="D311" i="4" s="1"/>
  <c r="N236" i="4"/>
  <c r="L236" i="4"/>
  <c r="F236" i="4"/>
  <c r="N235" i="4"/>
  <c r="L235" i="4"/>
  <c r="N234" i="4"/>
  <c r="L234" i="4"/>
  <c r="N233" i="4"/>
  <c r="L233" i="4"/>
  <c r="H233" i="4"/>
  <c r="H237" i="4" s="1"/>
  <c r="H286" i="4" s="1"/>
  <c r="H289" i="4" s="1"/>
  <c r="F233" i="4"/>
  <c r="H270" i="4" s="1"/>
  <c r="D313" i="4" s="1"/>
  <c r="N232" i="4"/>
  <c r="L232" i="4"/>
  <c r="F232" i="4"/>
  <c r="F270" i="4" s="1"/>
  <c r="D312" i="4" s="1"/>
  <c r="N231" i="4"/>
  <c r="L231" i="4"/>
  <c r="N230" i="4"/>
  <c r="L230" i="4"/>
  <c r="N229" i="4"/>
  <c r="L229" i="4"/>
  <c r="H229" i="4"/>
  <c r="F235" i="4" s="1"/>
  <c r="N228" i="4"/>
  <c r="L228" i="4"/>
  <c r="H228" i="4"/>
  <c r="H235" i="4" s="1"/>
  <c r="H271" i="4" s="1"/>
  <c r="D315" i="4" s="1"/>
  <c r="N227" i="4"/>
  <c r="L227" i="4"/>
  <c r="H227" i="4"/>
  <c r="N226" i="4"/>
  <c r="L226" i="4"/>
  <c r="H226" i="4"/>
  <c r="H234" i="4" s="1"/>
  <c r="N222" i="4"/>
  <c r="L222" i="4"/>
  <c r="N221" i="4"/>
  <c r="L221" i="4"/>
  <c r="N220" i="4"/>
  <c r="L220" i="4"/>
  <c r="H220" i="4"/>
  <c r="N219" i="4"/>
  <c r="L219" i="4"/>
  <c r="N218" i="4"/>
  <c r="L218" i="4"/>
  <c r="N217" i="4"/>
  <c r="L217" i="4"/>
  <c r="N216" i="4"/>
  <c r="L216" i="4"/>
  <c r="F216" i="4"/>
  <c r="N215" i="4"/>
  <c r="L215" i="4"/>
  <c r="F215" i="4"/>
  <c r="N214" i="4"/>
  <c r="L214" i="4"/>
  <c r="F214" i="4"/>
  <c r="N213" i="4"/>
  <c r="L213" i="4"/>
  <c r="F213" i="4"/>
  <c r="F219" i="4" s="1"/>
  <c r="N212" i="4"/>
  <c r="L212" i="4"/>
  <c r="N211" i="4"/>
  <c r="L211" i="4"/>
  <c r="N207" i="4"/>
  <c r="L207" i="4"/>
  <c r="F207" i="4"/>
  <c r="N206" i="4"/>
  <c r="L206" i="4"/>
  <c r="F206" i="4"/>
  <c r="H294" i="4" s="1"/>
  <c r="F301" i="4" s="1"/>
  <c r="B307" i="4" s="1"/>
  <c r="N205" i="4"/>
  <c r="L205" i="4"/>
  <c r="N204" i="4"/>
  <c r="L204" i="4"/>
  <c r="N203" i="4"/>
  <c r="L203" i="4"/>
  <c r="H203" i="4"/>
  <c r="F203" i="4"/>
  <c r="H207" i="4" s="1"/>
  <c r="H288" i="4" s="1"/>
  <c r="N202" i="4"/>
  <c r="L202" i="4"/>
  <c r="F202" i="4"/>
  <c r="H206" i="4" s="1"/>
  <c r="F288" i="4" s="1"/>
  <c r="B310" i="4" s="1"/>
  <c r="N201" i="4"/>
  <c r="L201" i="4"/>
  <c r="N200" i="4"/>
  <c r="L200" i="4"/>
  <c r="N199" i="4"/>
  <c r="L199" i="4"/>
  <c r="H199" i="4"/>
  <c r="F205" i="4" s="1"/>
  <c r="N198" i="4"/>
  <c r="L198" i="4"/>
  <c r="H198" i="4"/>
  <c r="H205" i="4" s="1"/>
  <c r="H259" i="4" s="1"/>
  <c r="N197" i="4"/>
  <c r="L197" i="4"/>
  <c r="H197" i="4"/>
  <c r="N196" i="4"/>
  <c r="L196" i="4"/>
  <c r="H196" i="4"/>
  <c r="H204" i="4" s="1"/>
  <c r="N190" i="4"/>
  <c r="L190" i="4"/>
  <c r="N189" i="4"/>
  <c r="L189" i="4"/>
  <c r="N186" i="4"/>
  <c r="L186" i="4"/>
  <c r="N185" i="4"/>
  <c r="L185" i="4"/>
  <c r="N184" i="4"/>
  <c r="L184" i="4"/>
  <c r="N183" i="4"/>
  <c r="L183" i="4"/>
  <c r="N182" i="4"/>
  <c r="L182" i="4"/>
  <c r="N181" i="4"/>
  <c r="L181" i="4"/>
  <c r="N180" i="4"/>
  <c r="L180" i="4"/>
  <c r="N179" i="4"/>
  <c r="L179" i="4"/>
  <c r="N178" i="4"/>
  <c r="L178" i="4"/>
  <c r="N177" i="4"/>
  <c r="L177" i="4"/>
  <c r="N176" i="4"/>
  <c r="L176" i="4"/>
  <c r="N175" i="4"/>
  <c r="L175" i="4"/>
  <c r="N171" i="4"/>
  <c r="L171" i="4"/>
  <c r="N170" i="4"/>
  <c r="L170" i="4"/>
  <c r="N167" i="4"/>
  <c r="L167" i="4"/>
  <c r="N166" i="4"/>
  <c r="L166" i="4"/>
  <c r="N165" i="4"/>
  <c r="L165" i="4"/>
  <c r="N164" i="4"/>
  <c r="L164" i="4"/>
  <c r="N163" i="4"/>
  <c r="L163" i="4"/>
  <c r="N162" i="4"/>
  <c r="L162" i="4"/>
  <c r="N161" i="4"/>
  <c r="L161" i="4"/>
  <c r="N160" i="4"/>
  <c r="L160" i="4"/>
  <c r="N159" i="4"/>
  <c r="L159" i="4"/>
  <c r="N158" i="4"/>
  <c r="L158" i="4"/>
  <c r="N157" i="4"/>
  <c r="L157" i="4"/>
  <c r="N156" i="4"/>
  <c r="L156" i="4"/>
  <c r="N152" i="4"/>
  <c r="L152" i="4"/>
  <c r="N151" i="4"/>
  <c r="L151" i="4"/>
  <c r="N148" i="4"/>
  <c r="L148" i="4"/>
  <c r="N147" i="4"/>
  <c r="L147" i="4"/>
  <c r="N146" i="4"/>
  <c r="L146" i="4"/>
  <c r="N145" i="4"/>
  <c r="L145" i="4"/>
  <c r="N144" i="4"/>
  <c r="L144" i="4"/>
  <c r="N143" i="4"/>
  <c r="L143" i="4"/>
  <c r="N142" i="4"/>
  <c r="L142" i="4"/>
  <c r="N141" i="4"/>
  <c r="L141" i="4"/>
  <c r="N140" i="4"/>
  <c r="L140" i="4"/>
  <c r="N139" i="4"/>
  <c r="L139" i="4"/>
  <c r="N138" i="4"/>
  <c r="L138" i="4"/>
  <c r="N137" i="4"/>
  <c r="L137" i="4"/>
  <c r="N133" i="4"/>
  <c r="L133" i="4"/>
  <c r="N132" i="4"/>
  <c r="L132" i="4"/>
  <c r="N129" i="4"/>
  <c r="L129" i="4"/>
  <c r="N128" i="4"/>
  <c r="L128" i="4"/>
  <c r="N127" i="4"/>
  <c r="L127" i="4"/>
  <c r="N126" i="4"/>
  <c r="L126" i="4"/>
  <c r="N125" i="4"/>
  <c r="L125" i="4"/>
  <c r="N124" i="4"/>
  <c r="L124" i="4"/>
  <c r="N123" i="4"/>
  <c r="L123" i="4"/>
  <c r="N122" i="4"/>
  <c r="L122" i="4"/>
  <c r="N121" i="4"/>
  <c r="L121" i="4"/>
  <c r="N120" i="4"/>
  <c r="L120" i="4"/>
  <c r="N119" i="4"/>
  <c r="L119" i="4"/>
  <c r="N118" i="4"/>
  <c r="L118" i="4"/>
  <c r="L90" i="4"/>
  <c r="L89" i="4"/>
  <c r="L88" i="4"/>
  <c r="L86" i="4"/>
  <c r="L85" i="4"/>
  <c r="L84" i="4"/>
  <c r="L83" i="4"/>
  <c r="L82" i="4"/>
  <c r="L81" i="4"/>
  <c r="L80" i="4"/>
  <c r="H80" i="4"/>
  <c r="H86" i="4" s="1"/>
  <c r="H90" i="4" s="1"/>
  <c r="E109" i="4" s="1"/>
  <c r="F80" i="4"/>
  <c r="H85" i="4" s="1"/>
  <c r="L79" i="4"/>
  <c r="H79" i="4"/>
  <c r="F86" i="4" s="1"/>
  <c r="B112" i="4" s="1"/>
  <c r="F79" i="4"/>
  <c r="F85" i="4" s="1"/>
  <c r="L78" i="4"/>
  <c r="H78" i="4"/>
  <c r="H84" i="4" s="1"/>
  <c r="F78" i="4"/>
  <c r="H83" i="4" s="1"/>
  <c r="L77" i="4"/>
  <c r="H77" i="4"/>
  <c r="F84" i="4" s="1"/>
  <c r="F77" i="4"/>
  <c r="F83" i="4" s="1"/>
  <c r="L76" i="4"/>
  <c r="H76" i="4"/>
  <c r="H82" i="4" s="1"/>
  <c r="H88" i="4" s="1"/>
  <c r="E101" i="4" s="1"/>
  <c r="F76" i="4"/>
  <c r="H81" i="4" s="1"/>
  <c r="F69" i="4" s="1"/>
  <c r="D101" i="4" s="1"/>
  <c r="L75" i="4"/>
  <c r="H75" i="4"/>
  <c r="F82" i="4" s="1"/>
  <c r="D112" i="4" s="1"/>
  <c r="F75" i="4"/>
  <c r="F81" i="4" s="1"/>
  <c r="C98" i="4" s="1"/>
  <c r="L71" i="4"/>
  <c r="L70" i="4"/>
  <c r="L69" i="4"/>
  <c r="L67" i="4"/>
  <c r="L66" i="4"/>
  <c r="L65" i="4"/>
  <c r="L64" i="4"/>
  <c r="L63" i="4"/>
  <c r="L62" i="4"/>
  <c r="L61" i="4"/>
  <c r="H61" i="4"/>
  <c r="H67" i="4" s="1"/>
  <c r="F61" i="4"/>
  <c r="H66" i="4" s="1"/>
  <c r="L60" i="4"/>
  <c r="H60" i="4"/>
  <c r="F67" i="4" s="1"/>
  <c r="F60" i="4"/>
  <c r="F66" i="4" s="1"/>
  <c r="L59" i="4"/>
  <c r="H59" i="4"/>
  <c r="H65" i="4" s="1"/>
  <c r="H70" i="4" s="1"/>
  <c r="C108" i="4" s="1"/>
  <c r="F59" i="4"/>
  <c r="H64" i="4" s="1"/>
  <c r="F71" i="4" s="1"/>
  <c r="D102" i="4" s="1"/>
  <c r="L58" i="4"/>
  <c r="H58" i="4"/>
  <c r="F65" i="4" s="1"/>
  <c r="D113" i="4" s="1"/>
  <c r="F58" i="4"/>
  <c r="F64" i="4" s="1"/>
  <c r="C97" i="4" s="1"/>
  <c r="L57" i="4"/>
  <c r="H57" i="4"/>
  <c r="H63" i="4" s="1"/>
  <c r="H69" i="4" s="1"/>
  <c r="B109" i="4" s="1"/>
  <c r="F57" i="4"/>
  <c r="H62" i="4" s="1"/>
  <c r="B98" i="4" s="1"/>
  <c r="L56" i="4"/>
  <c r="H56" i="4"/>
  <c r="F63" i="4" s="1"/>
  <c r="E112" i="4" s="1"/>
  <c r="F56" i="4"/>
  <c r="F62" i="4" s="1"/>
  <c r="F88" i="4" s="1"/>
  <c r="C109" i="4" s="1"/>
  <c r="L52" i="4"/>
  <c r="L51" i="4"/>
  <c r="L50" i="4"/>
  <c r="L48" i="4"/>
  <c r="L47" i="4"/>
  <c r="L46" i="4"/>
  <c r="L45" i="4"/>
  <c r="L44" i="4"/>
  <c r="L43" i="4"/>
  <c r="L42" i="4"/>
  <c r="H42" i="4"/>
  <c r="H48" i="4" s="1"/>
  <c r="H52" i="4" s="1"/>
  <c r="D108" i="4" s="1"/>
  <c r="F42" i="4"/>
  <c r="H47" i="4" s="1"/>
  <c r="L41" i="4"/>
  <c r="H41" i="4"/>
  <c r="F48" i="4" s="1"/>
  <c r="C113" i="4" s="1"/>
  <c r="F41" i="4"/>
  <c r="F47" i="4" s="1"/>
  <c r="L40" i="4"/>
  <c r="H40" i="4"/>
  <c r="F40" i="4"/>
  <c r="H46" i="4" s="1"/>
  <c r="H51" i="4" s="1"/>
  <c r="E108" i="4" s="1"/>
  <c r="L39" i="4"/>
  <c r="H39" i="4"/>
  <c r="F46" i="4" s="1"/>
  <c r="B113" i="4" s="1"/>
  <c r="F39" i="4"/>
  <c r="F45" i="4" s="1"/>
  <c r="E97" i="4" s="1"/>
  <c r="L38" i="4"/>
  <c r="H38" i="4"/>
  <c r="H44" i="4" s="1"/>
  <c r="H50" i="4" s="1"/>
  <c r="E107" i="4" s="1"/>
  <c r="F38" i="4"/>
  <c r="H43" i="4" s="1"/>
  <c r="E96" i="4" s="1"/>
  <c r="L37" i="4"/>
  <c r="H37" i="4"/>
  <c r="F44" i="4" s="1"/>
  <c r="B114" i="4" s="1"/>
  <c r="F37" i="4"/>
  <c r="F43" i="4" s="1"/>
  <c r="L33" i="4"/>
  <c r="L32" i="4"/>
  <c r="L31" i="4"/>
  <c r="L29" i="4"/>
  <c r="L28" i="4"/>
  <c r="L27" i="4"/>
  <c r="L26" i="4"/>
  <c r="L25" i="4"/>
  <c r="L24" i="4"/>
  <c r="L23" i="4"/>
  <c r="H23" i="4"/>
  <c r="F23" i="4"/>
  <c r="H29" i="4" s="1"/>
  <c r="H33" i="4" s="1"/>
  <c r="C107" i="4" s="1"/>
  <c r="L22" i="4"/>
  <c r="H22" i="4"/>
  <c r="F29" i="4" s="1"/>
  <c r="D114" i="4" s="1"/>
  <c r="F22" i="4"/>
  <c r="F28" i="4" s="1"/>
  <c r="C96" i="4" s="1"/>
  <c r="L21" i="4"/>
  <c r="H21" i="4"/>
  <c r="F21" i="4"/>
  <c r="H27" i="4" s="1"/>
  <c r="H32" i="4" s="1"/>
  <c r="B107" i="4" s="1"/>
  <c r="L20" i="4"/>
  <c r="H20" i="4"/>
  <c r="F27" i="4" s="1"/>
  <c r="E114" i="4" s="1"/>
  <c r="F20" i="4"/>
  <c r="F26" i="4" s="1"/>
  <c r="B96" i="4" s="1"/>
  <c r="L19" i="4"/>
  <c r="H19" i="4"/>
  <c r="H25" i="4" s="1"/>
  <c r="H31" i="4" s="1"/>
  <c r="D107" i="4" s="1"/>
  <c r="F19" i="4"/>
  <c r="H24" i="4" s="1"/>
  <c r="F50" i="4" s="1"/>
  <c r="C103" i="4" s="1"/>
  <c r="L18" i="4"/>
  <c r="H18" i="4"/>
  <c r="F25" i="4" s="1"/>
  <c r="C114" i="4" s="1"/>
  <c r="F18" i="4"/>
  <c r="F24" i="4" s="1"/>
  <c r="D96" i="4" s="1"/>
  <c r="N301" i="3"/>
  <c r="L301" i="3"/>
  <c r="N299" i="3"/>
  <c r="L299" i="3"/>
  <c r="F299" i="3"/>
  <c r="H301" i="3" s="1"/>
  <c r="B306" i="3" s="1"/>
  <c r="N294" i="3"/>
  <c r="L294" i="3"/>
  <c r="N298" i="3"/>
  <c r="L298" i="3"/>
  <c r="F298" i="3"/>
  <c r="F301" i="3" s="1"/>
  <c r="B305" i="3" s="1"/>
  <c r="N290" i="3"/>
  <c r="L290" i="3"/>
  <c r="N289" i="3"/>
  <c r="L289" i="3"/>
  <c r="N288" i="3"/>
  <c r="L288" i="3"/>
  <c r="N287" i="3"/>
  <c r="L287" i="3"/>
  <c r="N286" i="3"/>
  <c r="L286" i="3"/>
  <c r="F286" i="3"/>
  <c r="H289" i="3" s="1"/>
  <c r="D307" i="3" s="1"/>
  <c r="N285" i="3"/>
  <c r="L285" i="3"/>
  <c r="F285" i="3"/>
  <c r="F289" i="3" s="1"/>
  <c r="D308" i="3" s="1"/>
  <c r="N260" i="3"/>
  <c r="L260" i="3"/>
  <c r="N269" i="3"/>
  <c r="L269" i="3"/>
  <c r="N270" i="3"/>
  <c r="L270" i="3"/>
  <c r="N271" i="3"/>
  <c r="L271" i="3"/>
  <c r="N272" i="3"/>
  <c r="L272" i="3"/>
  <c r="N276" i="3"/>
  <c r="L276" i="3"/>
  <c r="N277" i="3"/>
  <c r="L277" i="3"/>
  <c r="N268" i="3"/>
  <c r="L268" i="3"/>
  <c r="N267" i="3"/>
  <c r="L267" i="3"/>
  <c r="N281" i="3"/>
  <c r="L281" i="3"/>
  <c r="N280" i="3"/>
  <c r="L280" i="3"/>
  <c r="N279" i="3"/>
  <c r="L279" i="3"/>
  <c r="N278" i="3"/>
  <c r="L278" i="3"/>
  <c r="N263" i="3"/>
  <c r="L263" i="3"/>
  <c r="N261" i="3"/>
  <c r="L261" i="3"/>
  <c r="N262" i="3"/>
  <c r="L262" i="3"/>
  <c r="N259" i="3"/>
  <c r="L259" i="3"/>
  <c r="N258" i="3"/>
  <c r="L258" i="3"/>
  <c r="N252" i="3"/>
  <c r="L252" i="3"/>
  <c r="H252" i="3"/>
  <c r="H270" i="3" s="1"/>
  <c r="D321" i="3" s="1"/>
  <c r="F252" i="3"/>
  <c r="H269" i="3" s="1"/>
  <c r="D323" i="3" s="1"/>
  <c r="N251" i="3"/>
  <c r="L251" i="3"/>
  <c r="N250" i="3"/>
  <c r="L250" i="3"/>
  <c r="F250" i="3"/>
  <c r="F270" i="3" s="1"/>
  <c r="D322" i="3" s="1"/>
  <c r="N249" i="3"/>
  <c r="L249" i="3"/>
  <c r="F249" i="3"/>
  <c r="F272" i="3" s="1"/>
  <c r="D317" i="3" s="1"/>
  <c r="N248" i="3"/>
  <c r="L248" i="3"/>
  <c r="N247" i="3"/>
  <c r="L247" i="3"/>
  <c r="N246" i="3"/>
  <c r="L246" i="3"/>
  <c r="F246" i="3"/>
  <c r="H251" i="3" s="1"/>
  <c r="H272" i="3" s="1"/>
  <c r="D318" i="3" s="1"/>
  <c r="N245" i="3"/>
  <c r="L245" i="3"/>
  <c r="F245" i="3"/>
  <c r="F251" i="3" s="1"/>
  <c r="H271" i="3" s="1"/>
  <c r="D319" i="3" s="1"/>
  <c r="N244" i="3"/>
  <c r="L244" i="3"/>
  <c r="F244" i="3"/>
  <c r="H249" i="3" s="1"/>
  <c r="F271" i="3" s="1"/>
  <c r="D320" i="3" s="1"/>
  <c r="N243" i="3"/>
  <c r="L243" i="3"/>
  <c r="F243" i="3"/>
  <c r="H250" i="3" s="1"/>
  <c r="F269" i="3" s="1"/>
  <c r="D324" i="3" s="1"/>
  <c r="N242" i="3"/>
  <c r="L242" i="3"/>
  <c r="N241" i="3"/>
  <c r="L241" i="3"/>
  <c r="N237" i="3"/>
  <c r="L237" i="3"/>
  <c r="F237" i="3"/>
  <c r="H287" i="3" s="1"/>
  <c r="D309" i="3" s="1"/>
  <c r="N236" i="3"/>
  <c r="L236" i="3"/>
  <c r="F236" i="3"/>
  <c r="H285" i="3" s="1"/>
  <c r="F290" i="3" s="1"/>
  <c r="D306" i="3" s="1"/>
  <c r="N235" i="3"/>
  <c r="L235" i="3"/>
  <c r="F235" i="3"/>
  <c r="H276" i="3" s="1"/>
  <c r="D315" i="3" s="1"/>
  <c r="N234" i="3"/>
  <c r="L234" i="3"/>
  <c r="N233" i="3"/>
  <c r="L233" i="3"/>
  <c r="F233" i="3"/>
  <c r="H237" i="3" s="1"/>
  <c r="H286" i="3" s="1"/>
  <c r="H290" i="3" s="1"/>
  <c r="D305" i="3" s="1"/>
  <c r="N232" i="3"/>
  <c r="L232" i="3"/>
  <c r="H232" i="3"/>
  <c r="H236" i="3" s="1"/>
  <c r="F287" i="3" s="1"/>
  <c r="D310" i="3" s="1"/>
  <c r="F232" i="3"/>
  <c r="F288" i="3" s="1"/>
  <c r="D312" i="3" s="1"/>
  <c r="N231" i="3"/>
  <c r="L231" i="3"/>
  <c r="N230" i="3"/>
  <c r="L230" i="3"/>
  <c r="N229" i="3"/>
  <c r="L229" i="3"/>
  <c r="H229" i="3"/>
  <c r="H233" i="3" s="1"/>
  <c r="H288" i="3" s="1"/>
  <c r="D311" i="3" s="1"/>
  <c r="N228" i="3"/>
  <c r="L228" i="3"/>
  <c r="H228" i="3"/>
  <c r="H235" i="3" s="1"/>
  <c r="H277" i="3" s="1"/>
  <c r="D313" i="3" s="1"/>
  <c r="N227" i="3"/>
  <c r="L227" i="3"/>
  <c r="H227" i="3"/>
  <c r="F234" i="3" s="1"/>
  <c r="F277" i="3" s="1"/>
  <c r="D314" i="3" s="1"/>
  <c r="N226" i="3"/>
  <c r="L226" i="3"/>
  <c r="H234" i="3"/>
  <c r="F276" i="3" s="1"/>
  <c r="D316" i="3" s="1"/>
  <c r="N221" i="3"/>
  <c r="L221" i="3"/>
  <c r="F221" i="3"/>
  <c r="H279" i="3" s="1"/>
  <c r="B319" i="3" s="1"/>
  <c r="N220" i="3"/>
  <c r="L220" i="3"/>
  <c r="H220" i="3"/>
  <c r="F281" i="3" s="1"/>
  <c r="B323" i="3" s="1"/>
  <c r="F220" i="3"/>
  <c r="F280" i="3" s="1"/>
  <c r="B321" i="3" s="1"/>
  <c r="N219" i="3"/>
  <c r="L219" i="3"/>
  <c r="N218" i="3"/>
  <c r="L218" i="3"/>
  <c r="N217" i="3"/>
  <c r="L217" i="3"/>
  <c r="N216" i="3"/>
  <c r="L216" i="3"/>
  <c r="F216" i="3"/>
  <c r="H221" i="3" s="1"/>
  <c r="H278" i="3" s="1"/>
  <c r="B317" i="3" s="1"/>
  <c r="N215" i="3"/>
  <c r="L215" i="3"/>
  <c r="F215" i="3"/>
  <c r="N214" i="3"/>
  <c r="L214" i="3"/>
  <c r="F214" i="3"/>
  <c r="H219" i="3" s="1"/>
  <c r="F279" i="3" s="1"/>
  <c r="B320" i="3" s="1"/>
  <c r="N213" i="3"/>
  <c r="L213" i="3"/>
  <c r="F213" i="3"/>
  <c r="F219" i="3" s="1"/>
  <c r="F278" i="3" s="1"/>
  <c r="B318" i="3" s="1"/>
  <c r="N212" i="3"/>
  <c r="L212" i="3"/>
  <c r="N211" i="3"/>
  <c r="L211" i="3"/>
  <c r="N222" i="3"/>
  <c r="L222" i="3"/>
  <c r="H222" i="3"/>
  <c r="H281" i="3" s="1"/>
  <c r="B324" i="3" s="1"/>
  <c r="F222" i="3"/>
  <c r="H280" i="3" s="1"/>
  <c r="B322" i="3" s="1"/>
  <c r="N207" i="3"/>
  <c r="L207" i="3"/>
  <c r="F207" i="3"/>
  <c r="H260" i="3" s="1"/>
  <c r="B310" i="3" s="1"/>
  <c r="N206" i="3"/>
  <c r="L206" i="3"/>
  <c r="F206" i="3"/>
  <c r="F260" i="3" s="1"/>
  <c r="B309" i="3" s="1"/>
  <c r="N205" i="3"/>
  <c r="L205" i="3"/>
  <c r="N204" i="3"/>
  <c r="L204" i="3"/>
  <c r="H204" i="3"/>
  <c r="F263" i="3" s="1"/>
  <c r="B315" i="3" s="1"/>
  <c r="F204" i="3"/>
  <c r="F262" i="3" s="1"/>
  <c r="B314" i="3" s="1"/>
  <c r="N203" i="3"/>
  <c r="L203" i="3"/>
  <c r="H203" i="3"/>
  <c r="H207" i="3" s="1"/>
  <c r="H299" i="3" s="1"/>
  <c r="H294" i="3" s="1"/>
  <c r="B308" i="3" s="1"/>
  <c r="F203" i="3"/>
  <c r="H261" i="3" s="1"/>
  <c r="B312" i="3" s="1"/>
  <c r="N202" i="3"/>
  <c r="L202" i="3"/>
  <c r="N201" i="3"/>
  <c r="L201" i="3"/>
  <c r="N200" i="3"/>
  <c r="L200" i="3"/>
  <c r="N199" i="3"/>
  <c r="L199" i="3"/>
  <c r="H199" i="3"/>
  <c r="F205" i="3" s="1"/>
  <c r="H263" i="3" s="1"/>
  <c r="B316" i="3" s="1"/>
  <c r="N198" i="3"/>
  <c r="L198" i="3"/>
  <c r="H198" i="3"/>
  <c r="H205" i="3" s="1"/>
  <c r="H262" i="3" s="1"/>
  <c r="B313" i="3" s="1"/>
  <c r="N197" i="3"/>
  <c r="L197" i="3"/>
  <c r="H197" i="3"/>
  <c r="H202" i="3" s="1"/>
  <c r="H206" i="3" s="1"/>
  <c r="H298" i="3" s="1"/>
  <c r="F294" i="3" s="1"/>
  <c r="B307" i="3" s="1"/>
  <c r="N196" i="3"/>
  <c r="L196" i="3"/>
  <c r="H196" i="3"/>
  <c r="F202" i="3" s="1"/>
  <c r="F261" i="3" s="1"/>
  <c r="B311" i="3" s="1"/>
  <c r="N190" i="3"/>
  <c r="L190" i="3"/>
  <c r="N189" i="3"/>
  <c r="L189" i="3"/>
  <c r="N186" i="3"/>
  <c r="L186" i="3"/>
  <c r="N185" i="3"/>
  <c r="L185" i="3"/>
  <c r="N184" i="3"/>
  <c r="L184" i="3"/>
  <c r="N183" i="3"/>
  <c r="L183" i="3"/>
  <c r="N182" i="3"/>
  <c r="L182" i="3"/>
  <c r="N181" i="3"/>
  <c r="L181" i="3"/>
  <c r="N180" i="3"/>
  <c r="L180" i="3"/>
  <c r="N179" i="3"/>
  <c r="L179" i="3"/>
  <c r="N178" i="3"/>
  <c r="L178" i="3"/>
  <c r="N177" i="3"/>
  <c r="L177" i="3"/>
  <c r="N176" i="3"/>
  <c r="L176" i="3"/>
  <c r="N175" i="3"/>
  <c r="L175" i="3"/>
  <c r="N171" i="3"/>
  <c r="L171" i="3"/>
  <c r="N170" i="3"/>
  <c r="L170" i="3"/>
  <c r="N167" i="3"/>
  <c r="L167" i="3"/>
  <c r="N166" i="3"/>
  <c r="L166" i="3"/>
  <c r="N165" i="3"/>
  <c r="L165" i="3"/>
  <c r="N164" i="3"/>
  <c r="L164" i="3"/>
  <c r="N163" i="3"/>
  <c r="L163" i="3"/>
  <c r="N162" i="3"/>
  <c r="L162" i="3"/>
  <c r="N161" i="3"/>
  <c r="L161" i="3"/>
  <c r="N160" i="3"/>
  <c r="L160" i="3"/>
  <c r="N159" i="3"/>
  <c r="L159" i="3"/>
  <c r="N158" i="3"/>
  <c r="L158" i="3"/>
  <c r="N157" i="3"/>
  <c r="L157" i="3"/>
  <c r="N156" i="3"/>
  <c r="L156" i="3"/>
  <c r="N152" i="3"/>
  <c r="L152" i="3"/>
  <c r="N151" i="3"/>
  <c r="L151" i="3"/>
  <c r="N148" i="3"/>
  <c r="L148" i="3"/>
  <c r="N147" i="3"/>
  <c r="L147" i="3"/>
  <c r="N146" i="3"/>
  <c r="L146" i="3"/>
  <c r="N145" i="3"/>
  <c r="L145" i="3"/>
  <c r="N144" i="3"/>
  <c r="L144" i="3"/>
  <c r="N143" i="3"/>
  <c r="L143" i="3"/>
  <c r="N142" i="3"/>
  <c r="L142" i="3"/>
  <c r="N141" i="3"/>
  <c r="L141" i="3"/>
  <c r="N140" i="3"/>
  <c r="L140" i="3"/>
  <c r="N139" i="3"/>
  <c r="L139" i="3"/>
  <c r="N138" i="3"/>
  <c r="L138" i="3"/>
  <c r="N137" i="3"/>
  <c r="L137" i="3"/>
  <c r="N133" i="3"/>
  <c r="L133" i="3"/>
  <c r="N132" i="3"/>
  <c r="L132" i="3"/>
  <c r="N129" i="3"/>
  <c r="L129" i="3"/>
  <c r="N128" i="3"/>
  <c r="L128" i="3"/>
  <c r="N127" i="3"/>
  <c r="L127" i="3"/>
  <c r="N126" i="3"/>
  <c r="L126" i="3"/>
  <c r="N125" i="3"/>
  <c r="L125" i="3"/>
  <c r="N124" i="3"/>
  <c r="L124" i="3"/>
  <c r="N123" i="3"/>
  <c r="L123" i="3"/>
  <c r="N122" i="3"/>
  <c r="L122" i="3"/>
  <c r="N121" i="3"/>
  <c r="L121" i="3"/>
  <c r="N120" i="3"/>
  <c r="L120" i="3"/>
  <c r="N119" i="3"/>
  <c r="L119" i="3"/>
  <c r="N118" i="3"/>
  <c r="L118" i="3"/>
  <c r="L90" i="3"/>
  <c r="L89" i="3"/>
  <c r="L88" i="3"/>
  <c r="L86" i="3"/>
  <c r="L85" i="3"/>
  <c r="L84" i="3"/>
  <c r="L83" i="3"/>
  <c r="L82" i="3"/>
  <c r="L81" i="3"/>
  <c r="L80" i="3"/>
  <c r="H80" i="3"/>
  <c r="H86" i="3" s="1"/>
  <c r="H90" i="3" s="1"/>
  <c r="F80" i="3"/>
  <c r="H85" i="3" s="1"/>
  <c r="F89" i="3" s="1"/>
  <c r="L79" i="3"/>
  <c r="H79" i="3"/>
  <c r="F86" i="3" s="1"/>
  <c r="F79" i="3"/>
  <c r="F85" i="3" s="1"/>
  <c r="L78" i="3"/>
  <c r="H78" i="3"/>
  <c r="H84" i="3" s="1"/>
  <c r="F78" i="3"/>
  <c r="H83" i="3" s="1"/>
  <c r="F90" i="3" s="1"/>
  <c r="L77" i="3"/>
  <c r="H77" i="3"/>
  <c r="F84" i="3" s="1"/>
  <c r="H89" i="3" s="1"/>
  <c r="F77" i="3"/>
  <c r="F83" i="3" s="1"/>
  <c r="L76" i="3"/>
  <c r="H76" i="3"/>
  <c r="H82" i="3" s="1"/>
  <c r="F76" i="3"/>
  <c r="H81" i="3" s="1"/>
  <c r="F69" i="3" s="1"/>
  <c r="L75" i="3"/>
  <c r="H75" i="3"/>
  <c r="F82" i="3" s="1"/>
  <c r="H88" i="3" s="1"/>
  <c r="F75" i="3"/>
  <c r="F81" i="3" s="1"/>
  <c r="L71" i="3"/>
  <c r="L70" i="3"/>
  <c r="L69" i="3"/>
  <c r="L67" i="3"/>
  <c r="L66" i="3"/>
  <c r="L65" i="3"/>
  <c r="L64" i="3"/>
  <c r="L63" i="3"/>
  <c r="L62" i="3"/>
  <c r="L61" i="3"/>
  <c r="H61" i="3"/>
  <c r="H67" i="3" s="1"/>
  <c r="H71" i="3" s="1"/>
  <c r="F61" i="3"/>
  <c r="H66" i="3" s="1"/>
  <c r="L60" i="3"/>
  <c r="H60" i="3"/>
  <c r="F67" i="3" s="1"/>
  <c r="F60" i="3"/>
  <c r="F66" i="3" s="1"/>
  <c r="F70" i="3" s="1"/>
  <c r="L59" i="3"/>
  <c r="H59" i="3"/>
  <c r="H65" i="3" s="1"/>
  <c r="H70" i="3" s="1"/>
  <c r="F59" i="3"/>
  <c r="H64" i="3" s="1"/>
  <c r="L58" i="3"/>
  <c r="H58" i="3"/>
  <c r="F65" i="3" s="1"/>
  <c r="F58" i="3"/>
  <c r="F64" i="3" s="1"/>
  <c r="F71" i="3" s="1"/>
  <c r="L57" i="3"/>
  <c r="H57" i="3"/>
  <c r="H63" i="3" s="1"/>
  <c r="H69" i="3" s="1"/>
  <c r="F57" i="3"/>
  <c r="H62" i="3" s="1"/>
  <c r="L56" i="3"/>
  <c r="H56" i="3"/>
  <c r="F63" i="3" s="1"/>
  <c r="F56" i="3"/>
  <c r="F62" i="3" s="1"/>
  <c r="F88" i="3" s="1"/>
  <c r="L52" i="3"/>
  <c r="L51" i="3"/>
  <c r="L50" i="3"/>
  <c r="L48" i="3"/>
  <c r="L47" i="3"/>
  <c r="L46" i="3"/>
  <c r="L45" i="3"/>
  <c r="L44" i="3"/>
  <c r="L43" i="3"/>
  <c r="L42" i="3"/>
  <c r="H42" i="3"/>
  <c r="H48" i="3" s="1"/>
  <c r="H52" i="3" s="1"/>
  <c r="F42" i="3"/>
  <c r="H47" i="3" s="1"/>
  <c r="F51" i="3" s="1"/>
  <c r="L41" i="3"/>
  <c r="H41" i="3"/>
  <c r="F48" i="3" s="1"/>
  <c r="F41" i="3"/>
  <c r="F47" i="3" s="1"/>
  <c r="L40" i="3"/>
  <c r="H40" i="3"/>
  <c r="H46" i="3" s="1"/>
  <c r="H51" i="3" s="1"/>
  <c r="F40" i="3"/>
  <c r="H45" i="3" s="1"/>
  <c r="F52" i="3" s="1"/>
  <c r="L39" i="3"/>
  <c r="H39" i="3"/>
  <c r="F46" i="3" s="1"/>
  <c r="F39" i="3"/>
  <c r="F45" i="3" s="1"/>
  <c r="L38" i="3"/>
  <c r="H38" i="3"/>
  <c r="H44" i="3" s="1"/>
  <c r="H50" i="3" s="1"/>
  <c r="F38" i="3"/>
  <c r="H43" i="3" s="1"/>
  <c r="F31" i="3" s="1"/>
  <c r="L37" i="3"/>
  <c r="H37" i="3"/>
  <c r="F44" i="3" s="1"/>
  <c r="F37" i="3"/>
  <c r="F43" i="3" s="1"/>
  <c r="L33" i="3"/>
  <c r="L32" i="3"/>
  <c r="L31" i="3"/>
  <c r="L29" i="3"/>
  <c r="L28" i="3"/>
  <c r="L27" i="3"/>
  <c r="L26" i="3"/>
  <c r="L25" i="3"/>
  <c r="L24" i="3"/>
  <c r="L23" i="3"/>
  <c r="H23" i="3"/>
  <c r="H28" i="3" s="1"/>
  <c r="F32" i="3" s="1"/>
  <c r="F23" i="3"/>
  <c r="H29" i="3" s="1"/>
  <c r="H33" i="3" s="1"/>
  <c r="L22" i="3"/>
  <c r="H22" i="3"/>
  <c r="F29" i="3" s="1"/>
  <c r="F22" i="3"/>
  <c r="F28" i="3" s="1"/>
  <c r="L21" i="3"/>
  <c r="H21" i="3"/>
  <c r="H26" i="3" s="1"/>
  <c r="F21" i="3"/>
  <c r="H27" i="3" s="1"/>
  <c r="H32" i="3" s="1"/>
  <c r="L20" i="3"/>
  <c r="H20" i="3"/>
  <c r="F27" i="3" s="1"/>
  <c r="F20" i="3"/>
  <c r="F26" i="3" s="1"/>
  <c r="F33" i="3" s="1"/>
  <c r="L19" i="3"/>
  <c r="H19" i="3"/>
  <c r="H24" i="3" s="1"/>
  <c r="F50" i="3" s="1"/>
  <c r="F19" i="3"/>
  <c r="H25" i="3" s="1"/>
  <c r="H31" i="3" s="1"/>
  <c r="A19" i="3"/>
  <c r="L18" i="3"/>
  <c r="H18" i="3"/>
  <c r="F25" i="3" s="1"/>
  <c r="F18" i="3"/>
  <c r="F24" i="3" s="1"/>
  <c r="O302" i="2"/>
  <c r="N302" i="2"/>
  <c r="L302" i="2"/>
  <c r="O301" i="2"/>
  <c r="N301" i="2"/>
  <c r="L301" i="2"/>
  <c r="O298" i="2"/>
  <c r="N298" i="2"/>
  <c r="L298" i="2"/>
  <c r="F298" i="2"/>
  <c r="H301" i="2" s="1"/>
  <c r="D307" i="2" s="1"/>
  <c r="O297" i="2"/>
  <c r="N297" i="2"/>
  <c r="L297" i="2"/>
  <c r="F297" i="2"/>
  <c r="F302" i="2" s="1"/>
  <c r="D306" i="2" s="1"/>
  <c r="O293" i="2"/>
  <c r="N293" i="2"/>
  <c r="L293" i="2"/>
  <c r="O291" i="2"/>
  <c r="N291" i="2"/>
  <c r="L291" i="2"/>
  <c r="C88" i="12" s="1"/>
  <c r="F291" i="2"/>
  <c r="H287" i="2" s="1"/>
  <c r="B307" i="2" s="1"/>
  <c r="O287" i="2"/>
  <c r="N287" i="2"/>
  <c r="L287" i="2"/>
  <c r="O260" i="2"/>
  <c r="N260" i="2"/>
  <c r="L260" i="2"/>
  <c r="O285" i="2"/>
  <c r="N285" i="2"/>
  <c r="L285" i="2"/>
  <c r="B88" i="12" s="1"/>
  <c r="F285" i="2"/>
  <c r="F287" i="2" s="1"/>
  <c r="B308" i="2" s="1"/>
  <c r="O281" i="2"/>
  <c r="N281" i="2"/>
  <c r="L281" i="2"/>
  <c r="O280" i="2"/>
  <c r="N280" i="2"/>
  <c r="L280" i="2"/>
  <c r="O279" i="2"/>
  <c r="N279" i="2"/>
  <c r="L279" i="2"/>
  <c r="O300" i="2"/>
  <c r="N300" i="2"/>
  <c r="L300" i="2"/>
  <c r="O299" i="2"/>
  <c r="N299" i="2"/>
  <c r="L299" i="2"/>
  <c r="O278" i="2"/>
  <c r="N278" i="2"/>
  <c r="L278" i="2"/>
  <c r="O277" i="2"/>
  <c r="N277" i="2"/>
  <c r="L277" i="2"/>
  <c r="O276" i="2"/>
  <c r="N276" i="2"/>
  <c r="L276" i="2"/>
  <c r="O272" i="2"/>
  <c r="N272" i="2"/>
  <c r="L272" i="2"/>
  <c r="O268" i="2"/>
  <c r="N268" i="2"/>
  <c r="L268" i="2"/>
  <c r="O267" i="2"/>
  <c r="N267" i="2"/>
  <c r="L267" i="2"/>
  <c r="O271" i="2"/>
  <c r="N271" i="2"/>
  <c r="L271" i="2"/>
  <c r="O263" i="2"/>
  <c r="N263" i="2"/>
  <c r="L263" i="2"/>
  <c r="O262" i="2"/>
  <c r="N262" i="2"/>
  <c r="L262" i="2"/>
  <c r="O261" i="2"/>
  <c r="N261" i="2"/>
  <c r="L261" i="2"/>
  <c r="O259" i="2"/>
  <c r="N259" i="2"/>
  <c r="L259" i="2"/>
  <c r="O258" i="2"/>
  <c r="N258" i="2"/>
  <c r="L258" i="2"/>
  <c r="O270" i="2"/>
  <c r="N270" i="2"/>
  <c r="L270" i="2"/>
  <c r="O269" i="2"/>
  <c r="N269" i="2"/>
  <c r="L269" i="2"/>
  <c r="O252" i="2"/>
  <c r="L252" i="2"/>
  <c r="O251" i="2"/>
  <c r="L251" i="2"/>
  <c r="O250" i="2"/>
  <c r="L250" i="2"/>
  <c r="O249" i="2"/>
  <c r="L249" i="2"/>
  <c r="F249" i="2"/>
  <c r="F281" i="2" s="1"/>
  <c r="D320" i="2" s="1"/>
  <c r="O248" i="2"/>
  <c r="L248" i="2"/>
  <c r="O247" i="2"/>
  <c r="L247" i="2"/>
  <c r="O246" i="2"/>
  <c r="L246" i="2"/>
  <c r="F246" i="2"/>
  <c r="O245" i="2"/>
  <c r="L245" i="2"/>
  <c r="F245" i="2"/>
  <c r="O244" i="2"/>
  <c r="L244" i="2"/>
  <c r="F244" i="2"/>
  <c r="O243" i="2"/>
  <c r="L243" i="2"/>
  <c r="F243" i="2"/>
  <c r="H250" i="2" s="1"/>
  <c r="O242" i="2"/>
  <c r="L242" i="2"/>
  <c r="O241" i="2"/>
  <c r="L241" i="2"/>
  <c r="O237" i="2"/>
  <c r="L237" i="2"/>
  <c r="F237" i="2"/>
  <c r="O236" i="2"/>
  <c r="L236" i="2"/>
  <c r="F236" i="2"/>
  <c r="O235" i="2"/>
  <c r="L235" i="2"/>
  <c r="O234" i="2"/>
  <c r="L234" i="2"/>
  <c r="O233" i="2"/>
  <c r="L233" i="2"/>
  <c r="O232" i="2"/>
  <c r="L232" i="2"/>
  <c r="H232" i="2"/>
  <c r="F299" i="2" s="1"/>
  <c r="D312" i="2" s="1"/>
  <c r="F232" i="2"/>
  <c r="H236" i="2" s="1"/>
  <c r="H297" i="2" s="1"/>
  <c r="F301" i="2" s="1"/>
  <c r="D308" i="2" s="1"/>
  <c r="O231" i="2"/>
  <c r="L231" i="2"/>
  <c r="O230" i="2"/>
  <c r="L230" i="2"/>
  <c r="O229" i="2"/>
  <c r="L229" i="2"/>
  <c r="H229" i="2"/>
  <c r="O228" i="2"/>
  <c r="L228" i="2"/>
  <c r="H228" i="2"/>
  <c r="O227" i="2"/>
  <c r="L227" i="2"/>
  <c r="H227" i="2"/>
  <c r="F234" i="2" s="1"/>
  <c r="F279" i="2" s="1"/>
  <c r="D316" i="2" s="1"/>
  <c r="O226" i="2"/>
  <c r="L226" i="2"/>
  <c r="H226" i="2"/>
  <c r="H234" i="2" s="1"/>
  <c r="F278" i="2" s="1"/>
  <c r="D314" i="2" s="1"/>
  <c r="O222" i="2"/>
  <c r="L222" i="2"/>
  <c r="O221" i="2"/>
  <c r="L221" i="2"/>
  <c r="F221" i="2"/>
  <c r="H263" i="2" s="1"/>
  <c r="B320" i="2" s="1"/>
  <c r="O220" i="2"/>
  <c r="L220" i="2"/>
  <c r="H220" i="2"/>
  <c r="F272" i="2" s="1"/>
  <c r="F220" i="2"/>
  <c r="F271" i="2" s="1"/>
  <c r="O219" i="2"/>
  <c r="L219" i="2"/>
  <c r="O218" i="2"/>
  <c r="L218" i="2"/>
  <c r="O217" i="2"/>
  <c r="L217" i="2"/>
  <c r="O216" i="2"/>
  <c r="L216" i="2"/>
  <c r="F216" i="2"/>
  <c r="O215" i="2"/>
  <c r="L215" i="2"/>
  <c r="F215" i="2"/>
  <c r="H222" i="2" s="1"/>
  <c r="H272" i="2" s="1"/>
  <c r="B323" i="2" s="1"/>
  <c r="O214" i="2"/>
  <c r="L214" i="2"/>
  <c r="F214" i="2"/>
  <c r="H219" i="2" s="1"/>
  <c r="O213" i="2"/>
  <c r="L213" i="2"/>
  <c r="F213" i="2"/>
  <c r="F219" i="2" s="1"/>
  <c r="F263" i="2" s="1"/>
  <c r="B319" i="2" s="1"/>
  <c r="O212" i="2"/>
  <c r="L212" i="2"/>
  <c r="O211" i="2"/>
  <c r="L211" i="2"/>
  <c r="O207" i="2"/>
  <c r="L207" i="2"/>
  <c r="F207" i="2"/>
  <c r="H260" i="2" s="1"/>
  <c r="O206" i="2"/>
  <c r="L206" i="2"/>
  <c r="F206" i="2"/>
  <c r="H285" i="2" s="1"/>
  <c r="F293" i="2" s="1"/>
  <c r="B306" i="2" s="1"/>
  <c r="O205" i="2"/>
  <c r="L205" i="2"/>
  <c r="O204" i="2"/>
  <c r="L204" i="2"/>
  <c r="O203" i="2"/>
  <c r="L203" i="2"/>
  <c r="F203" i="2"/>
  <c r="H207" i="2" s="1"/>
  <c r="H291" i="2" s="1"/>
  <c r="H293" i="2" s="1"/>
  <c r="B305" i="2" s="1"/>
  <c r="O202" i="2"/>
  <c r="L202" i="2"/>
  <c r="O201" i="2"/>
  <c r="L201" i="2"/>
  <c r="O200" i="2"/>
  <c r="L200" i="2"/>
  <c r="O199" i="2"/>
  <c r="L199" i="2"/>
  <c r="H199" i="2"/>
  <c r="O198" i="2"/>
  <c r="L198" i="2"/>
  <c r="H198" i="2"/>
  <c r="H205" i="2" s="1"/>
  <c r="H258" i="2" s="1"/>
  <c r="B313" i="2" s="1"/>
  <c r="O197" i="2"/>
  <c r="L197" i="2"/>
  <c r="H197" i="2"/>
  <c r="O196" i="2"/>
  <c r="L196" i="2"/>
  <c r="H196" i="2"/>
  <c r="O190" i="2"/>
  <c r="L190" i="2"/>
  <c r="O189" i="2"/>
  <c r="L189" i="2"/>
  <c r="O186" i="2"/>
  <c r="L186" i="2"/>
  <c r="O185" i="2"/>
  <c r="L185" i="2"/>
  <c r="O184" i="2"/>
  <c r="L184" i="2"/>
  <c r="O183" i="2"/>
  <c r="L183" i="2"/>
  <c r="O182" i="2"/>
  <c r="L182" i="2"/>
  <c r="O181" i="2"/>
  <c r="L181" i="2"/>
  <c r="O180" i="2"/>
  <c r="L180" i="2"/>
  <c r="O179" i="2"/>
  <c r="L179" i="2"/>
  <c r="O178" i="2"/>
  <c r="L178" i="2"/>
  <c r="O177" i="2"/>
  <c r="L177" i="2"/>
  <c r="O176" i="2"/>
  <c r="L176" i="2"/>
  <c r="O175" i="2"/>
  <c r="L175" i="2"/>
  <c r="O171" i="2"/>
  <c r="L171" i="2"/>
  <c r="O170" i="2"/>
  <c r="L170" i="2"/>
  <c r="O167" i="2"/>
  <c r="L167" i="2"/>
  <c r="O166" i="2"/>
  <c r="L166" i="2"/>
  <c r="O165" i="2"/>
  <c r="L165" i="2"/>
  <c r="O164" i="2"/>
  <c r="L164" i="2"/>
  <c r="O163" i="2"/>
  <c r="L163" i="2"/>
  <c r="O162" i="2"/>
  <c r="L162" i="2"/>
  <c r="O161" i="2"/>
  <c r="L161" i="2"/>
  <c r="O160" i="2"/>
  <c r="L160" i="2"/>
  <c r="O159" i="2"/>
  <c r="L159" i="2"/>
  <c r="O158" i="2"/>
  <c r="L158" i="2"/>
  <c r="O157" i="2"/>
  <c r="L157" i="2"/>
  <c r="O156" i="2"/>
  <c r="L156" i="2"/>
  <c r="O152" i="2"/>
  <c r="L152" i="2"/>
  <c r="O151" i="2"/>
  <c r="L151" i="2"/>
  <c r="O148" i="2"/>
  <c r="L148" i="2"/>
  <c r="O147" i="2"/>
  <c r="L147" i="2"/>
  <c r="O146" i="2"/>
  <c r="L146" i="2"/>
  <c r="O145" i="2"/>
  <c r="L145" i="2"/>
  <c r="O144" i="2"/>
  <c r="L144" i="2"/>
  <c r="O143" i="2"/>
  <c r="L143" i="2"/>
  <c r="O142" i="2"/>
  <c r="L142" i="2"/>
  <c r="O141" i="2"/>
  <c r="L141" i="2"/>
  <c r="O140" i="2"/>
  <c r="L140" i="2"/>
  <c r="O139" i="2"/>
  <c r="L139" i="2"/>
  <c r="O138" i="2"/>
  <c r="L138" i="2"/>
  <c r="O137" i="2"/>
  <c r="L137" i="2"/>
  <c r="O133" i="2"/>
  <c r="L133" i="2"/>
  <c r="O132" i="2"/>
  <c r="L132" i="2"/>
  <c r="O129" i="2"/>
  <c r="L129" i="2"/>
  <c r="O128" i="2"/>
  <c r="L128" i="2"/>
  <c r="O127" i="2"/>
  <c r="L127" i="2"/>
  <c r="O126" i="2"/>
  <c r="L126" i="2"/>
  <c r="O125" i="2"/>
  <c r="L125" i="2"/>
  <c r="O124" i="2"/>
  <c r="L124" i="2"/>
  <c r="O123" i="2"/>
  <c r="L123" i="2"/>
  <c r="O122" i="2"/>
  <c r="L122" i="2"/>
  <c r="O121" i="2"/>
  <c r="L121" i="2"/>
  <c r="O120" i="2"/>
  <c r="L120" i="2"/>
  <c r="O119" i="2"/>
  <c r="L119" i="2"/>
  <c r="O118" i="2"/>
  <c r="L118" i="2"/>
  <c r="L90" i="2"/>
  <c r="L89" i="2"/>
  <c r="L88" i="2"/>
  <c r="L86" i="2"/>
  <c r="L85" i="2"/>
  <c r="L84" i="2"/>
  <c r="L83" i="2"/>
  <c r="L82" i="2"/>
  <c r="L81" i="2"/>
  <c r="L80" i="2"/>
  <c r="H80" i="2"/>
  <c r="H86" i="2" s="1"/>
  <c r="F80" i="2"/>
  <c r="H85" i="2" s="1"/>
  <c r="L79" i="2"/>
  <c r="H79" i="2"/>
  <c r="F86" i="2" s="1"/>
  <c r="F79" i="2"/>
  <c r="F85" i="2" s="1"/>
  <c r="L78" i="2"/>
  <c r="H78" i="2"/>
  <c r="H84" i="2" s="1"/>
  <c r="C112" i="2" s="1"/>
  <c r="F78" i="2"/>
  <c r="H83" i="2" s="1"/>
  <c r="D98" i="2" s="1"/>
  <c r="L77" i="2"/>
  <c r="H77" i="2"/>
  <c r="F84" i="2" s="1"/>
  <c r="F77" i="2"/>
  <c r="F83" i="2" s="1"/>
  <c r="L76" i="2"/>
  <c r="H76" i="2"/>
  <c r="H82" i="2" s="1"/>
  <c r="D112" i="2" s="1"/>
  <c r="F76" i="2"/>
  <c r="H81" i="2" s="1"/>
  <c r="L75" i="2"/>
  <c r="H75" i="2"/>
  <c r="F82" i="2" s="1"/>
  <c r="F75" i="2"/>
  <c r="F81" i="2" s="1"/>
  <c r="L71" i="2"/>
  <c r="L70" i="2"/>
  <c r="L69" i="2"/>
  <c r="L67" i="2"/>
  <c r="L66" i="2"/>
  <c r="L65" i="2"/>
  <c r="L64" i="2"/>
  <c r="L63" i="2"/>
  <c r="L62" i="2"/>
  <c r="L61" i="2"/>
  <c r="H61" i="2"/>
  <c r="F61" i="2"/>
  <c r="L60" i="2"/>
  <c r="H60" i="2"/>
  <c r="F67" i="2" s="1"/>
  <c r="E113" i="2" s="1"/>
  <c r="F60" i="2"/>
  <c r="F66" i="2" s="1"/>
  <c r="B97" i="2" s="1"/>
  <c r="L59" i="2"/>
  <c r="H59" i="2"/>
  <c r="H65" i="2" s="1"/>
  <c r="H70" i="2" s="1"/>
  <c r="C108" i="2" s="1"/>
  <c r="F59" i="2"/>
  <c r="H64" i="2" s="1"/>
  <c r="L58" i="2"/>
  <c r="H58" i="2"/>
  <c r="F65" i="2" s="1"/>
  <c r="D113" i="2" s="1"/>
  <c r="F58" i="2"/>
  <c r="F64" i="2" s="1"/>
  <c r="L57" i="2"/>
  <c r="H57" i="2"/>
  <c r="H63" i="2" s="1"/>
  <c r="H69" i="2" s="1"/>
  <c r="B109" i="2" s="1"/>
  <c r="H62" i="2"/>
  <c r="B98" i="2" s="1"/>
  <c r="L56" i="2"/>
  <c r="H56" i="2"/>
  <c r="F63" i="2" s="1"/>
  <c r="E112" i="2" s="1"/>
  <c r="F56" i="2"/>
  <c r="F62" i="2" s="1"/>
  <c r="L52" i="2"/>
  <c r="L51" i="2"/>
  <c r="L50" i="2"/>
  <c r="L48" i="2"/>
  <c r="L47" i="2"/>
  <c r="L46" i="2"/>
  <c r="L45" i="2"/>
  <c r="L44" i="2"/>
  <c r="L43" i="2"/>
  <c r="L42" i="2"/>
  <c r="H42" i="2"/>
  <c r="F42" i="2"/>
  <c r="H47" i="2" s="1"/>
  <c r="L41" i="2"/>
  <c r="H41" i="2"/>
  <c r="F48" i="2" s="1"/>
  <c r="C113" i="2" s="1"/>
  <c r="F41" i="2"/>
  <c r="F47" i="2" s="1"/>
  <c r="L40" i="2"/>
  <c r="H40" i="2"/>
  <c r="H46" i="2" s="1"/>
  <c r="H51" i="2" s="1"/>
  <c r="E108" i="2" s="1"/>
  <c r="F40" i="2"/>
  <c r="H45" i="2" s="1"/>
  <c r="E97" i="2" s="1"/>
  <c r="L39" i="2"/>
  <c r="H39" i="2"/>
  <c r="F46" i="2" s="1"/>
  <c r="B113" i="2" s="1"/>
  <c r="F39" i="2"/>
  <c r="F45" i="2" s="1"/>
  <c r="L38" i="2"/>
  <c r="H38" i="2"/>
  <c r="H44" i="2" s="1"/>
  <c r="H50" i="2" s="1"/>
  <c r="E107" i="2" s="1"/>
  <c r="F38" i="2"/>
  <c r="H43" i="2" s="1"/>
  <c r="E96" i="2" s="1"/>
  <c r="L37" i="2"/>
  <c r="H37" i="2"/>
  <c r="F37" i="2"/>
  <c r="L33" i="2"/>
  <c r="L32" i="2"/>
  <c r="L31" i="2"/>
  <c r="L29" i="2"/>
  <c r="L28" i="2"/>
  <c r="L27" i="2"/>
  <c r="L26" i="2"/>
  <c r="L25" i="2"/>
  <c r="L24" i="2"/>
  <c r="L23" i="2"/>
  <c r="H23" i="2"/>
  <c r="H28" i="2" s="1"/>
  <c r="F32" i="2" s="1"/>
  <c r="B107" i="2" s="1"/>
  <c r="F23" i="2"/>
  <c r="H29" i="2" s="1"/>
  <c r="H33" i="2" s="1"/>
  <c r="C107" i="2" s="1"/>
  <c r="L22" i="2"/>
  <c r="H22" i="2"/>
  <c r="F29" i="2" s="1"/>
  <c r="D114" i="2" s="1"/>
  <c r="F22" i="2"/>
  <c r="F28" i="2" s="1"/>
  <c r="C96" i="2" s="1"/>
  <c r="L21" i="2"/>
  <c r="H21" i="2"/>
  <c r="H27" i="2" s="1"/>
  <c r="F21" i="2"/>
  <c r="H26" i="2" s="1"/>
  <c r="F33" i="2" s="1"/>
  <c r="E103" i="2" s="1"/>
  <c r="L20" i="2"/>
  <c r="H20" i="2"/>
  <c r="F27" i="2" s="1"/>
  <c r="F20" i="2"/>
  <c r="F26" i="2" s="1"/>
  <c r="B96" i="2" s="1"/>
  <c r="L19" i="2"/>
  <c r="H19" i="2"/>
  <c r="H24" i="2" s="1"/>
  <c r="F50" i="2" s="1"/>
  <c r="C103" i="2" s="1"/>
  <c r="F19" i="2"/>
  <c r="H25" i="2" s="1"/>
  <c r="L18" i="2"/>
  <c r="H18" i="2"/>
  <c r="F25" i="2" s="1"/>
  <c r="F18" i="2"/>
  <c r="F24" i="2" s="1"/>
  <c r="D96" i="2" s="1"/>
  <c r="N307" i="1"/>
  <c r="L307" i="1"/>
  <c r="N293" i="1"/>
  <c r="L293" i="1"/>
  <c r="N305" i="1"/>
  <c r="L305" i="1"/>
  <c r="F305" i="1"/>
  <c r="H301" i="1" s="1"/>
  <c r="B312" i="1" s="1"/>
  <c r="N301" i="1"/>
  <c r="L301" i="1"/>
  <c r="N299" i="1"/>
  <c r="L299" i="1"/>
  <c r="F299" i="1"/>
  <c r="F307" i="1" s="1"/>
  <c r="B311" i="1" s="1"/>
  <c r="N292" i="1"/>
  <c r="L292" i="1"/>
  <c r="N286" i="1"/>
  <c r="L286" i="1"/>
  <c r="N285" i="1"/>
  <c r="L285" i="1"/>
  <c r="N284" i="1"/>
  <c r="L284" i="1"/>
  <c r="N282" i="1"/>
  <c r="L282" i="1"/>
  <c r="F282" i="1"/>
  <c r="H286" i="1" s="1"/>
  <c r="D311" i="1" s="1"/>
  <c r="N281" i="1"/>
  <c r="L281" i="1"/>
  <c r="F281" i="1"/>
  <c r="F286" i="1" s="1"/>
  <c r="D310" i="1" s="1"/>
  <c r="N274" i="1"/>
  <c r="L274" i="1"/>
  <c r="N277" i="1"/>
  <c r="L277" i="1"/>
  <c r="N276" i="1"/>
  <c r="L276" i="1"/>
  <c r="N275" i="1"/>
  <c r="L275" i="1"/>
  <c r="N290" i="1"/>
  <c r="L290" i="1"/>
  <c r="N283" i="1"/>
  <c r="L283" i="1"/>
  <c r="N291" i="1"/>
  <c r="L291" i="1"/>
  <c r="N273" i="1"/>
  <c r="L273" i="1"/>
  <c r="N272" i="1"/>
  <c r="L272" i="1"/>
  <c r="N265" i="1"/>
  <c r="L265" i="1"/>
  <c r="N268" i="1"/>
  <c r="L268" i="1"/>
  <c r="N267" i="1"/>
  <c r="L267" i="1"/>
  <c r="N266" i="1"/>
  <c r="L266" i="1"/>
  <c r="N295" i="1"/>
  <c r="L295" i="1"/>
  <c r="N294" i="1"/>
  <c r="L294" i="1"/>
  <c r="N264" i="1"/>
  <c r="L264" i="1"/>
  <c r="N263" i="1"/>
  <c r="L263" i="1"/>
  <c r="N257" i="1"/>
  <c r="L257" i="1"/>
  <c r="H257" i="1"/>
  <c r="H277" i="1" s="1"/>
  <c r="D326" i="1" s="1"/>
  <c r="N256" i="1"/>
  <c r="L256" i="1"/>
  <c r="H256" i="1"/>
  <c r="H276" i="1" s="1"/>
  <c r="D325" i="1" s="1"/>
  <c r="N255" i="1"/>
  <c r="L255" i="1"/>
  <c r="H255" i="1"/>
  <c r="F277" i="1" s="1"/>
  <c r="D327" i="1" s="1"/>
  <c r="F255" i="1"/>
  <c r="F274" i="1" s="1"/>
  <c r="D328" i="1" s="1"/>
  <c r="N254" i="1"/>
  <c r="L254" i="1"/>
  <c r="N253" i="1"/>
  <c r="L253" i="1"/>
  <c r="N252" i="1"/>
  <c r="L252" i="1"/>
  <c r="N251" i="1"/>
  <c r="L251" i="1"/>
  <c r="F251" i="1"/>
  <c r="F257" i="1" s="1"/>
  <c r="H274" i="1" s="1"/>
  <c r="D329" i="1" s="1"/>
  <c r="N250" i="1"/>
  <c r="L250" i="1"/>
  <c r="F250" i="1"/>
  <c r="F256" i="1" s="1"/>
  <c r="H275" i="1" s="1"/>
  <c r="D322" i="1" s="1"/>
  <c r="N249" i="1"/>
  <c r="L249" i="1"/>
  <c r="F249" i="1"/>
  <c r="H254" i="1" s="1"/>
  <c r="F275" i="1" s="1"/>
  <c r="D323" i="1" s="1"/>
  <c r="N248" i="1"/>
  <c r="L248" i="1"/>
  <c r="F248" i="1"/>
  <c r="F254" i="1" s="1"/>
  <c r="F276" i="1" s="1"/>
  <c r="D324" i="1" s="1"/>
  <c r="N247" i="1"/>
  <c r="L247" i="1"/>
  <c r="N246" i="1"/>
  <c r="L246" i="1"/>
  <c r="N242" i="1"/>
  <c r="L242" i="1"/>
  <c r="F242" i="1"/>
  <c r="H282" i="1" s="1"/>
  <c r="H285" i="1" s="1"/>
  <c r="D313" i="1" s="1"/>
  <c r="N241" i="1"/>
  <c r="L241" i="1"/>
  <c r="F241" i="1"/>
  <c r="F284" i="1" s="1"/>
  <c r="D315" i="1" s="1"/>
  <c r="N240" i="1"/>
  <c r="L240" i="1"/>
  <c r="H240" i="1"/>
  <c r="H291" i="1" s="1"/>
  <c r="D319" i="1" s="1"/>
  <c r="F240" i="1"/>
  <c r="H290" i="1" s="1"/>
  <c r="D321" i="1" s="1"/>
  <c r="N239" i="1"/>
  <c r="L239" i="1"/>
  <c r="H239" i="1"/>
  <c r="F291" i="1" s="1"/>
  <c r="D318" i="1" s="1"/>
  <c r="N238" i="1"/>
  <c r="L238" i="1"/>
  <c r="N237" i="1"/>
  <c r="L237" i="1"/>
  <c r="H237" i="1"/>
  <c r="H241" i="1" s="1"/>
  <c r="H281" i="1" s="1"/>
  <c r="F285" i="1" s="1"/>
  <c r="D312" i="1" s="1"/>
  <c r="N236" i="1"/>
  <c r="L236" i="1"/>
  <c r="N235" i="1"/>
  <c r="L235" i="1"/>
  <c r="N234" i="1"/>
  <c r="L234" i="1"/>
  <c r="H234" i="1"/>
  <c r="H238" i="1" s="1"/>
  <c r="H242" i="1" s="1"/>
  <c r="H284" i="1" s="1"/>
  <c r="D314" i="1" s="1"/>
  <c r="N233" i="1"/>
  <c r="L233" i="1"/>
  <c r="H233" i="1"/>
  <c r="F238" i="1" s="1"/>
  <c r="H283" i="1" s="1"/>
  <c r="D316" i="1" s="1"/>
  <c r="N232" i="1"/>
  <c r="L232" i="1"/>
  <c r="H232" i="1"/>
  <c r="F237" i="1" s="1"/>
  <c r="F283" i="1" s="1"/>
  <c r="D317" i="1" s="1"/>
  <c r="N231" i="1"/>
  <c r="L231" i="1"/>
  <c r="H231" i="1"/>
  <c r="F239" i="1" s="1"/>
  <c r="F290" i="1" s="1"/>
  <c r="D320" i="1" s="1"/>
  <c r="N227" i="1"/>
  <c r="L227" i="1"/>
  <c r="N226" i="1"/>
  <c r="L226" i="1"/>
  <c r="H226" i="1"/>
  <c r="H267" i="1" s="1"/>
  <c r="B324" i="1" s="1"/>
  <c r="F226" i="1"/>
  <c r="H266" i="1" s="1"/>
  <c r="B323" i="1" s="1"/>
  <c r="N225" i="1"/>
  <c r="L225" i="1"/>
  <c r="H225" i="1"/>
  <c r="F265" i="1" s="1"/>
  <c r="B329" i="1" s="1"/>
  <c r="N224" i="1"/>
  <c r="L224" i="1"/>
  <c r="H224" i="1"/>
  <c r="F267" i="1" s="1"/>
  <c r="B325" i="1" s="1"/>
  <c r="N223" i="1"/>
  <c r="L223" i="1"/>
  <c r="N222" i="1"/>
  <c r="L222" i="1"/>
  <c r="N221" i="1"/>
  <c r="L221" i="1"/>
  <c r="F221" i="1"/>
  <c r="F227" i="1" s="1"/>
  <c r="H268" i="1" s="1"/>
  <c r="B326" i="1" s="1"/>
  <c r="N220" i="1"/>
  <c r="L220" i="1"/>
  <c r="F220" i="1"/>
  <c r="H227" i="1" s="1"/>
  <c r="H265" i="1" s="1"/>
  <c r="B328" i="1" s="1"/>
  <c r="N219" i="1"/>
  <c r="L219" i="1"/>
  <c r="F219" i="1"/>
  <c r="F225" i="1" s="1"/>
  <c r="F268" i="1" s="1"/>
  <c r="B327" i="1" s="1"/>
  <c r="N218" i="1"/>
  <c r="L218" i="1"/>
  <c r="F218" i="1"/>
  <c r="F224" i="1" s="1"/>
  <c r="F266" i="1" s="1"/>
  <c r="B322" i="1" s="1"/>
  <c r="N217" i="1"/>
  <c r="L217" i="1"/>
  <c r="N216" i="1"/>
  <c r="L216" i="1"/>
  <c r="N212" i="1"/>
  <c r="L212" i="1"/>
  <c r="F212" i="1"/>
  <c r="H299" i="1" s="1"/>
  <c r="F301" i="1" s="1"/>
  <c r="B313" i="1" s="1"/>
  <c r="N211" i="1"/>
  <c r="L211" i="1"/>
  <c r="F211" i="1"/>
  <c r="H305" i="1" s="1"/>
  <c r="H307" i="1" s="1"/>
  <c r="B310" i="1" s="1"/>
  <c r="N210" i="1"/>
  <c r="L210" i="1"/>
  <c r="N209" i="1"/>
  <c r="L209" i="1"/>
  <c r="H209" i="1"/>
  <c r="H295" i="1" s="1"/>
  <c r="B320" i="1" s="1"/>
  <c r="N208" i="1"/>
  <c r="L208" i="1"/>
  <c r="H208" i="1"/>
  <c r="H212" i="1" s="1"/>
  <c r="F293" i="1" s="1"/>
  <c r="B315" i="1" s="1"/>
  <c r="F208" i="1"/>
  <c r="F292" i="1" s="1"/>
  <c r="B317" i="1" s="1"/>
  <c r="N207" i="1"/>
  <c r="L207" i="1"/>
  <c r="H207" i="1"/>
  <c r="H292" i="1" s="1"/>
  <c r="B316" i="1" s="1"/>
  <c r="N206" i="1"/>
  <c r="L206" i="1"/>
  <c r="N205" i="1"/>
  <c r="L205" i="1"/>
  <c r="N204" i="1"/>
  <c r="L204" i="1"/>
  <c r="H204" i="1"/>
  <c r="F210" i="1" s="1"/>
  <c r="F294" i="1" s="1"/>
  <c r="B318" i="1" s="1"/>
  <c r="N203" i="1"/>
  <c r="L203" i="1"/>
  <c r="H203" i="1"/>
  <c r="H210" i="1" s="1"/>
  <c r="F295" i="1" s="1"/>
  <c r="B321" i="1" s="1"/>
  <c r="N202" i="1"/>
  <c r="L202" i="1"/>
  <c r="H202" i="1"/>
  <c r="F209" i="1" s="1"/>
  <c r="H294" i="1" s="1"/>
  <c r="B319" i="1" s="1"/>
  <c r="N201" i="1"/>
  <c r="L201" i="1"/>
  <c r="H201" i="1"/>
  <c r="F207" i="1" s="1"/>
  <c r="H211" i="1" s="1"/>
  <c r="H293" i="1" s="1"/>
  <c r="B314" i="1" s="1"/>
  <c r="N195" i="1"/>
  <c r="L195" i="1"/>
  <c r="N194" i="1"/>
  <c r="L194" i="1"/>
  <c r="N191" i="1"/>
  <c r="L191" i="1"/>
  <c r="N190" i="1"/>
  <c r="L190" i="1"/>
  <c r="N189" i="1"/>
  <c r="L189" i="1"/>
  <c r="N188" i="1"/>
  <c r="L188" i="1"/>
  <c r="N187" i="1"/>
  <c r="L187" i="1"/>
  <c r="N186" i="1"/>
  <c r="L186" i="1"/>
  <c r="N185" i="1"/>
  <c r="L185" i="1"/>
  <c r="N184" i="1"/>
  <c r="L184" i="1"/>
  <c r="N183" i="1"/>
  <c r="L183" i="1"/>
  <c r="N182" i="1"/>
  <c r="L182" i="1"/>
  <c r="N178" i="1"/>
  <c r="L178" i="1"/>
  <c r="N177" i="1"/>
  <c r="L177" i="1"/>
  <c r="N175" i="1"/>
  <c r="L175" i="1"/>
  <c r="N174" i="1"/>
  <c r="L174" i="1"/>
  <c r="N173" i="1"/>
  <c r="L173" i="1"/>
  <c r="N172" i="1"/>
  <c r="L172" i="1"/>
  <c r="N171" i="1"/>
  <c r="L171" i="1"/>
  <c r="N170" i="1"/>
  <c r="L170" i="1"/>
  <c r="N169" i="1"/>
  <c r="L169" i="1"/>
  <c r="N168" i="1"/>
  <c r="L168" i="1"/>
  <c r="N167" i="1"/>
  <c r="L167" i="1"/>
  <c r="N166" i="1"/>
  <c r="L166" i="1"/>
  <c r="N162" i="1"/>
  <c r="L162" i="1"/>
  <c r="N161" i="1"/>
  <c r="L161" i="1"/>
  <c r="N159" i="1"/>
  <c r="L159" i="1"/>
  <c r="N158" i="1"/>
  <c r="L158" i="1"/>
  <c r="N157" i="1"/>
  <c r="L157" i="1"/>
  <c r="N156" i="1"/>
  <c r="L156" i="1"/>
  <c r="N155" i="1"/>
  <c r="L155" i="1"/>
  <c r="N154" i="1"/>
  <c r="L154" i="1"/>
  <c r="N153" i="1"/>
  <c r="L153" i="1"/>
  <c r="N152" i="1"/>
  <c r="L152" i="1"/>
  <c r="N151" i="1"/>
  <c r="L151" i="1"/>
  <c r="N150" i="1"/>
  <c r="L150" i="1"/>
  <c r="N146" i="1"/>
  <c r="L146" i="1"/>
  <c r="N145" i="1"/>
  <c r="L145" i="1"/>
  <c r="N142" i="1"/>
  <c r="L142" i="1"/>
  <c r="N141" i="1"/>
  <c r="L141" i="1"/>
  <c r="N140" i="1"/>
  <c r="L140" i="1"/>
  <c r="N139" i="1"/>
  <c r="L139" i="1"/>
  <c r="N138" i="1"/>
  <c r="L138" i="1"/>
  <c r="N137" i="1"/>
  <c r="L137" i="1"/>
  <c r="N136" i="1"/>
  <c r="L136" i="1"/>
  <c r="N135" i="1"/>
  <c r="L135" i="1"/>
  <c r="N134" i="1"/>
  <c r="L134" i="1"/>
  <c r="N130" i="1"/>
  <c r="L130" i="1"/>
  <c r="N129" i="1"/>
  <c r="L129" i="1"/>
  <c r="N128" i="1"/>
  <c r="L128" i="1"/>
  <c r="N127" i="1"/>
  <c r="L127" i="1"/>
  <c r="N126" i="1"/>
  <c r="L126" i="1"/>
  <c r="N125" i="1"/>
  <c r="L125" i="1"/>
  <c r="N124" i="1"/>
  <c r="L124" i="1"/>
  <c r="N123" i="1"/>
  <c r="L123" i="1"/>
  <c r="N122" i="1"/>
  <c r="L122" i="1"/>
  <c r="L94" i="1"/>
  <c r="L93" i="1"/>
  <c r="L92" i="1"/>
  <c r="L91" i="1"/>
  <c r="L89" i="1"/>
  <c r="L88" i="1"/>
  <c r="L87" i="1"/>
  <c r="L86" i="1"/>
  <c r="L85" i="1"/>
  <c r="H85" i="1"/>
  <c r="H89" i="1" s="1"/>
  <c r="F85" i="1"/>
  <c r="H88" i="1" s="1"/>
  <c r="L84" i="1"/>
  <c r="H84" i="1"/>
  <c r="F89" i="1" s="1"/>
  <c r="H94" i="1" s="1"/>
  <c r="F84" i="1"/>
  <c r="F88" i="1" s="1"/>
  <c r="F93" i="1" s="1"/>
  <c r="L83" i="1"/>
  <c r="H83" i="1"/>
  <c r="H87" i="1" s="1"/>
  <c r="F83" i="1"/>
  <c r="H86" i="1" s="1"/>
  <c r="F94" i="1" s="1"/>
  <c r="L82" i="1"/>
  <c r="H82" i="1"/>
  <c r="F87" i="1" s="1"/>
  <c r="H93" i="1" s="1"/>
  <c r="F82" i="1"/>
  <c r="F86" i="1" s="1"/>
  <c r="L78" i="1"/>
  <c r="L77" i="1"/>
  <c r="L75" i="1"/>
  <c r="L74" i="1"/>
  <c r="L73" i="1"/>
  <c r="L72" i="1"/>
  <c r="L55" i="1"/>
  <c r="L70" i="1"/>
  <c r="H70" i="1"/>
  <c r="H75" i="1" s="1"/>
  <c r="H78" i="1" s="1"/>
  <c r="F70" i="1"/>
  <c r="H74" i="1" s="1"/>
  <c r="L69" i="1"/>
  <c r="H69" i="1"/>
  <c r="F75" i="1" s="1"/>
  <c r="F69" i="1"/>
  <c r="F74" i="1" s="1"/>
  <c r="F77" i="1" s="1"/>
  <c r="L68" i="1"/>
  <c r="H68" i="1"/>
  <c r="H73" i="1" s="1"/>
  <c r="H77" i="1" s="1"/>
  <c r="F68" i="1"/>
  <c r="H72" i="1" s="1"/>
  <c r="L67" i="1"/>
  <c r="H67" i="1"/>
  <c r="F73" i="1" s="1"/>
  <c r="F67" i="1"/>
  <c r="F72" i="1" s="1"/>
  <c r="F78" i="1" s="1"/>
  <c r="L66" i="1"/>
  <c r="H66" i="1"/>
  <c r="F55" i="1" s="1"/>
  <c r="H92" i="1" s="1"/>
  <c r="F66" i="1"/>
  <c r="L62" i="1"/>
  <c r="L61" i="1"/>
  <c r="L59" i="1"/>
  <c r="L58" i="1"/>
  <c r="L57" i="1"/>
  <c r="L56" i="1"/>
  <c r="L71" i="1"/>
  <c r="F71" i="1"/>
  <c r="L54" i="1"/>
  <c r="H54" i="1"/>
  <c r="H59" i="1" s="1"/>
  <c r="H62" i="1" s="1"/>
  <c r="F54" i="1"/>
  <c r="H58" i="1" s="1"/>
  <c r="F61" i="1" s="1"/>
  <c r="L53" i="1"/>
  <c r="H53" i="1"/>
  <c r="F59" i="1" s="1"/>
  <c r="F53" i="1"/>
  <c r="F58" i="1" s="1"/>
  <c r="L52" i="1"/>
  <c r="H52" i="1"/>
  <c r="H57" i="1" s="1"/>
  <c r="H61" i="1" s="1"/>
  <c r="F52" i="1"/>
  <c r="H56" i="1" s="1"/>
  <c r="F62" i="1" s="1"/>
  <c r="L51" i="1"/>
  <c r="H51" i="1"/>
  <c r="F57" i="1" s="1"/>
  <c r="F51" i="1"/>
  <c r="F56" i="1" s="1"/>
  <c r="L50" i="1"/>
  <c r="H50" i="1"/>
  <c r="H55" i="1" s="1"/>
  <c r="F50" i="1"/>
  <c r="H71" i="1" s="1"/>
  <c r="F91" i="1" s="1"/>
  <c r="L46" i="1"/>
  <c r="L45" i="1"/>
  <c r="L43" i="1"/>
  <c r="L42" i="1"/>
  <c r="L41" i="1"/>
  <c r="L40" i="1"/>
  <c r="L39" i="1"/>
  <c r="L38" i="1"/>
  <c r="H38" i="1"/>
  <c r="H43" i="1" s="1"/>
  <c r="H46" i="1" s="1"/>
  <c r="F38" i="1"/>
  <c r="H42" i="1" s="1"/>
  <c r="F45" i="1" s="1"/>
  <c r="L37" i="1"/>
  <c r="H37" i="1"/>
  <c r="F43" i="1" s="1"/>
  <c r="F37" i="1"/>
  <c r="F42" i="1" s="1"/>
  <c r="L36" i="1"/>
  <c r="H36" i="1"/>
  <c r="H41" i="1" s="1"/>
  <c r="H45" i="1" s="1"/>
  <c r="F36" i="1"/>
  <c r="H40" i="1" s="1"/>
  <c r="F46" i="1" s="1"/>
  <c r="L35" i="1"/>
  <c r="H35" i="1"/>
  <c r="F41" i="1" s="1"/>
  <c r="F35" i="1"/>
  <c r="F40" i="1" s="1"/>
  <c r="L34" i="1"/>
  <c r="H34" i="1"/>
  <c r="F34" i="1"/>
  <c r="H39" i="1" s="1"/>
  <c r="H91" i="1" s="1"/>
  <c r="L30" i="1"/>
  <c r="L29" i="1"/>
  <c r="L27" i="1"/>
  <c r="L26" i="1"/>
  <c r="L25" i="1"/>
  <c r="L24" i="1"/>
  <c r="L23" i="1"/>
  <c r="H23" i="1"/>
  <c r="F92" i="1" s="1"/>
  <c r="L22" i="1"/>
  <c r="H22" i="1"/>
  <c r="H26" i="1" s="1"/>
  <c r="F29" i="1" s="1"/>
  <c r="F22" i="1"/>
  <c r="H27" i="1" s="1"/>
  <c r="H30" i="1" s="1"/>
  <c r="L21" i="1"/>
  <c r="H21" i="1"/>
  <c r="F27" i="1" s="1"/>
  <c r="F21" i="1"/>
  <c r="F26" i="1" s="1"/>
  <c r="L20" i="1"/>
  <c r="H20" i="1"/>
  <c r="H25" i="1" s="1"/>
  <c r="H29" i="1" s="1"/>
  <c r="F20" i="1"/>
  <c r="H24" i="1" s="1"/>
  <c r="F30" i="1" s="1"/>
  <c r="L19" i="1"/>
  <c r="H19" i="1"/>
  <c r="F25" i="1" s="1"/>
  <c r="F19" i="1"/>
  <c r="F24" i="1" s="1"/>
  <c r="L18" i="1"/>
  <c r="H18" i="1"/>
  <c r="F39" i="1" s="1"/>
  <c r="F18" i="1"/>
  <c r="H204" i="2" l="1"/>
  <c r="F261" i="2" s="1"/>
  <c r="F202" i="2"/>
  <c r="F259" i="2" s="1"/>
  <c r="F204" i="2"/>
  <c r="F258" i="2" s="1"/>
  <c r="B314" i="2" s="1"/>
  <c r="H202" i="2"/>
  <c r="H206" i="2" s="1"/>
  <c r="F260" i="2" s="1"/>
  <c r="B309" i="2" s="1"/>
  <c r="H203" i="2"/>
  <c r="H259" i="2" s="1"/>
  <c r="B311" i="2" s="1"/>
  <c r="F205" i="2"/>
  <c r="H261" i="2" s="1"/>
  <c r="B316" i="2" s="1"/>
  <c r="B310" i="2"/>
  <c r="F262" i="2"/>
  <c r="B317" i="2" s="1"/>
  <c r="H221" i="2"/>
  <c r="H262" i="2" s="1"/>
  <c r="B318" i="2" s="1"/>
  <c r="F222" i="2"/>
  <c r="H271" i="2" s="1"/>
  <c r="B322" i="2" s="1"/>
  <c r="B321" i="2"/>
  <c r="B324" i="2"/>
  <c r="H235" i="2"/>
  <c r="H278" i="2" s="1"/>
  <c r="D313" i="2" s="1"/>
  <c r="F233" i="2"/>
  <c r="H237" i="2" s="1"/>
  <c r="H298" i="2" s="1"/>
  <c r="H302" i="2" s="1"/>
  <c r="D305" i="2" s="1"/>
  <c r="F235" i="2"/>
  <c r="H279" i="2" s="1"/>
  <c r="D315" i="2" s="1"/>
  <c r="H233" i="2"/>
  <c r="H299" i="2" s="1"/>
  <c r="D311" i="2" s="1"/>
  <c r="F300" i="2"/>
  <c r="H300" i="2"/>
  <c r="D309" i="2" s="1"/>
  <c r="F250" i="2"/>
  <c r="H249" i="2"/>
  <c r="F280" i="2" s="1"/>
  <c r="F251" i="2"/>
  <c r="H252" i="2"/>
  <c r="H251" i="2"/>
  <c r="H280" i="2" s="1"/>
  <c r="D318" i="2" s="1"/>
  <c r="F252" i="2"/>
  <c r="H268" i="2" s="1"/>
  <c r="D324" i="2" s="1"/>
  <c r="D107" i="7"/>
  <c r="B103" i="7"/>
  <c r="H24" i="7"/>
  <c r="F50" i="7" s="1"/>
  <c r="E107" i="7" s="1"/>
  <c r="H28" i="7"/>
  <c r="H50" i="7"/>
  <c r="C103" i="7" s="1"/>
  <c r="B114" i="7"/>
  <c r="H64" i="7"/>
  <c r="F71" i="7" s="1"/>
  <c r="D102" i="7" s="1"/>
  <c r="H71" i="7"/>
  <c r="B108" i="7" s="1"/>
  <c r="E113" i="7"/>
  <c r="H66" i="7"/>
  <c r="B97" i="7" s="1"/>
  <c r="F90" i="7"/>
  <c r="C101" i="7" s="1"/>
  <c r="D98" i="7"/>
  <c r="H89" i="7"/>
  <c r="B101" i="7" s="1"/>
  <c r="C112" i="7"/>
  <c r="H85" i="7"/>
  <c r="H282" i="7"/>
  <c r="B307" i="7" s="1"/>
  <c r="F220" i="7"/>
  <c r="H221" i="7"/>
  <c r="F221" i="7"/>
  <c r="F265" i="7" s="1"/>
  <c r="H220" i="7"/>
  <c r="F264" i="7" s="1"/>
  <c r="B314" i="7" s="1"/>
  <c r="F222" i="7"/>
  <c r="H264" i="7" s="1"/>
  <c r="B313" i="7" s="1"/>
  <c r="H223" i="7"/>
  <c r="H266" i="7" s="1"/>
  <c r="B318" i="7" s="1"/>
  <c r="H263" i="7"/>
  <c r="H265" i="7"/>
  <c r="B315" i="7" s="1"/>
  <c r="H234" i="7"/>
  <c r="H238" i="7" s="1"/>
  <c r="H289" i="7" s="1"/>
  <c r="F293" i="7" s="1"/>
  <c r="D301" i="7" s="1"/>
  <c r="F236" i="7"/>
  <c r="F279" i="7" s="1"/>
  <c r="D310" i="7" s="1"/>
  <c r="H239" i="7"/>
  <c r="H283" i="7" s="1"/>
  <c r="D304" i="7" s="1"/>
  <c r="F284" i="7"/>
  <c r="D303" i="7"/>
  <c r="H252" i="7"/>
  <c r="F275" i="7" s="1"/>
  <c r="D318" i="7" s="1"/>
  <c r="F249" i="7"/>
  <c r="F273" i="7" s="1"/>
  <c r="F272" i="7"/>
  <c r="D311" i="7" s="1"/>
  <c r="F254" i="7"/>
  <c r="H275" i="7" s="1"/>
  <c r="D317" i="7" s="1"/>
  <c r="H253" i="7"/>
  <c r="H273" i="7" s="1"/>
  <c r="D314" i="7" s="1"/>
  <c r="F274" i="7"/>
  <c r="D315" i="7" s="1"/>
  <c r="F296" i="7"/>
  <c r="AN73" i="12"/>
  <c r="AO73" i="12"/>
  <c r="AQ74" i="12"/>
  <c r="AN78" i="12"/>
  <c r="AN74" i="12"/>
  <c r="BF79" i="12"/>
  <c r="BF78" i="12"/>
  <c r="BF77" i="12"/>
  <c r="AO80" i="12"/>
  <c r="AO79" i="12"/>
  <c r="AO78" i="12"/>
  <c r="AO77" i="12"/>
  <c r="AO76" i="12"/>
  <c r="AO75" i="12"/>
  <c r="AO74" i="12"/>
  <c r="H26" i="4"/>
  <c r="F33" i="4" s="1"/>
  <c r="E103" i="4" s="1"/>
  <c r="H28" i="4"/>
  <c r="F32" i="4" s="1"/>
  <c r="D103" i="4" s="1"/>
  <c r="H45" i="4"/>
  <c r="F52" i="4" s="1"/>
  <c r="B102" i="4" s="1"/>
  <c r="F51" i="4"/>
  <c r="C102" i="4" s="1"/>
  <c r="D97" i="4"/>
  <c r="F70" i="4"/>
  <c r="E102" i="4" s="1"/>
  <c r="B97" i="4"/>
  <c r="H71" i="4"/>
  <c r="B108" i="4" s="1"/>
  <c r="E113" i="4"/>
  <c r="F90" i="4"/>
  <c r="C101" i="4" s="1"/>
  <c r="D98" i="4"/>
  <c r="H89" i="4"/>
  <c r="D109" i="4" s="1"/>
  <c r="C112" i="4"/>
  <c r="F89" i="4"/>
  <c r="B101" i="4" s="1"/>
  <c r="E98" i="4"/>
  <c r="H202" i="4"/>
  <c r="F287" i="4" s="1"/>
  <c r="B312" i="4" s="1"/>
  <c r="F204" i="4"/>
  <c r="H258" i="4"/>
  <c r="B314" i="4" s="1"/>
  <c r="B311" i="4"/>
  <c r="H287" i="4"/>
  <c r="B313" i="4" s="1"/>
  <c r="H295" i="4"/>
  <c r="H297" i="4" s="1"/>
  <c r="F220" i="4"/>
  <c r="F262" i="4" s="1"/>
  <c r="B322" i="4" s="1"/>
  <c r="H219" i="4"/>
  <c r="F221" i="4"/>
  <c r="H261" i="4" s="1"/>
  <c r="H222" i="4"/>
  <c r="H221" i="4"/>
  <c r="H260" i="4" s="1"/>
  <c r="F222" i="4"/>
  <c r="H263" i="4" s="1"/>
  <c r="F263" i="4"/>
  <c r="B324" i="4" s="1"/>
  <c r="F234" i="4"/>
  <c r="H232" i="4"/>
  <c r="H236" i="4" s="1"/>
  <c r="H285" i="4" s="1"/>
  <c r="F289" i="4" s="1"/>
  <c r="D309" i="4" s="1"/>
  <c r="H272" i="4"/>
  <c r="D308" i="4"/>
  <c r="F269" i="4"/>
  <c r="D310" i="4" s="1"/>
  <c r="H250" i="4"/>
  <c r="F249" i="4"/>
  <c r="F268" i="4" s="1"/>
  <c r="D319" i="4" s="1"/>
  <c r="F250" i="4"/>
  <c r="F280" i="4" s="1"/>
  <c r="D324" i="4" s="1"/>
  <c r="H249" i="4"/>
  <c r="F267" i="4" s="1"/>
  <c r="D320" i="4" s="1"/>
  <c r="D318" i="4"/>
  <c r="F252" i="4"/>
  <c r="H281" i="4" s="1"/>
  <c r="D323" i="4" s="1"/>
  <c r="H251" i="4"/>
  <c r="H267" i="4" s="1"/>
  <c r="D321" i="4" s="1"/>
  <c r="H280" i="4"/>
  <c r="D325" i="4" s="1"/>
  <c r="H301" i="4"/>
  <c r="B306" i="4" s="1"/>
  <c r="F297" i="4"/>
  <c r="B308" i="4" s="1"/>
  <c r="F290" i="4"/>
  <c r="D307" i="4" s="1"/>
  <c r="H290" i="4"/>
  <c r="D306" i="4" s="1"/>
  <c r="AF34" i="12"/>
  <c r="AF35" i="12"/>
  <c r="AF36" i="12"/>
  <c r="AF37" i="12"/>
  <c r="AF30" i="12"/>
  <c r="AF31" i="12"/>
  <c r="AF32" i="12"/>
  <c r="AF33" i="12"/>
  <c r="AF64" i="12"/>
  <c r="AT52" i="12"/>
  <c r="AT53" i="12"/>
  <c r="AT54" i="12"/>
  <c r="AT37" i="12"/>
  <c r="AF53" i="12"/>
  <c r="AT35" i="12"/>
  <c r="AT36" i="12"/>
  <c r="AT34" i="12"/>
  <c r="AF62" i="12"/>
  <c r="AF63" i="12"/>
  <c r="AT38" i="12"/>
  <c r="AT77" i="12"/>
  <c r="AT74" i="12"/>
  <c r="AT80" i="12"/>
  <c r="AT73" i="12"/>
  <c r="AT78" i="12"/>
  <c r="AT76" i="12"/>
  <c r="AT75" i="12"/>
  <c r="AT79" i="12"/>
  <c r="D306" i="13"/>
  <c r="D305" i="13"/>
  <c r="J60" i="12"/>
  <c r="J59" i="12"/>
  <c r="J57" i="12"/>
  <c r="J58" i="12"/>
  <c r="F302" i="13"/>
  <c r="F296" i="13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H285" i="13"/>
  <c r="F279" i="13"/>
  <c r="F284" i="13"/>
  <c r="F281" i="13"/>
  <c r="J63" i="12"/>
  <c r="H60" i="12"/>
  <c r="J61" i="12"/>
  <c r="J62" i="12"/>
  <c r="J54" i="12"/>
  <c r="H40" i="12"/>
  <c r="O54" i="12"/>
  <c r="O55" i="12"/>
  <c r="O56" i="12"/>
  <c r="O57" i="12"/>
  <c r="O58" i="12"/>
  <c r="O59" i="12"/>
  <c r="O60" i="12"/>
  <c r="O61" i="12"/>
  <c r="O62" i="12"/>
  <c r="O63" i="12"/>
  <c r="H41" i="12"/>
  <c r="J64" i="12"/>
  <c r="J53" i="12"/>
  <c r="J55" i="12"/>
  <c r="J56" i="12"/>
  <c r="F219" i="13"/>
  <c r="F293" i="13" s="1"/>
  <c r="H267" i="13" s="1"/>
  <c r="H278" i="13"/>
  <c r="H281" i="13"/>
  <c r="H284" i="13"/>
  <c r="F278" i="13"/>
  <c r="H299" i="13"/>
  <c r="H296" i="13"/>
  <c r="H279" i="13"/>
  <c r="H282" i="13"/>
  <c r="H302" i="13"/>
  <c r="F299" i="13"/>
  <c r="F112" i="10"/>
  <c r="F116" i="10"/>
  <c r="F44" i="2"/>
  <c r="B114" i="2" s="1"/>
  <c r="F43" i="2"/>
  <c r="F31" i="2" s="1"/>
  <c r="D107" i="2" s="1"/>
  <c r="AY74" i="12"/>
  <c r="AY75" i="12"/>
  <c r="AY76" i="12"/>
  <c r="AY77" i="12"/>
  <c r="AY78" i="12"/>
  <c r="AY73" i="12"/>
  <c r="AW74" i="12"/>
  <c r="AW75" i="12"/>
  <c r="AW76" i="12"/>
  <c r="AW77" i="12"/>
  <c r="AW78" i="12"/>
  <c r="AW73" i="12"/>
  <c r="AX79" i="12"/>
  <c r="AX78" i="12"/>
  <c r="AX77" i="12"/>
  <c r="AX76" i="12"/>
  <c r="AX75" i="12"/>
  <c r="AX74" i="12"/>
  <c r="C93" i="12"/>
  <c r="B93" i="12"/>
  <c r="AV78" i="12"/>
  <c r="AV77" i="12"/>
  <c r="AV76" i="12"/>
  <c r="AV75" i="12"/>
  <c r="AV74" i="12"/>
  <c r="AV73" i="12"/>
  <c r="H89" i="2"/>
  <c r="D109" i="2" s="1"/>
  <c r="F88" i="2"/>
  <c r="E101" i="2" s="1"/>
  <c r="H48" i="2"/>
  <c r="H52" i="2" s="1"/>
  <c r="D108" i="2" s="1"/>
  <c r="F90" i="2"/>
  <c r="E109" i="2" s="1"/>
  <c r="H88" i="2"/>
  <c r="C109" i="2" s="1"/>
  <c r="F52" i="2"/>
  <c r="B102" i="2" s="1"/>
  <c r="H90" i="2"/>
  <c r="C101" i="2" s="1"/>
  <c r="B112" i="2"/>
  <c r="F89" i="2"/>
  <c r="B101" i="2" s="1"/>
  <c r="E98" i="2"/>
  <c r="F69" i="2"/>
  <c r="D101" i="2" s="1"/>
  <c r="C98" i="2"/>
  <c r="H66" i="2"/>
  <c r="F70" i="2" s="1"/>
  <c r="E102" i="2" s="1"/>
  <c r="H67" i="2"/>
  <c r="H71" i="2" s="1"/>
  <c r="B108" i="2" s="1"/>
  <c r="F71" i="2"/>
  <c r="D102" i="2" s="1"/>
  <c r="C97" i="2"/>
  <c r="F51" i="2"/>
  <c r="C102" i="2" s="1"/>
  <c r="D97" i="2"/>
  <c r="H32" i="2"/>
  <c r="D103" i="2" s="1"/>
  <c r="E114" i="2"/>
  <c r="H31" i="2"/>
  <c r="B103" i="2" s="1"/>
  <c r="C114" i="2"/>
  <c r="F189" i="11"/>
  <c r="F193" i="11"/>
  <c r="F208" i="13"/>
  <c r="F215" i="13"/>
  <c r="H187" i="13"/>
  <c r="H183" i="13"/>
  <c r="H186" i="13"/>
  <c r="H182" i="13"/>
  <c r="H161" i="13"/>
  <c r="H165" i="13"/>
  <c r="H136" i="10"/>
  <c r="H140" i="10"/>
  <c r="H141" i="10"/>
  <c r="H137" i="10"/>
  <c r="F93" i="10"/>
  <c r="F97" i="10"/>
  <c r="H176" i="13"/>
  <c r="H180" i="13"/>
  <c r="F144" i="10"/>
  <c r="F140" i="10"/>
  <c r="H116" i="10"/>
  <c r="H120" i="10"/>
  <c r="F145" i="10"/>
  <c r="F141" i="10"/>
  <c r="H97" i="10"/>
  <c r="H101" i="10"/>
  <c r="F136" i="10"/>
  <c r="H144" i="10"/>
  <c r="F120" i="10"/>
  <c r="H112" i="10"/>
  <c r="H145" i="10"/>
  <c r="F137" i="10"/>
  <c r="F101" i="10"/>
  <c r="H93" i="10"/>
  <c r="F197" i="13"/>
  <c r="F191" i="13"/>
  <c r="H167" i="13"/>
  <c r="H171" i="13"/>
  <c r="H99" i="5"/>
  <c r="H95" i="5"/>
  <c r="F118" i="5"/>
  <c r="H110" i="5"/>
  <c r="F99" i="5"/>
  <c r="H91" i="5"/>
  <c r="H181" i="13"/>
  <c r="H177" i="13"/>
  <c r="H162" i="13"/>
  <c r="H166" i="13"/>
  <c r="F198" i="13"/>
  <c r="F202" i="13"/>
  <c r="H168" i="13"/>
  <c r="H172" i="13"/>
  <c r="H138" i="10"/>
  <c r="H134" i="10"/>
  <c r="F114" i="10"/>
  <c r="F110" i="10"/>
  <c r="H139" i="10"/>
  <c r="H135" i="10"/>
  <c r="F95" i="10"/>
  <c r="F91" i="10"/>
  <c r="H144" i="5"/>
  <c r="F134" i="5"/>
  <c r="F116" i="5"/>
  <c r="H108" i="5"/>
  <c r="F97" i="5"/>
  <c r="H89" i="5"/>
  <c r="H114" i="5"/>
  <c r="H118" i="5"/>
  <c r="F144" i="5"/>
  <c r="F139" i="5"/>
  <c r="H112" i="5"/>
  <c r="H116" i="5"/>
  <c r="H97" i="5"/>
  <c r="H93" i="5"/>
  <c r="F142" i="10"/>
  <c r="F138" i="10"/>
  <c r="H118" i="10"/>
  <c r="H114" i="10"/>
  <c r="F139" i="10"/>
  <c r="F143" i="10"/>
  <c r="H95" i="10"/>
  <c r="H99" i="10"/>
  <c r="F134" i="10"/>
  <c r="H142" i="10"/>
  <c r="H110" i="10"/>
  <c r="F118" i="10"/>
  <c r="H143" i="10"/>
  <c r="F135" i="10"/>
  <c r="F99" i="10"/>
  <c r="H91" i="10"/>
  <c r="F126" i="3"/>
  <c r="F122" i="3"/>
  <c r="F31" i="4"/>
  <c r="B103" i="4" s="1"/>
  <c r="H122" i="3"/>
  <c r="H118" i="3"/>
  <c r="F135" i="11"/>
  <c r="F131" i="11"/>
  <c r="H188" i="11"/>
  <c r="H192" i="11"/>
  <c r="F89" i="5"/>
  <c r="F93" i="5"/>
  <c r="H134" i="5"/>
  <c r="H139" i="5"/>
  <c r="F112" i="5"/>
  <c r="F108" i="5"/>
  <c r="F157" i="7"/>
  <c r="F161" i="7"/>
  <c r="H180" i="8"/>
  <c r="H184" i="8"/>
  <c r="F123" i="8"/>
  <c r="F127" i="8"/>
  <c r="H88" i="5"/>
  <c r="H92" i="5"/>
  <c r="H175" i="8"/>
  <c r="F183" i="8"/>
  <c r="F118" i="8"/>
  <c r="H126" i="8"/>
  <c r="H165" i="6"/>
  <c r="F173" i="6"/>
  <c r="H154" i="6"/>
  <c r="F146" i="6"/>
  <c r="F123" i="3"/>
  <c r="F127" i="3"/>
  <c r="H189" i="6"/>
  <c r="H193" i="6"/>
  <c r="F129" i="6"/>
  <c r="F133" i="6"/>
  <c r="F164" i="8"/>
  <c r="H156" i="8"/>
  <c r="H157" i="8"/>
  <c r="F165" i="8"/>
  <c r="F137" i="8"/>
  <c r="H145" i="8"/>
  <c r="H164" i="11"/>
  <c r="F172" i="11"/>
  <c r="H153" i="11"/>
  <c r="F145" i="11"/>
  <c r="F157" i="2"/>
  <c r="F161" i="2"/>
  <c r="H142" i="2"/>
  <c r="H138" i="2"/>
  <c r="H175" i="2"/>
  <c r="F183" i="2"/>
  <c r="H126" i="2"/>
  <c r="F118" i="2"/>
  <c r="H156" i="7"/>
  <c r="F164" i="7"/>
  <c r="F165" i="7"/>
  <c r="H157" i="7"/>
  <c r="F137" i="7"/>
  <c r="H145" i="7"/>
  <c r="H126" i="3"/>
  <c r="F118" i="3"/>
  <c r="H185" i="1"/>
  <c r="H190" i="1"/>
  <c r="F137" i="1"/>
  <c r="F140" i="1"/>
  <c r="F161" i="8"/>
  <c r="F157" i="8"/>
  <c r="H142" i="8"/>
  <c r="H138" i="8"/>
  <c r="H73" i="14"/>
  <c r="F81" i="14"/>
  <c r="H156" i="2"/>
  <c r="F164" i="2"/>
  <c r="H145" i="2"/>
  <c r="F137" i="2"/>
  <c r="H175" i="7"/>
  <c r="F183" i="7"/>
  <c r="H126" i="7"/>
  <c r="F118" i="7"/>
  <c r="H180" i="7"/>
  <c r="H184" i="7"/>
  <c r="F165" i="11"/>
  <c r="F169" i="11"/>
  <c r="H146" i="11"/>
  <c r="H150" i="11"/>
  <c r="F191" i="11"/>
  <c r="H183" i="11"/>
  <c r="F126" i="11"/>
  <c r="H134" i="11"/>
  <c r="F192" i="6"/>
  <c r="H184" i="6"/>
  <c r="H132" i="6"/>
  <c r="F124" i="6"/>
  <c r="F166" i="6"/>
  <c r="F170" i="6"/>
  <c r="H147" i="6"/>
  <c r="H151" i="6"/>
  <c r="F154" i="1"/>
  <c r="F151" i="1"/>
  <c r="H183" i="1"/>
  <c r="H186" i="1"/>
  <c r="F169" i="1"/>
  <c r="H150" i="1"/>
  <c r="H123" i="1"/>
  <c r="F126" i="1"/>
  <c r="F173" i="1"/>
  <c r="H166" i="1"/>
  <c r="F122" i="1"/>
  <c r="H128" i="1"/>
  <c r="F95" i="5"/>
  <c r="F91" i="5"/>
  <c r="F74" i="14"/>
  <c r="F78" i="14"/>
  <c r="F165" i="4"/>
  <c r="H157" i="4"/>
  <c r="F184" i="8"/>
  <c r="H176" i="8"/>
  <c r="H167" i="8"/>
  <c r="F159" i="8"/>
  <c r="H166" i="8"/>
  <c r="F158" i="8"/>
  <c r="F147" i="8"/>
  <c r="H139" i="8"/>
  <c r="F148" i="8"/>
  <c r="H140" i="8"/>
  <c r="H127" i="8"/>
  <c r="F119" i="8"/>
  <c r="H186" i="8"/>
  <c r="F178" i="8"/>
  <c r="H185" i="8"/>
  <c r="F177" i="8"/>
  <c r="F128" i="8"/>
  <c r="H120" i="8"/>
  <c r="F129" i="8"/>
  <c r="H121" i="8"/>
  <c r="H146" i="8"/>
  <c r="F138" i="8"/>
  <c r="F182" i="1"/>
  <c r="F190" i="1"/>
  <c r="F160" i="8"/>
  <c r="F156" i="8"/>
  <c r="H182" i="8"/>
  <c r="H178" i="8"/>
  <c r="H181" i="8"/>
  <c r="H177" i="8"/>
  <c r="F124" i="8"/>
  <c r="F120" i="8"/>
  <c r="F125" i="8"/>
  <c r="F121" i="8"/>
  <c r="H141" i="8"/>
  <c r="H137" i="8"/>
  <c r="F73" i="14"/>
  <c r="F77" i="14"/>
  <c r="F160" i="2"/>
  <c r="F156" i="2"/>
  <c r="H141" i="2"/>
  <c r="H137" i="2"/>
  <c r="F184" i="2"/>
  <c r="H176" i="2"/>
  <c r="H167" i="2"/>
  <c r="F159" i="2"/>
  <c r="F165" i="2"/>
  <c r="H157" i="2"/>
  <c r="H186" i="2"/>
  <c r="F178" i="2"/>
  <c r="H146" i="2"/>
  <c r="F138" i="2"/>
  <c r="F126" i="2"/>
  <c r="F122" i="2"/>
  <c r="F160" i="7"/>
  <c r="F156" i="7"/>
  <c r="H182" i="7"/>
  <c r="H178" i="7"/>
  <c r="F124" i="7"/>
  <c r="F120" i="7"/>
  <c r="F125" i="7"/>
  <c r="F121" i="7"/>
  <c r="H141" i="7"/>
  <c r="H137" i="7"/>
  <c r="H176" i="7"/>
  <c r="F184" i="7"/>
  <c r="H167" i="7"/>
  <c r="F159" i="7"/>
  <c r="F147" i="7"/>
  <c r="H139" i="7"/>
  <c r="H166" i="7"/>
  <c r="F158" i="7"/>
  <c r="F148" i="7"/>
  <c r="H140" i="7"/>
  <c r="H127" i="7"/>
  <c r="F119" i="7"/>
  <c r="H186" i="7"/>
  <c r="F178" i="7"/>
  <c r="F128" i="7"/>
  <c r="H120" i="7"/>
  <c r="H185" i="7"/>
  <c r="F177" i="7"/>
  <c r="F129" i="7"/>
  <c r="H121" i="7"/>
  <c r="H146" i="7"/>
  <c r="F138" i="7"/>
  <c r="H183" i="7"/>
  <c r="H179" i="7"/>
  <c r="F167" i="7"/>
  <c r="F163" i="7"/>
  <c r="H147" i="7"/>
  <c r="H143" i="7"/>
  <c r="F166" i="7"/>
  <c r="F162" i="7"/>
  <c r="F126" i="7"/>
  <c r="F122" i="7"/>
  <c r="F168" i="11"/>
  <c r="F164" i="11"/>
  <c r="H189" i="11"/>
  <c r="H185" i="11"/>
  <c r="H190" i="11"/>
  <c r="H186" i="11"/>
  <c r="F132" i="11"/>
  <c r="F128" i="11"/>
  <c r="F133" i="11"/>
  <c r="F129" i="11"/>
  <c r="H149" i="11"/>
  <c r="H145" i="11"/>
  <c r="F173" i="11"/>
  <c r="H165" i="11"/>
  <c r="F192" i="11"/>
  <c r="H184" i="11"/>
  <c r="H174" i="11"/>
  <c r="F166" i="11"/>
  <c r="H175" i="11"/>
  <c r="F167" i="11"/>
  <c r="H193" i="11"/>
  <c r="F185" i="11"/>
  <c r="F137" i="11"/>
  <c r="H129" i="11"/>
  <c r="F136" i="11"/>
  <c r="H128" i="11"/>
  <c r="F156" i="11"/>
  <c r="H148" i="11"/>
  <c r="F155" i="11"/>
  <c r="H147" i="11"/>
  <c r="H135" i="11"/>
  <c r="F127" i="11"/>
  <c r="H154" i="11"/>
  <c r="F146" i="11"/>
  <c r="H191" i="11"/>
  <c r="H187" i="11"/>
  <c r="F175" i="11"/>
  <c r="F171" i="11"/>
  <c r="H155" i="11"/>
  <c r="H151" i="11"/>
  <c r="F134" i="11"/>
  <c r="F130" i="11"/>
  <c r="H188" i="6"/>
  <c r="H192" i="6"/>
  <c r="F176" i="6"/>
  <c r="F172" i="6"/>
  <c r="H156" i="6"/>
  <c r="H152" i="6"/>
  <c r="F175" i="6"/>
  <c r="F171" i="6"/>
  <c r="H157" i="6"/>
  <c r="H153" i="6"/>
  <c r="F132" i="6"/>
  <c r="F128" i="6"/>
  <c r="F174" i="6"/>
  <c r="H166" i="6"/>
  <c r="H198" i="6"/>
  <c r="F187" i="6"/>
  <c r="F134" i="6"/>
  <c r="H126" i="6"/>
  <c r="H197" i="6"/>
  <c r="F186" i="6"/>
  <c r="F138" i="6"/>
  <c r="H127" i="6"/>
  <c r="H155" i="6"/>
  <c r="F147" i="6"/>
  <c r="F193" i="6"/>
  <c r="H185" i="6"/>
  <c r="H176" i="6"/>
  <c r="F168" i="6"/>
  <c r="F156" i="6"/>
  <c r="H148" i="6"/>
  <c r="H175" i="6"/>
  <c r="F167" i="6"/>
  <c r="F157" i="6"/>
  <c r="H149" i="6"/>
  <c r="H133" i="6"/>
  <c r="F125" i="6"/>
  <c r="F169" i="6"/>
  <c r="F165" i="6"/>
  <c r="F198" i="6"/>
  <c r="F191" i="6"/>
  <c r="H134" i="6"/>
  <c r="H130" i="6"/>
  <c r="H191" i="6"/>
  <c r="H187" i="6"/>
  <c r="F130" i="6"/>
  <c r="F126" i="6"/>
  <c r="H190" i="6"/>
  <c r="H186" i="6"/>
  <c r="F131" i="6"/>
  <c r="F127" i="6"/>
  <c r="H150" i="6"/>
  <c r="H146" i="6"/>
  <c r="H173" i="6"/>
  <c r="H169" i="6"/>
  <c r="F154" i="6"/>
  <c r="F150" i="6"/>
  <c r="H183" i="8"/>
  <c r="H179" i="8"/>
  <c r="F167" i="8"/>
  <c r="F163" i="8"/>
  <c r="F166" i="8"/>
  <c r="F162" i="8"/>
  <c r="H147" i="8"/>
  <c r="H143" i="8"/>
  <c r="H148" i="8"/>
  <c r="H144" i="8"/>
  <c r="F126" i="8"/>
  <c r="F122" i="8"/>
  <c r="F150" i="1"/>
  <c r="F188" i="1"/>
  <c r="H152" i="1"/>
  <c r="H155" i="1"/>
  <c r="H167" i="1"/>
  <c r="H171" i="1"/>
  <c r="F139" i="1"/>
  <c r="F136" i="1"/>
  <c r="F138" i="1"/>
  <c r="F135" i="1"/>
  <c r="H129" i="1"/>
  <c r="H126" i="1"/>
  <c r="H151" i="1"/>
  <c r="F157" i="1"/>
  <c r="F152" i="1"/>
  <c r="H158" i="1"/>
  <c r="F171" i="1"/>
  <c r="H174" i="1"/>
  <c r="H136" i="1"/>
  <c r="F142" i="1"/>
  <c r="H135" i="1"/>
  <c r="F141" i="1"/>
  <c r="H189" i="1"/>
  <c r="F183" i="1"/>
  <c r="H182" i="1"/>
  <c r="F185" i="1"/>
  <c r="F153" i="1"/>
  <c r="H159" i="1"/>
  <c r="F168" i="1"/>
  <c r="H175" i="1"/>
  <c r="H184" i="1"/>
  <c r="F191" i="1"/>
  <c r="H124" i="1"/>
  <c r="F130" i="1"/>
  <c r="F134" i="1"/>
  <c r="H140" i="1"/>
  <c r="H170" i="1"/>
  <c r="H173" i="1"/>
  <c r="F156" i="1"/>
  <c r="F159" i="1"/>
  <c r="F172" i="1"/>
  <c r="F175" i="1"/>
  <c r="H187" i="1"/>
  <c r="H191" i="1"/>
  <c r="H130" i="1"/>
  <c r="H127" i="1"/>
  <c r="F128" i="1"/>
  <c r="F125" i="1"/>
  <c r="F179" i="8"/>
  <c r="F175" i="8"/>
  <c r="H118" i="8"/>
  <c r="H122" i="8"/>
  <c r="H164" i="8"/>
  <c r="H160" i="8"/>
  <c r="F145" i="8"/>
  <c r="F141" i="8"/>
  <c r="F166" i="1"/>
  <c r="F170" i="1"/>
  <c r="H153" i="1"/>
  <c r="H156" i="1"/>
  <c r="H168" i="1"/>
  <c r="H172" i="1"/>
  <c r="F184" i="1"/>
  <c r="F187" i="1"/>
  <c r="F127" i="1"/>
  <c r="F124" i="1"/>
  <c r="H125" i="1"/>
  <c r="H122" i="1"/>
  <c r="H154" i="1"/>
  <c r="H157" i="1"/>
  <c r="F189" i="1"/>
  <c r="F186" i="1"/>
  <c r="H169" i="1"/>
  <c r="H188" i="1"/>
  <c r="F174" i="1"/>
  <c r="F167" i="1"/>
  <c r="H138" i="1"/>
  <c r="H141" i="1"/>
  <c r="H130" i="14"/>
  <c r="F123" i="14"/>
  <c r="H118" i="14"/>
  <c r="F95" i="14"/>
  <c r="F89" i="14"/>
  <c r="H83" i="14"/>
  <c r="H79" i="14"/>
  <c r="F130" i="14"/>
  <c r="H125" i="14"/>
  <c r="F120" i="14"/>
  <c r="H96" i="14"/>
  <c r="H91" i="14"/>
  <c r="F131" i="14"/>
  <c r="H126" i="14"/>
  <c r="F97" i="14"/>
  <c r="H92" i="14"/>
  <c r="H77" i="14"/>
  <c r="H81" i="14"/>
  <c r="H129" i="14"/>
  <c r="H124" i="14"/>
  <c r="F119" i="14"/>
  <c r="H95" i="14"/>
  <c r="F91" i="14"/>
  <c r="F127" i="14"/>
  <c r="H122" i="14"/>
  <c r="F88" i="14"/>
  <c r="F80" i="14"/>
  <c r="H72" i="14"/>
  <c r="H127" i="14"/>
  <c r="F121" i="14"/>
  <c r="F92" i="14"/>
  <c r="H87" i="14"/>
  <c r="F128" i="14"/>
  <c r="F124" i="14"/>
  <c r="H120" i="14"/>
  <c r="F94" i="14"/>
  <c r="H89" i="14"/>
  <c r="H74" i="14"/>
  <c r="F82" i="14"/>
  <c r="F129" i="14"/>
  <c r="F125" i="14"/>
  <c r="F118" i="14"/>
  <c r="H94" i="14"/>
  <c r="H90" i="14"/>
  <c r="H131" i="14"/>
  <c r="F122" i="14"/>
  <c r="H93" i="14"/>
  <c r="F87" i="14"/>
  <c r="H82" i="14"/>
  <c r="H78" i="14"/>
  <c r="F126" i="14"/>
  <c r="H121" i="14"/>
  <c r="F93" i="14"/>
  <c r="H88" i="14"/>
  <c r="H128" i="14"/>
  <c r="H123" i="14"/>
  <c r="H119" i="14"/>
  <c r="F96" i="14"/>
  <c r="F90" i="14"/>
  <c r="H80" i="14"/>
  <c r="H76" i="14"/>
  <c r="F75" i="14"/>
  <c r="F79" i="14"/>
  <c r="F180" i="8"/>
  <c r="F176" i="8"/>
  <c r="H162" i="8"/>
  <c r="H158" i="8"/>
  <c r="F144" i="8"/>
  <c r="F140" i="8"/>
  <c r="H123" i="8"/>
  <c r="H119" i="8"/>
  <c r="H165" i="8"/>
  <c r="H161" i="8"/>
  <c r="F186" i="8"/>
  <c r="F182" i="8"/>
  <c r="F185" i="8"/>
  <c r="F181" i="8"/>
  <c r="H128" i="8"/>
  <c r="H124" i="8"/>
  <c r="H129" i="8"/>
  <c r="H125" i="8"/>
  <c r="F146" i="8"/>
  <c r="F142" i="8"/>
  <c r="F180" i="2"/>
  <c r="F176" i="2"/>
  <c r="F175" i="2"/>
  <c r="F179" i="2"/>
  <c r="H162" i="2"/>
  <c r="H158" i="2"/>
  <c r="H118" i="2"/>
  <c r="H122" i="2"/>
  <c r="F146" i="2"/>
  <c r="F142" i="2"/>
  <c r="F186" i="2"/>
  <c r="F182" i="2"/>
  <c r="H128" i="2"/>
  <c r="H124" i="2"/>
  <c r="F145" i="2"/>
  <c r="F141" i="2"/>
  <c r="F180" i="7"/>
  <c r="F176" i="7"/>
  <c r="H123" i="7"/>
  <c r="H119" i="7"/>
  <c r="F179" i="7"/>
  <c r="F175" i="7"/>
  <c r="H163" i="7"/>
  <c r="H159" i="7"/>
  <c r="F143" i="7"/>
  <c r="F139" i="7"/>
  <c r="H162" i="7"/>
  <c r="H158" i="7"/>
  <c r="F144" i="7"/>
  <c r="F140" i="7"/>
  <c r="H122" i="7"/>
  <c r="H118" i="7"/>
  <c r="H165" i="7"/>
  <c r="H161" i="7"/>
  <c r="F146" i="7"/>
  <c r="F142" i="7"/>
  <c r="H164" i="7"/>
  <c r="H160" i="7"/>
  <c r="F186" i="7"/>
  <c r="F182" i="7"/>
  <c r="H128" i="7"/>
  <c r="H124" i="7"/>
  <c r="F185" i="7"/>
  <c r="F181" i="7"/>
  <c r="H129" i="7"/>
  <c r="H125" i="7"/>
  <c r="F145" i="7"/>
  <c r="F141" i="7"/>
  <c r="F188" i="11"/>
  <c r="F184" i="11"/>
  <c r="H131" i="11"/>
  <c r="H127" i="11"/>
  <c r="F187" i="11"/>
  <c r="F183" i="11"/>
  <c r="H170" i="11"/>
  <c r="H166" i="11"/>
  <c r="H171" i="11"/>
  <c r="H167" i="11"/>
  <c r="F152" i="11"/>
  <c r="F148" i="11"/>
  <c r="F151" i="11"/>
  <c r="F147" i="11"/>
  <c r="H130" i="11"/>
  <c r="H126" i="11"/>
  <c r="H173" i="11"/>
  <c r="H169" i="11"/>
  <c r="F154" i="11"/>
  <c r="F150" i="11"/>
  <c r="H168" i="11"/>
  <c r="H137" i="11"/>
  <c r="H133" i="11"/>
  <c r="F153" i="11"/>
  <c r="F149" i="11"/>
  <c r="F194" i="11"/>
  <c r="F190" i="11"/>
  <c r="F174" i="11"/>
  <c r="F170" i="11"/>
  <c r="H136" i="11"/>
  <c r="H132" i="11"/>
  <c r="H156" i="11"/>
  <c r="H152" i="11"/>
  <c r="H170" i="6"/>
  <c r="H174" i="6"/>
  <c r="F197" i="6"/>
  <c r="F190" i="6"/>
  <c r="H138" i="6"/>
  <c r="F155" i="6"/>
  <c r="F151" i="6"/>
  <c r="F188" i="6"/>
  <c r="F184" i="6"/>
  <c r="H128" i="6"/>
  <c r="H124" i="6"/>
  <c r="F185" i="6"/>
  <c r="F189" i="6"/>
  <c r="H172" i="6"/>
  <c r="H168" i="6"/>
  <c r="F148" i="6"/>
  <c r="F152" i="6"/>
  <c r="H167" i="6"/>
  <c r="H171" i="6"/>
  <c r="F153" i="6"/>
  <c r="F149" i="6"/>
  <c r="H129" i="6"/>
  <c r="H125" i="6"/>
  <c r="H184" i="2"/>
  <c r="H180" i="2"/>
  <c r="F167" i="2"/>
  <c r="F163" i="2"/>
  <c r="F166" i="2"/>
  <c r="F162" i="2"/>
  <c r="H147" i="2"/>
  <c r="H143" i="2"/>
  <c r="F127" i="2"/>
  <c r="F123" i="2"/>
  <c r="C86" i="12"/>
  <c r="Q76" i="12"/>
  <c r="Q73" i="12"/>
  <c r="R76" i="12"/>
  <c r="R73" i="12"/>
  <c r="C92" i="12"/>
  <c r="S76" i="12"/>
  <c r="T76" i="12"/>
  <c r="Q77" i="12"/>
  <c r="Q75" i="12"/>
  <c r="R78" i="12"/>
  <c r="R75" i="12"/>
  <c r="B92" i="12"/>
  <c r="S75" i="12"/>
  <c r="S78" i="12"/>
  <c r="T75" i="12"/>
  <c r="T77" i="12"/>
  <c r="Q78" i="12"/>
  <c r="S77" i="12"/>
  <c r="T78" i="12"/>
  <c r="Q74" i="12"/>
  <c r="R77" i="12"/>
  <c r="R74" i="12"/>
  <c r="C87" i="12"/>
  <c r="H183" i="3"/>
  <c r="H179" i="3"/>
  <c r="H180" i="3"/>
  <c r="H184" i="3"/>
  <c r="H164" i="3"/>
  <c r="H160" i="3"/>
  <c r="H165" i="3"/>
  <c r="H161" i="3"/>
  <c r="H175" i="3"/>
  <c r="F183" i="3"/>
  <c r="H176" i="3"/>
  <c r="F184" i="3"/>
  <c r="F164" i="3"/>
  <c r="H156" i="3"/>
  <c r="H157" i="3"/>
  <c r="F165" i="3"/>
  <c r="F179" i="3"/>
  <c r="F175" i="3"/>
  <c r="F180" i="3"/>
  <c r="F176" i="3"/>
  <c r="F160" i="3"/>
  <c r="F156" i="3"/>
  <c r="F161" i="3"/>
  <c r="F157" i="3"/>
  <c r="H182" i="3"/>
  <c r="H178" i="3"/>
  <c r="H177" i="3"/>
  <c r="H181" i="3"/>
  <c r="H159" i="3"/>
  <c r="H163" i="3"/>
  <c r="H162" i="3"/>
  <c r="H158" i="3"/>
  <c r="H186" i="3"/>
  <c r="F178" i="3"/>
  <c r="F177" i="3"/>
  <c r="H185" i="3"/>
  <c r="F159" i="3"/>
  <c r="H167" i="3"/>
  <c r="F158" i="3"/>
  <c r="H166" i="3"/>
  <c r="F182" i="3"/>
  <c r="F186" i="3"/>
  <c r="F181" i="3"/>
  <c r="F185" i="3"/>
  <c r="F163" i="3"/>
  <c r="F167" i="3"/>
  <c r="F162" i="3"/>
  <c r="F166" i="3"/>
  <c r="H143" i="3"/>
  <c r="H147" i="3"/>
  <c r="H148" i="3"/>
  <c r="H144" i="3"/>
  <c r="H124" i="3"/>
  <c r="H128" i="3"/>
  <c r="H125" i="3"/>
  <c r="H129" i="3"/>
  <c r="F147" i="3"/>
  <c r="H139" i="3"/>
  <c r="F148" i="3"/>
  <c r="H140" i="3"/>
  <c r="H120" i="3"/>
  <c r="F128" i="3"/>
  <c r="H121" i="3"/>
  <c r="F129" i="3"/>
  <c r="F143" i="3"/>
  <c r="F139" i="3"/>
  <c r="F140" i="3"/>
  <c r="F144" i="3"/>
  <c r="F124" i="3"/>
  <c r="F120" i="3"/>
  <c r="F121" i="3"/>
  <c r="F125" i="3"/>
  <c r="H138" i="3"/>
  <c r="H142" i="3"/>
  <c r="H137" i="3"/>
  <c r="H141" i="3"/>
  <c r="H119" i="3"/>
  <c r="H123" i="3"/>
  <c r="H146" i="3"/>
  <c r="F138" i="3"/>
  <c r="F137" i="3"/>
  <c r="H145" i="3"/>
  <c r="H127" i="3"/>
  <c r="F119" i="3"/>
  <c r="F146" i="3"/>
  <c r="F142" i="3"/>
  <c r="F145" i="3"/>
  <c r="F141" i="3"/>
  <c r="L74" i="12"/>
  <c r="C91" i="12"/>
  <c r="O76" i="12"/>
  <c r="N74" i="12"/>
  <c r="N78" i="12"/>
  <c r="M78" i="12"/>
  <c r="L76" i="12"/>
  <c r="B86" i="12"/>
  <c r="O75" i="12"/>
  <c r="O73" i="12"/>
  <c r="N77" i="12"/>
  <c r="M76" i="12"/>
  <c r="L75" i="12"/>
  <c r="L78" i="12"/>
  <c r="O74" i="12"/>
  <c r="O77" i="12"/>
  <c r="O78" i="12"/>
  <c r="N75" i="12"/>
  <c r="N76" i="12"/>
  <c r="N73" i="12"/>
  <c r="M74" i="12"/>
  <c r="M75" i="12"/>
  <c r="M77" i="12"/>
  <c r="M73" i="12"/>
  <c r="L77" i="12"/>
  <c r="L73" i="12"/>
  <c r="B91" i="12"/>
  <c r="H179" i="4"/>
  <c r="H183" i="4"/>
  <c r="H175" i="4"/>
  <c r="F183" i="4"/>
  <c r="F179" i="4"/>
  <c r="F175" i="4"/>
  <c r="H180" i="4"/>
  <c r="H184" i="4"/>
  <c r="H176" i="4"/>
  <c r="F184" i="4"/>
  <c r="F180" i="4"/>
  <c r="F176" i="4"/>
  <c r="H164" i="4"/>
  <c r="H160" i="4"/>
  <c r="H156" i="4"/>
  <c r="F164" i="4"/>
  <c r="F156" i="4"/>
  <c r="F160" i="4"/>
  <c r="H161" i="4"/>
  <c r="H165" i="4"/>
  <c r="F161" i="4"/>
  <c r="F157" i="4"/>
  <c r="H182" i="4"/>
  <c r="H178" i="4"/>
  <c r="H186" i="4"/>
  <c r="F178" i="4"/>
  <c r="F186" i="4"/>
  <c r="F182" i="4"/>
  <c r="H181" i="4"/>
  <c r="H177" i="4"/>
  <c r="H185" i="4"/>
  <c r="F177" i="4"/>
  <c r="F185" i="4"/>
  <c r="F181" i="4"/>
  <c r="H163" i="4"/>
  <c r="H159" i="4"/>
  <c r="H167" i="4"/>
  <c r="F159" i="4"/>
  <c r="F163" i="4"/>
  <c r="F167" i="4"/>
  <c r="H158" i="4"/>
  <c r="H162" i="4"/>
  <c r="H166" i="4"/>
  <c r="F158" i="4"/>
  <c r="F162" i="4"/>
  <c r="F166" i="4"/>
  <c r="H143" i="4"/>
  <c r="H147" i="4"/>
  <c r="H139" i="4"/>
  <c r="F147" i="4"/>
  <c r="F143" i="4"/>
  <c r="F139" i="4"/>
  <c r="H148" i="4"/>
  <c r="H144" i="4"/>
  <c r="F148" i="4"/>
  <c r="H140" i="4"/>
  <c r="F144" i="4"/>
  <c r="F140" i="4"/>
  <c r="H128" i="4"/>
  <c r="H124" i="4"/>
  <c r="F128" i="4"/>
  <c r="H120" i="4"/>
  <c r="F124" i="4"/>
  <c r="F120" i="4"/>
  <c r="H125" i="4"/>
  <c r="H129" i="4"/>
  <c r="F129" i="4"/>
  <c r="H121" i="4"/>
  <c r="F125" i="4"/>
  <c r="F121" i="4"/>
  <c r="H142" i="4"/>
  <c r="H138" i="4"/>
  <c r="H146" i="4"/>
  <c r="F138" i="4"/>
  <c r="F146" i="4"/>
  <c r="F142" i="4"/>
  <c r="H141" i="4"/>
  <c r="H137" i="4"/>
  <c r="F137" i="4"/>
  <c r="H145" i="4"/>
  <c r="F141" i="4"/>
  <c r="F145" i="4"/>
  <c r="H123" i="4"/>
  <c r="H119" i="4"/>
  <c r="F119" i="4"/>
  <c r="H127" i="4"/>
  <c r="F127" i="4"/>
  <c r="F123" i="4"/>
  <c r="H122" i="4"/>
  <c r="H118" i="4"/>
  <c r="F118" i="4"/>
  <c r="H126" i="4"/>
  <c r="F122" i="4"/>
  <c r="F126" i="4"/>
  <c r="H75" i="14"/>
  <c r="F83" i="14"/>
  <c r="F143" i="8"/>
  <c r="F139" i="8"/>
  <c r="H163" i="8"/>
  <c r="H159" i="8"/>
  <c r="F129" i="1"/>
  <c r="F123" i="1"/>
  <c r="H139" i="1"/>
  <c r="H142" i="1"/>
  <c r="F155" i="1"/>
  <c r="F158" i="1"/>
  <c r="D17" i="14"/>
  <c r="D18" i="14"/>
  <c r="D79" i="6"/>
  <c r="D80" i="6"/>
  <c r="D81" i="6"/>
  <c r="D97" i="14"/>
  <c r="D96" i="14"/>
  <c r="D50" i="6"/>
  <c r="D48" i="6"/>
  <c r="D84" i="6"/>
  <c r="D83" i="6"/>
  <c r="D82" i="6"/>
  <c r="D36" i="14"/>
  <c r="D39" i="14"/>
  <c r="D38" i="14"/>
  <c r="D37" i="14"/>
  <c r="D40" i="14"/>
  <c r="D112" i="14"/>
  <c r="D114" i="14"/>
  <c r="D123" i="14"/>
  <c r="D131" i="14"/>
  <c r="D80" i="14"/>
  <c r="D78" i="14"/>
  <c r="D79" i="14"/>
  <c r="D77" i="14"/>
  <c r="D81" i="14"/>
  <c r="D82" i="14"/>
  <c r="D83" i="14"/>
  <c r="D89" i="14"/>
  <c r="D93" i="14"/>
  <c r="D92" i="14"/>
  <c r="D90" i="14"/>
  <c r="D95" i="14"/>
  <c r="D91" i="14"/>
  <c r="D94" i="14"/>
  <c r="D110" i="14"/>
  <c r="D108" i="14"/>
  <c r="D111" i="14"/>
  <c r="D109" i="14"/>
  <c r="D113" i="14"/>
  <c r="D86" i="6"/>
  <c r="D88" i="6"/>
  <c r="D87" i="6"/>
  <c r="D85" i="6"/>
  <c r="H61" i="12"/>
  <c r="H55" i="12"/>
  <c r="H54" i="12"/>
  <c r="H57" i="12"/>
  <c r="D52" i="6"/>
  <c r="D51" i="6"/>
  <c r="D228" i="10"/>
  <c r="D225" i="10"/>
  <c r="D224" i="10"/>
  <c r="D226" i="10"/>
  <c r="D203" i="10"/>
  <c r="D202" i="10"/>
  <c r="D201" i="10"/>
  <c r="D200" i="10"/>
  <c r="D144" i="14"/>
  <c r="D140" i="14"/>
  <c r="D95" i="6"/>
  <c r="D96" i="6"/>
  <c r="D94" i="6"/>
  <c r="D121" i="14"/>
  <c r="D122" i="14"/>
  <c r="D125" i="14"/>
  <c r="D126" i="14"/>
  <c r="D128" i="14"/>
  <c r="D130" i="14"/>
  <c r="D129" i="14"/>
  <c r="D127" i="14"/>
  <c r="D124" i="14"/>
  <c r="D120" i="14"/>
  <c r="D141" i="14"/>
  <c r="D142" i="14"/>
  <c r="D143" i="14"/>
  <c r="D139" i="14"/>
  <c r="D154" i="14"/>
  <c r="D152" i="14"/>
  <c r="D155" i="14"/>
  <c r="D151" i="14"/>
  <c r="D150" i="14"/>
  <c r="D153" i="14"/>
  <c r="D360" i="13"/>
  <c r="D357" i="13"/>
  <c r="D356" i="13"/>
  <c r="D370" i="13"/>
  <c r="D367" i="13"/>
  <c r="D366" i="13"/>
  <c r="D207" i="10"/>
  <c r="D211" i="10"/>
  <c r="D208" i="10"/>
  <c r="D209" i="10"/>
  <c r="D210" i="10"/>
  <c r="D217" i="10"/>
  <c r="D220" i="10"/>
  <c r="D218" i="10"/>
  <c r="D49" i="14"/>
  <c r="D51" i="14"/>
  <c r="D107" i="14"/>
  <c r="D106" i="14"/>
  <c r="D148" i="14"/>
  <c r="D149" i="14"/>
  <c r="D45" i="14"/>
  <c r="D48" i="14"/>
  <c r="D47" i="14"/>
  <c r="D46" i="14"/>
  <c r="D72" i="14"/>
  <c r="D75" i="14"/>
  <c r="D73" i="14"/>
  <c r="D76" i="14"/>
  <c r="D74" i="14"/>
  <c r="D87" i="14"/>
  <c r="D88" i="14"/>
  <c r="D103" i="14"/>
  <c r="D105" i="14"/>
  <c r="D104" i="14"/>
  <c r="D118" i="14"/>
  <c r="D119" i="14"/>
  <c r="D138" i="14"/>
  <c r="D137" i="14"/>
  <c r="D219" i="10"/>
  <c r="D227" i="10"/>
  <c r="H58" i="12"/>
  <c r="D358" i="13"/>
  <c r="D371" i="13"/>
  <c r="O67" i="12"/>
  <c r="D364" i="13"/>
  <c r="D368" i="13"/>
  <c r="H66" i="12"/>
  <c r="D365" i="13"/>
  <c r="D359" i="13"/>
  <c r="D355" i="13"/>
  <c r="D369" i="13"/>
  <c r="H52" i="12"/>
  <c r="D216" i="10"/>
  <c r="O66" i="12"/>
  <c r="H53" i="12"/>
  <c r="B89" i="12"/>
  <c r="AD74" i="12"/>
  <c r="BE74" i="12"/>
  <c r="BE77" i="12"/>
  <c r="BD75" i="12"/>
  <c r="BE64" i="12"/>
  <c r="BE59" i="12"/>
  <c r="BE54" i="12"/>
  <c r="BD60" i="12"/>
  <c r="BD54" i="12"/>
  <c r="AD61" i="12"/>
  <c r="AD57" i="12"/>
  <c r="BC57" i="12"/>
  <c r="BC61" i="12"/>
  <c r="BC54" i="12"/>
  <c r="BC36" i="12"/>
  <c r="BC32" i="12"/>
  <c r="BF40" i="12"/>
  <c r="BF33" i="12"/>
  <c r="BF28" i="12"/>
  <c r="BE34" i="12"/>
  <c r="BE29" i="12"/>
  <c r="BD35" i="12"/>
  <c r="BD30" i="12"/>
  <c r="BB35" i="12"/>
  <c r="BB30" i="12"/>
  <c r="C89" i="12"/>
  <c r="AD75" i="12"/>
  <c r="AD77" i="12"/>
  <c r="BE76" i="12"/>
  <c r="BD77" i="12"/>
  <c r="BE63" i="12"/>
  <c r="BE58" i="12"/>
  <c r="BE53" i="12"/>
  <c r="BD61" i="12"/>
  <c r="BD57" i="12"/>
  <c r="AD64" i="12"/>
  <c r="AD59" i="12"/>
  <c r="AD54" i="12"/>
  <c r="BC58" i="12"/>
  <c r="BC63" i="12"/>
  <c r="BC41" i="12"/>
  <c r="BC34" i="12"/>
  <c r="BC29" i="12"/>
  <c r="BF35" i="12"/>
  <c r="BF31" i="12"/>
  <c r="BE39" i="12"/>
  <c r="BE33" i="12"/>
  <c r="BE28" i="12"/>
  <c r="BD34" i="12"/>
  <c r="BD29" i="12"/>
  <c r="BB34" i="12"/>
  <c r="BB29" i="12"/>
  <c r="AE74" i="12"/>
  <c r="C94" i="12"/>
  <c r="AE75" i="12"/>
  <c r="B94" i="12"/>
  <c r="AE77" i="12"/>
  <c r="AD76" i="12"/>
  <c r="BE75" i="12"/>
  <c r="BD74" i="12"/>
  <c r="BD73" i="12"/>
  <c r="BE60" i="12"/>
  <c r="BE56" i="12"/>
  <c r="BD62" i="12"/>
  <c r="BD56" i="12"/>
  <c r="AD63" i="12"/>
  <c r="AD58" i="12"/>
  <c r="AD53" i="12"/>
  <c r="BC60" i="12"/>
  <c r="BC55" i="12"/>
  <c r="BC37" i="12"/>
  <c r="BC31" i="12"/>
  <c r="BF37" i="12"/>
  <c r="BF34" i="12"/>
  <c r="BF29" i="12"/>
  <c r="BE36" i="12"/>
  <c r="BE32" i="12"/>
  <c r="BD39" i="12"/>
  <c r="BD33" i="12"/>
  <c r="BD28" i="12"/>
  <c r="BB33" i="12"/>
  <c r="AE76" i="12"/>
  <c r="AD78" i="12"/>
  <c r="BE73" i="12"/>
  <c r="BD78" i="12"/>
  <c r="BE61" i="12"/>
  <c r="BE55" i="12"/>
  <c r="BD63" i="12"/>
  <c r="BD58" i="12"/>
  <c r="BD53" i="12"/>
  <c r="AD60" i="12"/>
  <c r="AD55" i="12"/>
  <c r="BC59" i="12"/>
  <c r="BC64" i="12"/>
  <c r="BC40" i="12"/>
  <c r="BC33" i="12"/>
  <c r="BC28" i="12"/>
  <c r="BF36" i="12"/>
  <c r="BF30" i="12"/>
  <c r="BE37" i="12"/>
  <c r="BE31" i="12"/>
  <c r="BD36" i="12"/>
  <c r="BD31" i="12"/>
  <c r="BB36" i="12"/>
  <c r="BB32" i="12"/>
  <c r="AE78" i="12"/>
  <c r="AE73" i="12"/>
  <c r="AD73" i="12"/>
  <c r="BE78" i="12"/>
  <c r="BD76" i="12"/>
  <c r="BE62" i="12"/>
  <c r="BE57" i="12"/>
  <c r="BD64" i="12"/>
  <c r="BD59" i="12"/>
  <c r="BD55" i="12"/>
  <c r="AD62" i="12"/>
  <c r="AD56" i="12"/>
  <c r="BC56" i="12"/>
  <c r="BC62" i="12"/>
  <c r="BC53" i="12"/>
  <c r="BC35" i="12"/>
  <c r="BC30" i="12"/>
  <c r="BF39" i="12"/>
  <c r="BF32" i="12"/>
  <c r="BE40" i="12"/>
  <c r="BE35" i="12"/>
  <c r="BE30" i="12"/>
  <c r="BD40" i="12"/>
  <c r="BD32" i="12"/>
  <c r="BB37" i="12"/>
  <c r="BB31" i="12"/>
  <c r="D27" i="11"/>
  <c r="D25" i="11"/>
  <c r="AE11" i="12"/>
  <c r="AE10" i="12"/>
  <c r="AS78" i="12"/>
  <c r="AB77" i="12"/>
  <c r="AA77" i="12"/>
  <c r="AA73" i="12"/>
  <c r="AC76" i="12"/>
  <c r="AS77" i="12"/>
  <c r="AS73" i="12"/>
  <c r="AB76" i="12"/>
  <c r="AB73" i="12"/>
  <c r="AA79" i="12"/>
  <c r="AA74" i="12"/>
  <c r="AC77" i="12"/>
  <c r="AC73" i="12"/>
  <c r="AS79" i="12"/>
  <c r="AB75" i="12"/>
  <c r="AA76" i="12"/>
  <c r="AC78" i="12"/>
  <c r="AC74" i="12"/>
  <c r="AS80" i="12"/>
  <c r="AS76" i="12"/>
  <c r="AS75" i="12"/>
  <c r="AS74" i="12"/>
  <c r="AB78" i="12"/>
  <c r="AB74" i="12"/>
  <c r="AA78" i="12"/>
  <c r="AA75" i="12"/>
  <c r="AC79" i="12"/>
  <c r="AC75" i="12"/>
  <c r="AD20" i="12"/>
  <c r="AE20" i="12"/>
  <c r="AE19" i="12"/>
  <c r="AD16" i="12"/>
  <c r="AE15" i="12"/>
  <c r="AE14" i="12"/>
  <c r="AE13" i="12"/>
  <c r="AE12" i="12"/>
  <c r="AE16" i="12"/>
  <c r="AK13" i="12"/>
  <c r="AK9" i="12"/>
  <c r="AK5" i="12"/>
  <c r="AF7" i="12"/>
  <c r="AL43" i="12"/>
  <c r="AL37" i="12"/>
  <c r="AL32" i="12"/>
  <c r="AL28" i="12"/>
  <c r="AK39" i="12"/>
  <c r="AK34" i="12"/>
  <c r="AK30" i="12"/>
  <c r="AO39" i="12"/>
  <c r="AO34" i="12"/>
  <c r="AO28" i="12"/>
  <c r="AG37" i="12"/>
  <c r="AG32" i="12"/>
  <c r="AG28" i="12"/>
  <c r="AL57" i="12"/>
  <c r="AL63" i="12"/>
  <c r="AM54" i="12"/>
  <c r="AM60" i="12"/>
  <c r="AM53" i="12"/>
  <c r="AG59" i="12"/>
  <c r="AG53" i="12"/>
  <c r="AK74" i="12"/>
  <c r="AK76" i="12"/>
  <c r="AL77" i="12"/>
  <c r="AM75" i="12"/>
  <c r="AM73" i="12"/>
  <c r="Z19" i="12"/>
  <c r="Z18" i="12"/>
  <c r="Z17" i="12"/>
  <c r="Z15" i="12"/>
  <c r="Z14" i="12"/>
  <c r="Z13" i="12"/>
  <c r="Z12" i="12"/>
  <c r="Z11" i="12"/>
  <c r="Z10" i="12"/>
  <c r="Z9" i="12"/>
  <c r="Z8" i="12"/>
  <c r="Z7" i="12"/>
  <c r="Z6" i="12"/>
  <c r="Z5" i="12"/>
  <c r="Z4" i="12"/>
  <c r="AM19" i="12"/>
  <c r="AM18" i="12"/>
  <c r="AK12" i="12"/>
  <c r="AK10" i="12"/>
  <c r="AK7" i="12"/>
  <c r="AK4" i="12"/>
  <c r="AF5" i="12"/>
  <c r="AL42" i="12"/>
  <c r="AL38" i="12"/>
  <c r="AL33" i="12"/>
  <c r="AL30" i="12"/>
  <c r="AK42" i="12"/>
  <c r="AK36" i="12"/>
  <c r="AK31" i="12"/>
  <c r="AO42" i="12"/>
  <c r="AO36" i="12"/>
  <c r="AO31" i="12"/>
  <c r="AG42" i="12"/>
  <c r="AG33" i="12"/>
  <c r="AG29" i="12"/>
  <c r="AL54" i="12"/>
  <c r="AL59" i="12"/>
  <c r="AL64" i="12"/>
  <c r="AM57" i="12"/>
  <c r="AM62" i="12"/>
  <c r="AG55" i="12"/>
  <c r="AG58" i="12"/>
  <c r="AG63" i="12"/>
  <c r="AK78" i="12"/>
  <c r="AL76" i="12"/>
  <c r="AL73" i="12"/>
  <c r="AM78" i="12"/>
  <c r="AM17" i="12"/>
  <c r="AM15" i="12"/>
  <c r="AM14" i="12"/>
  <c r="AM13" i="12"/>
  <c r="AM12" i="12"/>
  <c r="AM11" i="12"/>
  <c r="AM10" i="12"/>
  <c r="AM9" i="12"/>
  <c r="AM8" i="12"/>
  <c r="AM7" i="12"/>
  <c r="AM6" i="12"/>
  <c r="AM5" i="12"/>
  <c r="AM4" i="12"/>
  <c r="AK19" i="12"/>
  <c r="AK18" i="12"/>
  <c r="AK17" i="12"/>
  <c r="AK15" i="12"/>
  <c r="AK14" i="12"/>
  <c r="AK11" i="12"/>
  <c r="AK8" i="12"/>
  <c r="AK6" i="12"/>
  <c r="AF6" i="12"/>
  <c r="AF4" i="12"/>
  <c r="AL39" i="12"/>
  <c r="AL35" i="12"/>
  <c r="AL31" i="12"/>
  <c r="AK38" i="12"/>
  <c r="AK35" i="12"/>
  <c r="AK29" i="12"/>
  <c r="AO37" i="12"/>
  <c r="AO32" i="12"/>
  <c r="AG43" i="12"/>
  <c r="AG36" i="12"/>
  <c r="AG31" i="12"/>
  <c r="AL56" i="12"/>
  <c r="AL60" i="12"/>
  <c r="AL53" i="12"/>
  <c r="AM58" i="12"/>
  <c r="AM63" i="12"/>
  <c r="AG56" i="12"/>
  <c r="AG62" i="12"/>
  <c r="AK75" i="12"/>
  <c r="AK73" i="12"/>
  <c r="AL78" i="12"/>
  <c r="AM76" i="12"/>
  <c r="AL34" i="12"/>
  <c r="AK43" i="12"/>
  <c r="AK37" i="12"/>
  <c r="AK32" i="12"/>
  <c r="AK28" i="12"/>
  <c r="AO38" i="12"/>
  <c r="AO33" i="12"/>
  <c r="AO29" i="12"/>
  <c r="AG38" i="12"/>
  <c r="AG34" i="12"/>
  <c r="AG30" i="12"/>
  <c r="AL58" i="12"/>
  <c r="AL61" i="12"/>
  <c r="AM55" i="12"/>
  <c r="AM59" i="12"/>
  <c r="AM64" i="12"/>
  <c r="AG57" i="12"/>
  <c r="AG60" i="12"/>
  <c r="AG64" i="12"/>
  <c r="AK79" i="12"/>
  <c r="AL74" i="12"/>
  <c r="AL79" i="12"/>
  <c r="AM74" i="12"/>
  <c r="AL36" i="12"/>
  <c r="AK33" i="12"/>
  <c r="AO43" i="12"/>
  <c r="AO35" i="12"/>
  <c r="AO30" i="12"/>
  <c r="AG39" i="12"/>
  <c r="AG35" i="12"/>
  <c r="AL55" i="12"/>
  <c r="AL62" i="12"/>
  <c r="AM56" i="12"/>
  <c r="AM61" i="12"/>
  <c r="AG54" i="12"/>
  <c r="AG61" i="12"/>
  <c r="AK77" i="12"/>
  <c r="AL75" i="12"/>
  <c r="AL80" i="12"/>
  <c r="AM77" i="12"/>
  <c r="D293" i="13"/>
  <c r="D294" i="13"/>
  <c r="D295" i="13"/>
  <c r="D296" i="13"/>
  <c r="D297" i="13"/>
  <c r="D298" i="13"/>
  <c r="D299" i="13"/>
  <c r="D300" i="13"/>
  <c r="D301" i="13"/>
  <c r="D302" i="13"/>
  <c r="D279" i="13"/>
  <c r="D277" i="13"/>
  <c r="D276" i="13"/>
  <c r="D288" i="13"/>
  <c r="D284" i="13"/>
  <c r="G74" i="12"/>
  <c r="G75" i="12"/>
  <c r="G76" i="12"/>
  <c r="G77" i="12"/>
  <c r="G78" i="12"/>
  <c r="G79" i="12"/>
  <c r="G80" i="12"/>
  <c r="G73" i="12"/>
  <c r="E74" i="12"/>
  <c r="E75" i="12"/>
  <c r="E76" i="12"/>
  <c r="E77" i="12"/>
  <c r="E78" i="12"/>
  <c r="E73" i="12"/>
  <c r="J74" i="12"/>
  <c r="J75" i="12"/>
  <c r="J76" i="12"/>
  <c r="J77" i="12"/>
  <c r="J78" i="12"/>
  <c r="J73" i="12"/>
  <c r="F74" i="12"/>
  <c r="F75" i="12"/>
  <c r="F76" i="12"/>
  <c r="F77" i="12"/>
  <c r="F78" i="12"/>
  <c r="F73" i="12"/>
  <c r="E55" i="12"/>
  <c r="E61" i="12"/>
  <c r="E53" i="12"/>
  <c r="G61" i="12"/>
  <c r="G53" i="12"/>
  <c r="F35" i="12"/>
  <c r="F40" i="12"/>
  <c r="H32" i="12"/>
  <c r="H36" i="12"/>
  <c r="H28" i="12"/>
  <c r="M37" i="12"/>
  <c r="J40" i="12"/>
  <c r="J33" i="12"/>
  <c r="G14" i="12"/>
  <c r="G7" i="12"/>
  <c r="F15" i="12"/>
  <c r="F10" i="12"/>
  <c r="E18" i="12"/>
  <c r="E9" i="12"/>
  <c r="E5" i="12"/>
  <c r="J13" i="12"/>
  <c r="J4" i="12"/>
  <c r="H10" i="12"/>
  <c r="E54" i="12"/>
  <c r="E60" i="12"/>
  <c r="E20" i="12"/>
  <c r="G59" i="12"/>
  <c r="G66" i="12"/>
  <c r="F32" i="12"/>
  <c r="F41" i="12"/>
  <c r="H33" i="12"/>
  <c r="H39" i="12"/>
  <c r="M31" i="12"/>
  <c r="M38" i="12"/>
  <c r="J39" i="12"/>
  <c r="J32" i="12"/>
  <c r="G16" i="12"/>
  <c r="G10" i="12"/>
  <c r="F20" i="12"/>
  <c r="F12" i="12"/>
  <c r="F5" i="12"/>
  <c r="E10" i="12"/>
  <c r="J19" i="12"/>
  <c r="J10" i="12"/>
  <c r="H18" i="12"/>
  <c r="H8" i="12"/>
  <c r="E56" i="12"/>
  <c r="E62" i="12"/>
  <c r="G54" i="12"/>
  <c r="G60" i="12"/>
  <c r="F34" i="12"/>
  <c r="F38" i="12"/>
  <c r="H30" i="12"/>
  <c r="M35" i="12"/>
  <c r="M30" i="12"/>
  <c r="J35" i="12"/>
  <c r="G15" i="12"/>
  <c r="G9" i="12"/>
  <c r="F19" i="12"/>
  <c r="F9" i="12"/>
  <c r="E19" i="12"/>
  <c r="E11" i="12"/>
  <c r="E4" i="12"/>
  <c r="J11" i="12"/>
  <c r="J5" i="12"/>
  <c r="H11" i="12"/>
  <c r="H4" i="12"/>
  <c r="G57" i="12"/>
  <c r="G64" i="12"/>
  <c r="F31" i="12"/>
  <c r="F39" i="12"/>
  <c r="H31" i="12"/>
  <c r="H38" i="12"/>
  <c r="M33" i="12"/>
  <c r="M40" i="12"/>
  <c r="J37" i="12"/>
  <c r="J30" i="12"/>
  <c r="G17" i="12"/>
  <c r="G12" i="12"/>
  <c r="G5" i="12"/>
  <c r="F11" i="12"/>
  <c r="F4" i="12"/>
  <c r="E12" i="12"/>
  <c r="E6" i="12"/>
  <c r="J12" i="12"/>
  <c r="J6" i="12"/>
  <c r="H12" i="12"/>
  <c r="H5" i="12"/>
  <c r="E59" i="12"/>
  <c r="E65" i="12"/>
  <c r="G58" i="12"/>
  <c r="G65" i="12"/>
  <c r="F33" i="12"/>
  <c r="F36" i="12"/>
  <c r="F28" i="12"/>
  <c r="H35" i="12"/>
  <c r="M36" i="12"/>
  <c r="J41" i="12"/>
  <c r="J34" i="12"/>
  <c r="G13" i="12"/>
  <c r="G6" i="12"/>
  <c r="F14" i="12"/>
  <c r="F7" i="12"/>
  <c r="E14" i="12"/>
  <c r="E7" i="12"/>
  <c r="J14" i="12"/>
  <c r="J7" i="12"/>
  <c r="H13" i="12"/>
  <c r="H6" i="12"/>
  <c r="O53" i="12"/>
  <c r="E58" i="12"/>
  <c r="E64" i="12"/>
  <c r="G56" i="12"/>
  <c r="G63" i="12"/>
  <c r="F30" i="12"/>
  <c r="F37" i="12"/>
  <c r="H29" i="12"/>
  <c r="H37" i="12"/>
  <c r="M32" i="12"/>
  <c r="M39" i="12"/>
  <c r="J38" i="12"/>
  <c r="J31" i="12"/>
  <c r="G20" i="12"/>
  <c r="G11" i="12"/>
  <c r="G4" i="12"/>
  <c r="F13" i="12"/>
  <c r="F6" i="12"/>
  <c r="E13" i="12"/>
  <c r="J18" i="12"/>
  <c r="J9" i="12"/>
  <c r="H14" i="12"/>
  <c r="H7" i="12"/>
  <c r="E57" i="12"/>
  <c r="E63" i="12"/>
  <c r="G55" i="12"/>
  <c r="G62" i="12"/>
  <c r="F29" i="12"/>
  <c r="F42" i="12"/>
  <c r="H34" i="12"/>
  <c r="M34" i="12"/>
  <c r="M41" i="12"/>
  <c r="J36" i="12"/>
  <c r="G8" i="12"/>
  <c r="F16" i="12"/>
  <c r="F8" i="12"/>
  <c r="E15" i="12"/>
  <c r="E8" i="12"/>
  <c r="J15" i="12"/>
  <c r="J8" i="12"/>
  <c r="H15" i="12"/>
  <c r="H9" i="12"/>
  <c r="H78" i="12"/>
  <c r="H77" i="12"/>
  <c r="H76" i="12"/>
  <c r="H75" i="12"/>
  <c r="H74" i="12"/>
  <c r="H73" i="12"/>
  <c r="AB56" i="12"/>
  <c r="AC63" i="12"/>
  <c r="AC60" i="12"/>
  <c r="AC56" i="12"/>
  <c r="T63" i="12"/>
  <c r="AB58" i="12"/>
  <c r="AB54" i="12"/>
  <c r="AC65" i="12"/>
  <c r="AC61" i="12"/>
  <c r="AC58" i="12"/>
  <c r="T62" i="12"/>
  <c r="AB55" i="12"/>
  <c r="AC64" i="12"/>
  <c r="AC59" i="12"/>
  <c r="AC57" i="12"/>
  <c r="AC54" i="12"/>
  <c r="T64" i="12"/>
  <c r="T61" i="12"/>
  <c r="T60" i="12"/>
  <c r="T59" i="12"/>
  <c r="AB57" i="12"/>
  <c r="AB53" i="12"/>
  <c r="AA53" i="12"/>
  <c r="AC62" i="12"/>
  <c r="AC55" i="12"/>
  <c r="D264" i="6"/>
  <c r="D263" i="6"/>
  <c r="D266" i="6"/>
  <c r="D267" i="6"/>
  <c r="D262" i="6"/>
  <c r="D265" i="6"/>
  <c r="D330" i="13"/>
  <c r="D329" i="13"/>
  <c r="D328" i="13"/>
  <c r="AA54" i="12"/>
  <c r="AA55" i="12"/>
  <c r="AA56" i="12"/>
  <c r="AA57" i="12"/>
  <c r="AA58" i="12"/>
  <c r="AA59" i="12"/>
  <c r="AA60" i="12"/>
  <c r="AA61" i="12"/>
  <c r="AA62" i="12"/>
  <c r="AA63" i="12"/>
  <c r="AA64" i="12"/>
  <c r="BB64" i="12"/>
  <c r="BB63" i="12"/>
  <c r="BB62" i="12"/>
  <c r="BB61" i="12"/>
  <c r="BB60" i="12"/>
  <c r="BB58" i="12"/>
  <c r="BB57" i="12"/>
  <c r="BB56" i="12"/>
  <c r="BB55" i="12"/>
  <c r="BB53" i="12"/>
  <c r="BB59" i="12"/>
  <c r="BB54" i="12"/>
  <c r="D321" i="13"/>
  <c r="D320" i="13"/>
  <c r="D319" i="13"/>
  <c r="D318" i="13"/>
  <c r="D317" i="13"/>
  <c r="D316" i="13"/>
  <c r="D315" i="13"/>
  <c r="D314" i="13"/>
  <c r="AA39" i="12"/>
  <c r="AA30" i="12"/>
  <c r="AA38" i="12"/>
  <c r="AA35" i="12"/>
  <c r="AA33" i="12"/>
  <c r="AA29" i="12"/>
  <c r="AA42" i="12"/>
  <c r="AA32" i="12"/>
  <c r="AM28" i="12"/>
  <c r="AA43" i="12"/>
  <c r="AA37" i="12"/>
  <c r="AA36" i="12"/>
  <c r="AA34" i="12"/>
  <c r="AA31" i="12"/>
  <c r="AA28" i="12"/>
  <c r="D72" i="6"/>
  <c r="D70" i="6"/>
  <c r="D74" i="6"/>
  <c r="D73" i="6"/>
  <c r="D313" i="13"/>
  <c r="D312" i="13"/>
  <c r="D311" i="13"/>
  <c r="D198" i="6"/>
  <c r="D202" i="6"/>
  <c r="D201" i="6"/>
  <c r="D197" i="6"/>
  <c r="AM43" i="12"/>
  <c r="AM42" i="12"/>
  <c r="AM39" i="12"/>
  <c r="AM38" i="12"/>
  <c r="AM37" i="12"/>
  <c r="AM36" i="12"/>
  <c r="AM35" i="12"/>
  <c r="AM34" i="12"/>
  <c r="AM33" i="12"/>
  <c r="AM32" i="12"/>
  <c r="AM31" i="12"/>
  <c r="AM30" i="12"/>
  <c r="AM29" i="12"/>
  <c r="AD43" i="12"/>
  <c r="AD42" i="12"/>
  <c r="AD39" i="12"/>
  <c r="AC38" i="12"/>
  <c r="AC37" i="12"/>
  <c r="AC36" i="12"/>
  <c r="AC35" i="12"/>
  <c r="D292" i="13"/>
  <c r="AC32" i="12"/>
  <c r="AB11" i="12"/>
  <c r="AB7" i="12"/>
  <c r="AL19" i="12"/>
  <c r="AF15" i="12"/>
  <c r="AB5" i="12"/>
  <c r="AL15" i="12"/>
  <c r="AC34" i="12"/>
  <c r="AC31" i="12"/>
  <c r="AC29" i="12"/>
  <c r="AB14" i="12"/>
  <c r="AB12" i="12"/>
  <c r="AB9" i="12"/>
  <c r="AB6" i="12"/>
  <c r="AL18" i="12"/>
  <c r="AL4" i="12"/>
  <c r="AC33" i="12"/>
  <c r="AC30" i="12"/>
  <c r="AC28" i="12"/>
  <c r="AB13" i="12"/>
  <c r="AB10" i="12"/>
  <c r="AB8" i="12"/>
  <c r="AB4" i="12"/>
  <c r="AL17" i="12"/>
  <c r="D142" i="6"/>
  <c r="D141" i="6"/>
  <c r="D138" i="6"/>
  <c r="AL6" i="12"/>
  <c r="AL7" i="12"/>
  <c r="AL10" i="12"/>
  <c r="AL12" i="12"/>
  <c r="AL14" i="12"/>
  <c r="AA19" i="12"/>
  <c r="AA17" i="12"/>
  <c r="AA14" i="12"/>
  <c r="AA12" i="12"/>
  <c r="AA10" i="12"/>
  <c r="AA8" i="12"/>
  <c r="AA6" i="12"/>
  <c r="AA4" i="12"/>
  <c r="AL5" i="12"/>
  <c r="AL8" i="12"/>
  <c r="AL9" i="12"/>
  <c r="AL11" i="12"/>
  <c r="AL13" i="12"/>
  <c r="AA18" i="12"/>
  <c r="AA15" i="12"/>
  <c r="AA13" i="12"/>
  <c r="AA11" i="12"/>
  <c r="AA9" i="12"/>
  <c r="AA7" i="12"/>
  <c r="AA5" i="12"/>
  <c r="AC4" i="12"/>
  <c r="AF19" i="12"/>
  <c r="AF18" i="12"/>
  <c r="AF17" i="12"/>
  <c r="D285" i="13"/>
  <c r="D278" i="13"/>
  <c r="D282" i="13"/>
  <c r="D281" i="13"/>
  <c r="D272" i="13"/>
  <c r="D270" i="13"/>
  <c r="D269" i="13"/>
  <c r="D271" i="13"/>
  <c r="D265" i="13"/>
  <c r="D264" i="13"/>
  <c r="D268" i="13"/>
  <c r="D267" i="13"/>
  <c r="D266" i="13"/>
  <c r="D348" i="13"/>
  <c r="D347" i="13"/>
  <c r="D259" i="13"/>
  <c r="D260" i="13"/>
  <c r="D261" i="13"/>
  <c r="D262" i="13"/>
  <c r="D263" i="13"/>
  <c r="D255" i="13"/>
  <c r="D254" i="13"/>
  <c r="D253" i="13"/>
  <c r="D252" i="13"/>
  <c r="D251" i="13"/>
  <c r="D250" i="13"/>
  <c r="D249" i="13"/>
  <c r="D248" i="13"/>
  <c r="D247" i="13"/>
  <c r="D287" i="11"/>
  <c r="D288" i="11"/>
  <c r="D244" i="13"/>
  <c r="D246" i="13"/>
  <c r="D245" i="13"/>
  <c r="D243" i="13"/>
  <c r="D242" i="13"/>
  <c r="D219" i="13"/>
  <c r="D221" i="13"/>
  <c r="D220" i="13"/>
  <c r="D351" i="13"/>
  <c r="D349" i="13"/>
  <c r="D350" i="13"/>
  <c r="D340" i="13"/>
  <c r="D338" i="13"/>
  <c r="D342" i="13"/>
  <c r="D341" i="13"/>
  <c r="D339" i="13"/>
  <c r="D218" i="13"/>
  <c r="D217" i="13"/>
  <c r="D216" i="13"/>
  <c r="D333" i="13"/>
  <c r="D332" i="13"/>
  <c r="D331" i="13"/>
  <c r="D208" i="13"/>
  <c r="D215" i="13"/>
  <c r="D214" i="13"/>
  <c r="D213" i="13"/>
  <c r="D212" i="13"/>
  <c r="D211" i="13"/>
  <c r="D210" i="13"/>
  <c r="D209" i="13"/>
  <c r="D202" i="13"/>
  <c r="D201" i="13"/>
  <c r="D200" i="13"/>
  <c r="D199" i="13"/>
  <c r="D198" i="13"/>
  <c r="D197" i="13"/>
  <c r="D196" i="13"/>
  <c r="D195" i="13"/>
  <c r="D194" i="13"/>
  <c r="D192" i="13"/>
  <c r="D191" i="13"/>
  <c r="D204" i="13"/>
  <c r="D193" i="13"/>
  <c r="D203" i="13"/>
  <c r="D187" i="13"/>
  <c r="D186" i="13"/>
  <c r="D185" i="13"/>
  <c r="D183" i="13"/>
  <c r="D182" i="13"/>
  <c r="D181" i="13"/>
  <c r="D180" i="13"/>
  <c r="D184" i="13"/>
  <c r="D176" i="13"/>
  <c r="D179" i="13"/>
  <c r="D178" i="13"/>
  <c r="D177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V78" i="12"/>
  <c r="V77" i="12"/>
  <c r="U75" i="12"/>
  <c r="V76" i="12"/>
  <c r="U76" i="12"/>
  <c r="W73" i="12"/>
  <c r="Y77" i="12"/>
  <c r="Y76" i="12"/>
  <c r="W77" i="12"/>
  <c r="W76" i="12"/>
  <c r="V75" i="12"/>
  <c r="U74" i="12"/>
  <c r="U77" i="12"/>
  <c r="W74" i="12"/>
  <c r="V74" i="12"/>
  <c r="V73" i="12"/>
  <c r="D124" i="13"/>
  <c r="D121" i="13"/>
  <c r="D120" i="13"/>
  <c r="D43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63" i="13"/>
  <c r="D62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104" i="13"/>
  <c r="D103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83" i="13"/>
  <c r="D82" i="13"/>
  <c r="D79" i="13"/>
  <c r="D78" i="13"/>
  <c r="D77" i="13"/>
  <c r="D76" i="13"/>
  <c r="D75" i="13"/>
  <c r="D74" i="13"/>
  <c r="D73" i="13"/>
  <c r="D72" i="13"/>
  <c r="D71" i="13"/>
  <c r="D70" i="13"/>
  <c r="D69" i="13"/>
  <c r="W75" i="12"/>
  <c r="AG76" i="12"/>
  <c r="AG74" i="12"/>
  <c r="AG75" i="12"/>
  <c r="AG73" i="12"/>
  <c r="AG79" i="12"/>
  <c r="AG78" i="12"/>
  <c r="AG77" i="12"/>
  <c r="AK54" i="12"/>
  <c r="AK64" i="12"/>
  <c r="AK63" i="12"/>
  <c r="AK62" i="12"/>
  <c r="AK61" i="12"/>
  <c r="AK60" i="12"/>
  <c r="AK59" i="12"/>
  <c r="AK58" i="12"/>
  <c r="AK57" i="12"/>
  <c r="AK56" i="12"/>
  <c r="AK55" i="12"/>
  <c r="AK53" i="12"/>
  <c r="D160" i="11"/>
  <c r="D159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D198" i="11"/>
  <c r="D197" i="11"/>
  <c r="D194" i="11"/>
  <c r="D193" i="11"/>
  <c r="D192" i="11"/>
  <c r="D191" i="11"/>
  <c r="D190" i="11"/>
  <c r="D189" i="11"/>
  <c r="D188" i="11"/>
  <c r="D187" i="11"/>
  <c r="D186" i="11"/>
  <c r="D185" i="11"/>
  <c r="D184" i="11"/>
  <c r="D183" i="11"/>
  <c r="D179" i="11"/>
  <c r="D178" i="11"/>
  <c r="D175" i="11"/>
  <c r="D174" i="11"/>
  <c r="D173" i="11"/>
  <c r="D172" i="11"/>
  <c r="D171" i="11"/>
  <c r="D170" i="11"/>
  <c r="D169" i="11"/>
  <c r="D168" i="11"/>
  <c r="D167" i="11"/>
  <c r="D166" i="11"/>
  <c r="D165" i="11"/>
  <c r="D230" i="11"/>
  <c r="D229" i="11"/>
  <c r="D228" i="11"/>
  <c r="D227" i="11"/>
  <c r="D226" i="11"/>
  <c r="D225" i="11"/>
  <c r="D224" i="11"/>
  <c r="D223" i="11"/>
  <c r="D222" i="11"/>
  <c r="D221" i="11"/>
  <c r="D220" i="11"/>
  <c r="D219" i="11"/>
  <c r="D258" i="11"/>
  <c r="D251" i="11"/>
  <c r="D252" i="11"/>
  <c r="D255" i="11"/>
  <c r="D253" i="11"/>
  <c r="D254" i="11"/>
  <c r="D256" i="11"/>
  <c r="D257" i="11"/>
  <c r="D234" i="11"/>
  <c r="D239" i="11"/>
  <c r="D245" i="11"/>
  <c r="D244" i="11"/>
  <c r="D243" i="11"/>
  <c r="D242" i="11"/>
  <c r="D241" i="11"/>
  <c r="D240" i="11"/>
  <c r="D238" i="11"/>
  <c r="D237" i="11"/>
  <c r="D236" i="11"/>
  <c r="D235" i="11"/>
  <c r="D155" i="11"/>
  <c r="D156" i="11"/>
  <c r="D279" i="11"/>
  <c r="D278" i="11"/>
  <c r="D277" i="11"/>
  <c r="D276" i="11"/>
  <c r="D275" i="11"/>
  <c r="D36" i="11"/>
  <c r="D37" i="11"/>
  <c r="D31" i="11"/>
  <c r="D282" i="7"/>
  <c r="D280" i="7"/>
  <c r="D283" i="7"/>
  <c r="D281" i="7"/>
  <c r="D279" i="7"/>
  <c r="D286" i="11"/>
  <c r="D285" i="11"/>
  <c r="D298" i="11"/>
  <c r="D297" i="11"/>
  <c r="D296" i="11"/>
  <c r="D295" i="11"/>
  <c r="D154" i="11"/>
  <c r="D153" i="11"/>
  <c r="D152" i="11"/>
  <c r="D151" i="11"/>
  <c r="D150" i="11"/>
  <c r="D149" i="11"/>
  <c r="D284" i="7"/>
  <c r="D285" i="7"/>
  <c r="D291" i="11"/>
  <c r="D289" i="11"/>
  <c r="D290" i="11"/>
  <c r="D300" i="11"/>
  <c r="D299" i="11"/>
  <c r="D250" i="11"/>
  <c r="D249" i="11"/>
  <c r="D148" i="11"/>
  <c r="D147" i="11"/>
  <c r="D146" i="11"/>
  <c r="D145" i="11"/>
  <c r="D141" i="11"/>
  <c r="D140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53" i="11"/>
  <c r="D52" i="11"/>
  <c r="D51" i="11"/>
  <c r="D50" i="11"/>
  <c r="D49" i="11"/>
  <c r="D47" i="11"/>
  <c r="D46" i="11"/>
  <c r="D45" i="11"/>
  <c r="D48" i="11"/>
  <c r="D58" i="11"/>
  <c r="D60" i="11"/>
  <c r="D59" i="11"/>
  <c r="D56" i="11"/>
  <c r="D55" i="11"/>
  <c r="D54" i="11"/>
  <c r="D18" i="11"/>
  <c r="D19" i="11"/>
  <c r="D20" i="11"/>
  <c r="D21" i="11"/>
  <c r="D78" i="11"/>
  <c r="D74" i="11"/>
  <c r="D72" i="11"/>
  <c r="D73" i="11"/>
  <c r="D71" i="11"/>
  <c r="D70" i="11"/>
  <c r="D69" i="11"/>
  <c r="D68" i="11"/>
  <c r="D66" i="11"/>
  <c r="D65" i="11"/>
  <c r="D64" i="11"/>
  <c r="D79" i="11"/>
  <c r="D67" i="11"/>
  <c r="D77" i="11"/>
  <c r="D75" i="11"/>
  <c r="D97" i="11"/>
  <c r="D96" i="11"/>
  <c r="D93" i="11"/>
  <c r="D92" i="11"/>
  <c r="D91" i="11"/>
  <c r="D90" i="11"/>
  <c r="D89" i="11"/>
  <c r="D94" i="11"/>
  <c r="D85" i="11"/>
  <c r="D86" i="11"/>
  <c r="D83" i="11"/>
  <c r="D84" i="11"/>
  <c r="D88" i="11"/>
  <c r="D87" i="11"/>
  <c r="D98" i="11"/>
  <c r="D32" i="11"/>
  <c r="D35" i="11"/>
  <c r="D34" i="11"/>
  <c r="D33" i="11"/>
  <c r="D41" i="11"/>
  <c r="D40" i="11"/>
  <c r="D266" i="11"/>
  <c r="D280" i="11"/>
  <c r="D281" i="11"/>
  <c r="D302" i="11"/>
  <c r="D301" i="11"/>
  <c r="D260" i="11"/>
  <c r="D259" i="11"/>
  <c r="BF76" i="12"/>
  <c r="BF75" i="12"/>
  <c r="AN76" i="12"/>
  <c r="AQ78" i="12"/>
  <c r="AQ75" i="12"/>
  <c r="AQ73" i="12"/>
  <c r="AN77" i="12"/>
  <c r="AQ79" i="12"/>
  <c r="AQ76" i="12"/>
  <c r="AN75" i="12"/>
  <c r="AQ77" i="12"/>
  <c r="BF74" i="12"/>
  <c r="BF73" i="12"/>
  <c r="AE37" i="12"/>
  <c r="AE36" i="12"/>
  <c r="AE35" i="12"/>
  <c r="AE34" i="12"/>
  <c r="AE33" i="12"/>
  <c r="AE32" i="12"/>
  <c r="AE31" i="12"/>
  <c r="AE30" i="12"/>
  <c r="AE29" i="12"/>
  <c r="AE28" i="12"/>
  <c r="D275" i="7"/>
  <c r="D274" i="7"/>
  <c r="AE38" i="12"/>
  <c r="AE39" i="12"/>
  <c r="AN28" i="12"/>
  <c r="AE43" i="12"/>
  <c r="AE42" i="12"/>
  <c r="AQ55" i="12"/>
  <c r="AP61" i="12"/>
  <c r="AP54" i="12"/>
  <c r="BF63" i="12"/>
  <c r="BF59" i="12"/>
  <c r="BF55" i="12"/>
  <c r="AN64" i="12"/>
  <c r="AN60" i="12"/>
  <c r="AN56" i="12"/>
  <c r="AN53" i="12"/>
  <c r="AP43" i="12"/>
  <c r="AP36" i="12"/>
  <c r="AP33" i="12"/>
  <c r="AP29" i="12"/>
  <c r="AQ39" i="12"/>
  <c r="AQ35" i="12"/>
  <c r="AQ31" i="12"/>
  <c r="AN43" i="12"/>
  <c r="AN37" i="12"/>
  <c r="AN34" i="12"/>
  <c r="AN30" i="12"/>
  <c r="AO15" i="12"/>
  <c r="AO11" i="12"/>
  <c r="AO7" i="12"/>
  <c r="AN19" i="12"/>
  <c r="AN13" i="12"/>
  <c r="AN9" i="12"/>
  <c r="AN6" i="12"/>
  <c r="AQ19" i="12"/>
  <c r="AQ13" i="12"/>
  <c r="AQ10" i="12"/>
  <c r="AQ6" i="12"/>
  <c r="AP18" i="12"/>
  <c r="AP13" i="12"/>
  <c r="AP9" i="12"/>
  <c r="AP5" i="12"/>
  <c r="AQ62" i="12"/>
  <c r="AQ54" i="12"/>
  <c r="AP64" i="12"/>
  <c r="AP59" i="12"/>
  <c r="AP57" i="12"/>
  <c r="AP53" i="12"/>
  <c r="BF62" i="12"/>
  <c r="BF56" i="12"/>
  <c r="AN63" i="12"/>
  <c r="AN59" i="12"/>
  <c r="AN55" i="12"/>
  <c r="AP42" i="12"/>
  <c r="AP37" i="12"/>
  <c r="AP32" i="12"/>
  <c r="AP28" i="12"/>
  <c r="AQ38" i="12"/>
  <c r="AQ32" i="12"/>
  <c r="AQ28" i="12"/>
  <c r="AN38" i="12"/>
  <c r="AN33" i="12"/>
  <c r="AN29" i="12"/>
  <c r="AO18" i="12"/>
  <c r="AO12" i="12"/>
  <c r="AO8" i="12"/>
  <c r="AO4" i="12"/>
  <c r="AN15" i="12"/>
  <c r="AN11" i="12"/>
  <c r="AN5" i="12"/>
  <c r="AQ18" i="12"/>
  <c r="AQ14" i="12"/>
  <c r="AQ8" i="12"/>
  <c r="AQ4" i="12"/>
  <c r="AP17" i="12"/>
  <c r="AP12" i="12"/>
  <c r="AP7" i="12"/>
  <c r="AQ64" i="12"/>
  <c r="AQ58" i="12"/>
  <c r="AQ57" i="12"/>
  <c r="AP65" i="12"/>
  <c r="AP62" i="12"/>
  <c r="AP58" i="12"/>
  <c r="AP56" i="12"/>
  <c r="BF64" i="12"/>
  <c r="BF60" i="12"/>
  <c r="BF58" i="12"/>
  <c r="BF54" i="12"/>
  <c r="AN62" i="12"/>
  <c r="AN57" i="12"/>
  <c r="AP39" i="12"/>
  <c r="AP34" i="12"/>
  <c r="AP30" i="12"/>
  <c r="AQ42" i="12"/>
  <c r="AQ36" i="12"/>
  <c r="AQ33" i="12"/>
  <c r="AQ29" i="12"/>
  <c r="AN39" i="12"/>
  <c r="AN35" i="12"/>
  <c r="AN31" i="12"/>
  <c r="AO17" i="12"/>
  <c r="AO14" i="12"/>
  <c r="AO10" i="12"/>
  <c r="AO6" i="12"/>
  <c r="AN18" i="12"/>
  <c r="AN14" i="12"/>
  <c r="AN10" i="12"/>
  <c r="AN7" i="12"/>
  <c r="AQ15" i="12"/>
  <c r="AQ11" i="12"/>
  <c r="AQ7" i="12"/>
  <c r="AP19" i="12"/>
  <c r="AP14" i="12"/>
  <c r="AP10" i="12"/>
  <c r="AP6" i="12"/>
  <c r="AQ63" i="12"/>
  <c r="AQ59" i="12"/>
  <c r="AQ56" i="12"/>
  <c r="AQ53" i="12"/>
  <c r="AP63" i="12"/>
  <c r="AP60" i="12"/>
  <c r="AP55" i="12"/>
  <c r="BF65" i="12"/>
  <c r="BF61" i="12"/>
  <c r="BF57" i="12"/>
  <c r="BF53" i="12"/>
  <c r="AN61" i="12"/>
  <c r="AN58" i="12"/>
  <c r="AN54" i="12"/>
  <c r="AP38" i="12"/>
  <c r="AP35" i="12"/>
  <c r="AP31" i="12"/>
  <c r="AQ43" i="12"/>
  <c r="AQ37" i="12"/>
  <c r="AQ34" i="12"/>
  <c r="AQ30" i="12"/>
  <c r="AN42" i="12"/>
  <c r="AN36" i="12"/>
  <c r="AN32" i="12"/>
  <c r="AO19" i="12"/>
  <c r="AO13" i="12"/>
  <c r="AO9" i="12"/>
  <c r="AO5" i="12"/>
  <c r="AN17" i="12"/>
  <c r="AN12" i="12"/>
  <c r="AN8" i="12"/>
  <c r="AN4" i="12"/>
  <c r="AQ17" i="12"/>
  <c r="AQ12" i="12"/>
  <c r="AQ9" i="12"/>
  <c r="AQ5" i="12"/>
  <c r="AP15" i="12"/>
  <c r="AP11" i="12"/>
  <c r="AP8" i="12"/>
  <c r="AP4" i="12"/>
  <c r="D299" i="2"/>
  <c r="D298" i="2"/>
  <c r="D301" i="2"/>
  <c r="D300" i="2"/>
  <c r="D259" i="2"/>
  <c r="D260" i="2"/>
  <c r="D261" i="2"/>
  <c r="D262" i="2"/>
  <c r="D291" i="1"/>
  <c r="D290" i="1"/>
  <c r="D283" i="1"/>
  <c r="D282" i="1"/>
  <c r="BF9" i="12"/>
  <c r="BF6" i="12"/>
  <c r="BC15" i="12"/>
  <c r="BC10" i="12"/>
  <c r="BC6" i="12"/>
  <c r="BE13" i="12"/>
  <c r="BE8" i="12"/>
  <c r="BE4" i="12"/>
  <c r="BD11" i="12"/>
  <c r="BD7" i="12"/>
  <c r="BF10" i="12"/>
  <c r="BF13" i="12"/>
  <c r="BF5" i="12"/>
  <c r="BC13" i="12"/>
  <c r="BC9" i="12"/>
  <c r="BC5" i="12"/>
  <c r="BE15" i="12"/>
  <c r="BE10" i="12"/>
  <c r="BE6" i="12"/>
  <c r="BD15" i="12"/>
  <c r="BD10" i="12"/>
  <c r="BD6" i="12"/>
  <c r="BF8" i="12"/>
  <c r="BC16" i="12"/>
  <c r="BC11" i="12"/>
  <c r="BC7" i="12"/>
  <c r="BE16" i="12"/>
  <c r="BE11" i="12"/>
  <c r="BE7" i="12"/>
  <c r="BD16" i="12"/>
  <c r="BD12" i="12"/>
  <c r="BD8" i="12"/>
  <c r="BD4" i="12"/>
  <c r="BF16" i="12"/>
  <c r="BF11" i="12"/>
  <c r="BF7" i="12"/>
  <c r="BF4" i="12"/>
  <c r="BC12" i="12"/>
  <c r="BC8" i="12"/>
  <c r="BC4" i="12"/>
  <c r="BE12" i="12"/>
  <c r="BE9" i="12"/>
  <c r="BE5" i="12"/>
  <c r="BD13" i="12"/>
  <c r="BD9" i="12"/>
  <c r="BD5" i="12"/>
  <c r="BF14" i="12"/>
  <c r="BF15" i="12"/>
  <c r="D295" i="1"/>
  <c r="D294" i="1"/>
  <c r="D293" i="1"/>
  <c r="D292" i="1"/>
  <c r="BB16" i="12"/>
  <c r="BB15" i="12"/>
  <c r="BB13" i="12"/>
  <c r="BB12" i="12"/>
  <c r="BB11" i="12"/>
  <c r="BB10" i="12"/>
  <c r="BB9" i="12"/>
  <c r="BB8" i="12"/>
  <c r="BB7" i="12"/>
  <c r="BB6" i="12"/>
  <c r="BB5" i="12"/>
  <c r="BB4" i="12"/>
  <c r="D271" i="2"/>
  <c r="D270" i="2"/>
  <c r="AY60" i="12"/>
  <c r="AY54" i="12"/>
  <c r="AW62" i="12"/>
  <c r="AW58" i="12"/>
  <c r="AW53" i="12"/>
  <c r="AX60" i="12"/>
  <c r="AX55" i="12"/>
  <c r="AV60" i="12"/>
  <c r="AV54" i="12"/>
  <c r="AY33" i="12"/>
  <c r="AX42" i="12"/>
  <c r="AX31" i="12"/>
  <c r="AW37" i="12"/>
  <c r="AW29" i="12"/>
  <c r="AV36" i="12"/>
  <c r="AV30" i="12"/>
  <c r="AX56" i="12"/>
  <c r="AV55" i="12"/>
  <c r="AY38" i="12"/>
  <c r="AY31" i="12"/>
  <c r="AX39" i="12"/>
  <c r="AX32" i="12"/>
  <c r="AW39" i="12"/>
  <c r="AW31" i="12"/>
  <c r="AV37" i="12"/>
  <c r="AV32" i="12"/>
  <c r="AX53" i="12"/>
  <c r="AV57" i="12"/>
  <c r="AY39" i="12"/>
  <c r="AY34" i="12"/>
  <c r="AX43" i="12"/>
  <c r="AX34" i="12"/>
  <c r="AW43" i="12"/>
  <c r="AW33" i="12"/>
  <c r="AV38" i="12"/>
  <c r="AV31" i="12"/>
  <c r="AY59" i="12"/>
  <c r="AY55" i="12"/>
  <c r="AW63" i="12"/>
  <c r="AW59" i="12"/>
  <c r="AW55" i="12"/>
  <c r="AX63" i="12"/>
  <c r="AX58" i="12"/>
  <c r="AV64" i="12"/>
  <c r="AV59" i="12"/>
  <c r="AV53" i="12"/>
  <c r="AY36" i="12"/>
  <c r="AY28" i="12"/>
  <c r="AX35" i="12"/>
  <c r="AX29" i="12"/>
  <c r="AW36" i="12"/>
  <c r="AW28" i="12"/>
  <c r="AV35" i="12"/>
  <c r="AV29" i="12"/>
  <c r="AV62" i="12"/>
  <c r="AY32" i="12"/>
  <c r="AX36" i="12"/>
  <c r="AW42" i="12"/>
  <c r="AW34" i="12"/>
  <c r="AV39" i="12"/>
  <c r="AY58" i="12"/>
  <c r="AY56" i="12"/>
  <c r="AY53" i="12"/>
  <c r="AW61" i="12"/>
  <c r="AW57" i="12"/>
  <c r="AW54" i="12"/>
  <c r="AX62" i="12"/>
  <c r="AX59" i="12"/>
  <c r="AX54" i="12"/>
  <c r="AV61" i="12"/>
  <c r="AV56" i="12"/>
  <c r="AY42" i="12"/>
  <c r="AY35" i="12"/>
  <c r="AY29" i="12"/>
  <c r="AX37" i="12"/>
  <c r="AX30" i="12"/>
  <c r="AW38" i="12"/>
  <c r="AW32" i="12"/>
  <c r="AV43" i="12"/>
  <c r="AV34" i="12"/>
  <c r="AV28" i="12"/>
  <c r="AY61" i="12"/>
  <c r="AY57" i="12"/>
  <c r="AW64" i="12"/>
  <c r="AW60" i="12"/>
  <c r="AW56" i="12"/>
  <c r="AX64" i="12"/>
  <c r="AX61" i="12"/>
  <c r="AX57" i="12"/>
  <c r="AV63" i="12"/>
  <c r="AV58" i="12"/>
  <c r="AY43" i="12"/>
  <c r="AY37" i="12"/>
  <c r="AY30" i="12"/>
  <c r="AX38" i="12"/>
  <c r="AX33" i="12"/>
  <c r="AX28" i="12"/>
  <c r="AW35" i="12"/>
  <c r="AV42" i="12"/>
  <c r="AV33" i="12"/>
  <c r="AY64" i="12"/>
  <c r="AY63" i="12"/>
  <c r="AY62" i="12"/>
  <c r="AW30" i="12"/>
  <c r="AV13" i="12"/>
  <c r="AV14" i="12"/>
  <c r="AV15" i="12"/>
  <c r="AV4" i="12"/>
  <c r="AY19" i="12"/>
  <c r="AY18" i="12"/>
  <c r="AY17" i="12"/>
  <c r="AY15" i="12"/>
  <c r="AY14" i="12"/>
  <c r="AY13" i="12"/>
  <c r="AY12" i="12"/>
  <c r="AY11" i="12"/>
  <c r="AY10" i="12"/>
  <c r="AY9" i="12"/>
  <c r="AY8" i="12"/>
  <c r="AY7" i="12"/>
  <c r="AY6" i="12"/>
  <c r="AY5" i="12"/>
  <c r="AY4" i="12"/>
  <c r="AX19" i="12"/>
  <c r="AX18" i="12"/>
  <c r="AX17" i="12"/>
  <c r="AX15" i="12"/>
  <c r="AX14" i="12"/>
  <c r="AX13" i="12"/>
  <c r="AX12" i="12"/>
  <c r="AX11" i="12"/>
  <c r="AX10" i="12"/>
  <c r="AX9" i="12"/>
  <c r="AX8" i="12"/>
  <c r="AX7" i="12"/>
  <c r="AX6" i="12"/>
  <c r="AX5" i="12"/>
  <c r="AX4" i="12"/>
  <c r="AW19" i="12"/>
  <c r="AW18" i="12"/>
  <c r="AW17" i="12"/>
  <c r="AW15" i="12"/>
  <c r="AW14" i="12"/>
  <c r="AW13" i="12"/>
  <c r="AW12" i="12"/>
  <c r="AW11" i="12"/>
  <c r="AW10" i="12"/>
  <c r="AW9" i="12"/>
  <c r="AW8" i="12"/>
  <c r="AW7" i="12"/>
  <c r="AW6" i="12"/>
  <c r="AW5" i="12"/>
  <c r="AW4" i="12"/>
  <c r="AV19" i="12"/>
  <c r="AV18" i="12"/>
  <c r="AV17" i="12"/>
  <c r="AV5" i="12"/>
  <c r="AV6" i="12"/>
  <c r="AV7" i="12"/>
  <c r="AV8" i="12"/>
  <c r="AV9" i="12"/>
  <c r="AV10" i="12"/>
  <c r="AV11" i="12"/>
  <c r="AV12" i="12"/>
  <c r="S74" i="12"/>
  <c r="D261" i="3"/>
  <c r="D260" i="3"/>
  <c r="D259" i="3"/>
  <c r="D262" i="3"/>
  <c r="T74" i="12"/>
  <c r="T73" i="12"/>
  <c r="S73" i="12"/>
  <c r="S56" i="12"/>
  <c r="S55" i="12"/>
  <c r="S54" i="12"/>
  <c r="D279" i="3"/>
  <c r="D280" i="3"/>
  <c r="D281" i="3"/>
  <c r="D278" i="3"/>
  <c r="S64" i="12"/>
  <c r="S58" i="12"/>
  <c r="S61" i="12"/>
  <c r="S57" i="12"/>
  <c r="S60" i="12"/>
  <c r="S62" i="12"/>
  <c r="S63" i="12"/>
  <c r="S59" i="12"/>
  <c r="D268" i="3"/>
  <c r="D267" i="3"/>
  <c r="D277" i="3"/>
  <c r="D276" i="3"/>
  <c r="AO63" i="12"/>
  <c r="AO64" i="12"/>
  <c r="AO53" i="12"/>
  <c r="R54" i="12"/>
  <c r="R55" i="12"/>
  <c r="R56" i="12"/>
  <c r="R57" i="12"/>
  <c r="R58" i="12"/>
  <c r="R59" i="12"/>
  <c r="R60" i="12"/>
  <c r="R61" i="12"/>
  <c r="R62" i="12"/>
  <c r="R63" i="12"/>
  <c r="R64" i="12"/>
  <c r="R53" i="12"/>
  <c r="Q54" i="12"/>
  <c r="Q55" i="12"/>
  <c r="Q56" i="12"/>
  <c r="Q57" i="12"/>
  <c r="Q58" i="12"/>
  <c r="Q59" i="12"/>
  <c r="Q60" i="12"/>
  <c r="Q61" i="12"/>
  <c r="Q62" i="12"/>
  <c r="Q63" i="12"/>
  <c r="Q64" i="12"/>
  <c r="Q53" i="12"/>
  <c r="S53" i="12"/>
  <c r="AO54" i="12"/>
  <c r="AO55" i="12"/>
  <c r="AO56" i="12"/>
  <c r="AO57" i="12"/>
  <c r="AO58" i="12"/>
  <c r="AO59" i="12"/>
  <c r="AO60" i="12"/>
  <c r="AO61" i="12"/>
  <c r="AO62" i="12"/>
  <c r="T37" i="12"/>
  <c r="S39" i="12"/>
  <c r="S32" i="12"/>
  <c r="R36" i="12"/>
  <c r="Q42" i="12"/>
  <c r="Q31" i="12"/>
  <c r="T14" i="12"/>
  <c r="T6" i="12"/>
  <c r="S10" i="12"/>
  <c r="R17" i="12"/>
  <c r="R8" i="12"/>
  <c r="Q14" i="12"/>
  <c r="Q8" i="12"/>
  <c r="T38" i="12"/>
  <c r="T28" i="12"/>
  <c r="S35" i="12"/>
  <c r="R42" i="12"/>
  <c r="R33" i="12"/>
  <c r="Q38" i="12"/>
  <c r="Q29" i="12"/>
  <c r="T12" i="12"/>
  <c r="T4" i="12"/>
  <c r="S11" i="12"/>
  <c r="R19" i="12"/>
  <c r="R12" i="12"/>
  <c r="R4" i="12"/>
  <c r="Q10" i="12"/>
  <c r="T36" i="12"/>
  <c r="S43" i="12"/>
  <c r="S33" i="12"/>
  <c r="R38" i="12"/>
  <c r="R29" i="12"/>
  <c r="Q35" i="12"/>
  <c r="T13" i="12"/>
  <c r="T5" i="12"/>
  <c r="S12" i="12"/>
  <c r="R18" i="12"/>
  <c r="R9" i="12"/>
  <c r="Q15" i="12"/>
  <c r="Q7" i="12"/>
  <c r="T35" i="12"/>
  <c r="S42" i="12"/>
  <c r="S31" i="12"/>
  <c r="R37" i="12"/>
  <c r="R31" i="12"/>
  <c r="Q37" i="12"/>
  <c r="Q28" i="12"/>
  <c r="T10" i="12"/>
  <c r="S19" i="12"/>
  <c r="S9" i="12"/>
  <c r="R15" i="12"/>
  <c r="R6" i="12"/>
  <c r="Q12" i="12"/>
  <c r="T33" i="12"/>
  <c r="R43" i="12"/>
  <c r="Q43" i="12"/>
  <c r="Q30" i="12"/>
  <c r="T11" i="12"/>
  <c r="S17" i="12"/>
  <c r="S8" i="12"/>
  <c r="R13" i="12"/>
  <c r="Q18" i="12"/>
  <c r="Q5" i="12"/>
  <c r="T43" i="12"/>
  <c r="T32" i="12"/>
  <c r="T31" i="12"/>
  <c r="S37" i="12"/>
  <c r="S30" i="12"/>
  <c r="R35" i="12"/>
  <c r="R28" i="12"/>
  <c r="Q32" i="12"/>
  <c r="T19" i="12"/>
  <c r="T9" i="12"/>
  <c r="S15" i="12"/>
  <c r="S5" i="12"/>
  <c r="R11" i="12"/>
  <c r="Q19" i="12"/>
  <c r="Q9" i="12"/>
  <c r="T39" i="12"/>
  <c r="S38" i="12"/>
  <c r="S28" i="12"/>
  <c r="R32" i="12"/>
  <c r="Q36" i="12"/>
  <c r="T15" i="12"/>
  <c r="S18" i="12"/>
  <c r="S6" i="12"/>
  <c r="R7" i="12"/>
  <c r="Q13" i="12"/>
  <c r="Q4" i="12"/>
  <c r="T42" i="12"/>
  <c r="T29" i="12"/>
  <c r="S34" i="12"/>
  <c r="R39" i="12"/>
  <c r="R30" i="12"/>
  <c r="Q34" i="12"/>
  <c r="T17" i="12"/>
  <c r="T7" i="12"/>
  <c r="S13" i="12"/>
  <c r="S4" i="12"/>
  <c r="R10" i="12"/>
  <c r="Q17" i="12"/>
  <c r="Q6" i="12"/>
  <c r="T34" i="12"/>
  <c r="T30" i="12"/>
  <c r="S36" i="12"/>
  <c r="S29" i="12"/>
  <c r="R34" i="12"/>
  <c r="Q39" i="12"/>
  <c r="Q33" i="12"/>
  <c r="T18" i="12"/>
  <c r="T8" i="12"/>
  <c r="S14" i="12"/>
  <c r="S7" i="12"/>
  <c r="R14" i="12"/>
  <c r="R5" i="12"/>
  <c r="Q11" i="12"/>
  <c r="L55" i="12"/>
  <c r="O35" i="12"/>
  <c r="N43" i="12"/>
  <c r="N33" i="12"/>
  <c r="U42" i="12"/>
  <c r="U31" i="12"/>
  <c r="L36" i="12"/>
  <c r="L29" i="12"/>
  <c r="L54" i="12"/>
  <c r="O34" i="12"/>
  <c r="N39" i="12"/>
  <c r="U43" i="12"/>
  <c r="U34" i="12"/>
  <c r="L42" i="12"/>
  <c r="L32" i="12"/>
  <c r="L57" i="12"/>
  <c r="O43" i="12"/>
  <c r="O33" i="12"/>
  <c r="N36" i="12"/>
  <c r="N28" i="12"/>
  <c r="U33" i="12"/>
  <c r="L38" i="12"/>
  <c r="L28" i="12"/>
  <c r="L59" i="12"/>
  <c r="O39" i="12"/>
  <c r="O30" i="12"/>
  <c r="N37" i="12"/>
  <c r="N30" i="12"/>
  <c r="U35" i="12"/>
  <c r="U28" i="12"/>
  <c r="L34" i="12"/>
  <c r="L60" i="12"/>
  <c r="O38" i="12"/>
  <c r="O28" i="12"/>
  <c r="N34" i="12"/>
  <c r="U39" i="12"/>
  <c r="U32" i="12"/>
  <c r="L39" i="12"/>
  <c r="L31" i="12"/>
  <c r="L58" i="12"/>
  <c r="L53" i="12"/>
  <c r="O36" i="12"/>
  <c r="O29" i="12"/>
  <c r="N35" i="12"/>
  <c r="N31" i="12"/>
  <c r="U38" i="12"/>
  <c r="U30" i="12"/>
  <c r="L37" i="12"/>
  <c r="L56" i="12"/>
  <c r="O37" i="12"/>
  <c r="O31" i="12"/>
  <c r="N42" i="12"/>
  <c r="N29" i="12"/>
  <c r="U36" i="12"/>
  <c r="U29" i="12"/>
  <c r="L35" i="12"/>
  <c r="L30" i="12"/>
  <c r="N53" i="12"/>
  <c r="O42" i="12"/>
  <c r="O32" i="12"/>
  <c r="N38" i="12"/>
  <c r="N32" i="12"/>
  <c r="U37" i="12"/>
  <c r="L43" i="12"/>
  <c r="L33" i="12"/>
  <c r="D281" i="4"/>
  <c r="D280" i="4"/>
  <c r="D279" i="4"/>
  <c r="D278" i="4"/>
  <c r="D277" i="4"/>
  <c r="D276" i="4"/>
  <c r="D301" i="4"/>
  <c r="D294" i="4"/>
  <c r="D297" i="4"/>
  <c r="L5" i="12"/>
  <c r="L4" i="12"/>
  <c r="L6" i="12"/>
  <c r="U64" i="12"/>
  <c r="U63" i="12"/>
  <c r="U62" i="12"/>
  <c r="U61" i="12"/>
  <c r="U60" i="12"/>
  <c r="U59" i="12"/>
  <c r="U58" i="12"/>
  <c r="U57" i="12"/>
  <c r="U56" i="12"/>
  <c r="U55" i="12"/>
  <c r="U54" i="12"/>
  <c r="U53" i="12"/>
  <c r="N64" i="12"/>
  <c r="N63" i="12"/>
  <c r="N62" i="12"/>
  <c r="N61" i="12"/>
  <c r="N60" i="12"/>
  <c r="N59" i="12"/>
  <c r="N58" i="12"/>
  <c r="N57" i="12"/>
  <c r="N56" i="12"/>
  <c r="N55" i="12"/>
  <c r="N54" i="12"/>
  <c r="M64" i="12"/>
  <c r="M63" i="12"/>
  <c r="M62" i="12"/>
  <c r="M61" i="12"/>
  <c r="M60" i="12"/>
  <c r="M59" i="12"/>
  <c r="M58" i="12"/>
  <c r="M57" i="12"/>
  <c r="M56" i="12"/>
  <c r="M54" i="12"/>
  <c r="M53" i="12"/>
  <c r="L64" i="12"/>
  <c r="L62" i="12"/>
  <c r="O18" i="12"/>
  <c r="O15" i="12"/>
  <c r="O13" i="12"/>
  <c r="O11" i="12"/>
  <c r="O9" i="12"/>
  <c r="O7" i="12"/>
  <c r="O6" i="12"/>
  <c r="O4" i="12"/>
  <c r="N18" i="12"/>
  <c r="N15" i="12"/>
  <c r="N13" i="12"/>
  <c r="N11" i="12"/>
  <c r="N9" i="12"/>
  <c r="N7" i="12"/>
  <c r="N5" i="12"/>
  <c r="M18" i="12"/>
  <c r="M15" i="12"/>
  <c r="M13" i="12"/>
  <c r="M11" i="12"/>
  <c r="M5" i="12"/>
  <c r="L19" i="12"/>
  <c r="L8" i="12"/>
  <c r="L10" i="12"/>
  <c r="L11" i="12"/>
  <c r="L13" i="12"/>
  <c r="L15" i="12"/>
  <c r="M55" i="12"/>
  <c r="L63" i="12"/>
  <c r="L61" i="12"/>
  <c r="O19" i="12"/>
  <c r="O17" i="12"/>
  <c r="O14" i="12"/>
  <c r="O12" i="12"/>
  <c r="O10" i="12"/>
  <c r="O8" i="12"/>
  <c r="O5" i="12"/>
  <c r="N19" i="12"/>
  <c r="N17" i="12"/>
  <c r="N14" i="12"/>
  <c r="N12" i="12"/>
  <c r="N10" i="12"/>
  <c r="N8" i="12"/>
  <c r="N6" i="12"/>
  <c r="N4" i="12"/>
  <c r="M19" i="12"/>
  <c r="M17" i="12"/>
  <c r="M14" i="12"/>
  <c r="M12" i="12"/>
  <c r="M10" i="12"/>
  <c r="M9" i="12"/>
  <c r="M8" i="12"/>
  <c r="M7" i="12"/>
  <c r="M6" i="12"/>
  <c r="M4" i="12"/>
  <c r="L18" i="12"/>
  <c r="L17" i="12"/>
  <c r="L7" i="12"/>
  <c r="L9" i="12"/>
  <c r="L12" i="12"/>
  <c r="L14" i="12"/>
  <c r="B76" i="12"/>
  <c r="D78" i="12"/>
  <c r="C76" i="12"/>
  <c r="C85" i="12"/>
  <c r="B59" i="12"/>
  <c r="B53" i="12"/>
  <c r="D58" i="12"/>
  <c r="C62" i="12"/>
  <c r="C55" i="12"/>
  <c r="B36" i="12"/>
  <c r="D39" i="12"/>
  <c r="D33" i="12"/>
  <c r="C39" i="12"/>
  <c r="C33" i="12"/>
  <c r="B75" i="12"/>
  <c r="C90" i="12"/>
  <c r="B62" i="12"/>
  <c r="B54" i="12"/>
  <c r="D59" i="12"/>
  <c r="C64" i="12"/>
  <c r="C56" i="12"/>
  <c r="B38" i="12"/>
  <c r="B31" i="12"/>
  <c r="D35" i="12"/>
  <c r="D28" i="12"/>
  <c r="C34" i="12"/>
  <c r="C77" i="12"/>
  <c r="C79" i="12"/>
  <c r="C74" i="12"/>
  <c r="B56" i="12"/>
  <c r="D53" i="12"/>
  <c r="C58" i="12"/>
  <c r="B40" i="12"/>
  <c r="B33" i="12"/>
  <c r="D38" i="12"/>
  <c r="D31" i="12"/>
  <c r="C38" i="12"/>
  <c r="C31" i="12"/>
  <c r="B74" i="12"/>
  <c r="C78" i="12"/>
  <c r="B60" i="12"/>
  <c r="D62" i="12"/>
  <c r="D56" i="12"/>
  <c r="C61" i="12"/>
  <c r="C54" i="12"/>
  <c r="B34" i="12"/>
  <c r="B30" i="12"/>
  <c r="D34" i="12"/>
  <c r="C43" i="12"/>
  <c r="C35" i="12"/>
  <c r="C28" i="12"/>
  <c r="B78" i="12"/>
  <c r="D79" i="12"/>
  <c r="D75" i="12"/>
  <c r="B90" i="12"/>
  <c r="B57" i="12"/>
  <c r="D63" i="12"/>
  <c r="D57" i="12"/>
  <c r="C63" i="12"/>
  <c r="C57" i="12"/>
  <c r="B39" i="12"/>
  <c r="B32" i="12"/>
  <c r="D37" i="12"/>
  <c r="D30" i="12"/>
  <c r="C37" i="12"/>
  <c r="C30" i="12"/>
  <c r="B77" i="12"/>
  <c r="D76" i="12"/>
  <c r="B85" i="12"/>
  <c r="B61" i="12"/>
  <c r="B55" i="12"/>
  <c r="D61" i="12"/>
  <c r="D55" i="12"/>
  <c r="C59" i="12"/>
  <c r="B41" i="12"/>
  <c r="B35" i="12"/>
  <c r="D43" i="12"/>
  <c r="D36" i="12"/>
  <c r="D29" i="12"/>
  <c r="C36" i="12"/>
  <c r="C29" i="12"/>
  <c r="B79" i="12"/>
  <c r="D77" i="12"/>
  <c r="D74" i="12"/>
  <c r="C75" i="12"/>
  <c r="B58" i="12"/>
  <c r="D64" i="12"/>
  <c r="D60" i="12"/>
  <c r="D54" i="12"/>
  <c r="C60" i="12"/>
  <c r="C53" i="12"/>
  <c r="B37" i="12"/>
  <c r="D42" i="12"/>
  <c r="D32" i="12"/>
  <c r="C42" i="12"/>
  <c r="C32" i="12"/>
  <c r="D198" i="5"/>
  <c r="D199" i="5"/>
  <c r="D200" i="5"/>
  <c r="D223" i="5"/>
  <c r="D225" i="5"/>
  <c r="D231" i="5"/>
  <c r="D229" i="5"/>
  <c r="B18" i="12"/>
  <c r="B12" i="12"/>
  <c r="B9" i="12"/>
  <c r="B7" i="12"/>
  <c r="B4" i="12"/>
  <c r="D18" i="12"/>
  <c r="D15" i="12"/>
  <c r="D12" i="12"/>
  <c r="D9" i="12"/>
  <c r="D6" i="12"/>
  <c r="C19" i="12"/>
  <c r="C17" i="12"/>
  <c r="C13" i="12"/>
  <c r="C10" i="12"/>
  <c r="C7" i="12"/>
  <c r="C5" i="12"/>
  <c r="B16" i="12"/>
  <c r="B11" i="12"/>
  <c r="B8" i="12"/>
  <c r="B5" i="12"/>
  <c r="D19" i="12"/>
  <c r="D14" i="12"/>
  <c r="D11" i="12"/>
  <c r="D7" i="12"/>
  <c r="D4" i="12"/>
  <c r="C18" i="12"/>
  <c r="C14" i="12"/>
  <c r="C11" i="12"/>
  <c r="C8" i="12"/>
  <c r="C4" i="12"/>
  <c r="B17" i="12"/>
  <c r="B13" i="12"/>
  <c r="B10" i="12"/>
  <c r="B6" i="12"/>
  <c r="D20" i="12"/>
  <c r="D17" i="12"/>
  <c r="D13" i="12"/>
  <c r="D10" i="12"/>
  <c r="D8" i="12"/>
  <c r="D5" i="12"/>
  <c r="C20" i="12"/>
  <c r="C15" i="12"/>
  <c r="C12" i="12"/>
  <c r="C9" i="12"/>
  <c r="C6" i="12"/>
  <c r="D215" i="10"/>
  <c r="D199" i="10"/>
  <c r="D198" i="10"/>
  <c r="D188" i="10"/>
  <c r="D182" i="10"/>
  <c r="D185" i="10"/>
  <c r="D181" i="10"/>
  <c r="D183" i="10"/>
  <c r="D186" i="10"/>
  <c r="D187" i="10"/>
  <c r="D191" i="10"/>
  <c r="D192" i="10"/>
  <c r="D189" i="10"/>
  <c r="D190" i="10"/>
  <c r="D184" i="10"/>
  <c r="D168" i="10"/>
  <c r="D171" i="10"/>
  <c r="D172" i="10"/>
  <c r="D173" i="10"/>
  <c r="D169" i="10"/>
  <c r="D174" i="10"/>
  <c r="D176" i="10"/>
  <c r="D166" i="10"/>
  <c r="D177" i="10"/>
  <c r="D167" i="10"/>
  <c r="D170" i="10"/>
  <c r="D175" i="10"/>
  <c r="D161" i="10"/>
  <c r="D157" i="10"/>
  <c r="D159" i="10"/>
  <c r="D160" i="10"/>
  <c r="D158" i="10"/>
  <c r="D156" i="10"/>
  <c r="D155" i="10"/>
  <c r="D153" i="10"/>
  <c r="D162" i="10"/>
  <c r="D151" i="10"/>
  <c r="D154" i="10"/>
  <c r="D152" i="10"/>
  <c r="D141" i="10"/>
  <c r="D136" i="10"/>
  <c r="D139" i="10"/>
  <c r="D143" i="10"/>
  <c r="D134" i="10"/>
  <c r="D137" i="10"/>
  <c r="D144" i="10"/>
  <c r="D140" i="10"/>
  <c r="D138" i="10"/>
  <c r="D145" i="10"/>
  <c r="D142" i="10"/>
  <c r="D135" i="10"/>
  <c r="D123" i="10"/>
  <c r="D119" i="10"/>
  <c r="D116" i="10"/>
  <c r="D109" i="10"/>
  <c r="D117" i="10"/>
  <c r="D114" i="10"/>
  <c r="D111" i="10"/>
  <c r="D110" i="10"/>
  <c r="D120" i="10"/>
  <c r="D115" i="10"/>
  <c r="D113" i="10"/>
  <c r="D124" i="10"/>
  <c r="D118" i="10"/>
  <c r="D112" i="10"/>
  <c r="D101" i="10"/>
  <c r="D95" i="10"/>
  <c r="D96" i="10"/>
  <c r="D99" i="10"/>
  <c r="D94" i="10"/>
  <c r="D97" i="10"/>
  <c r="D90" i="10"/>
  <c r="D91" i="10"/>
  <c r="D100" i="10"/>
  <c r="D98" i="10"/>
  <c r="D92" i="10"/>
  <c r="D105" i="10"/>
  <c r="D93" i="10"/>
  <c r="D104" i="10"/>
  <c r="D58" i="10"/>
  <c r="D61" i="10"/>
  <c r="D72" i="10"/>
  <c r="D63" i="10"/>
  <c r="D64" i="10"/>
  <c r="D65" i="10"/>
  <c r="D70" i="10"/>
  <c r="D67" i="10"/>
  <c r="D62" i="10"/>
  <c r="D71" i="10"/>
  <c r="D66" i="10"/>
  <c r="D60" i="10"/>
  <c r="D57" i="10"/>
  <c r="D56" i="10"/>
  <c r="D59" i="10"/>
  <c r="D69" i="10"/>
  <c r="D41" i="10"/>
  <c r="D44" i="10"/>
  <c r="D51" i="10"/>
  <c r="D52" i="10"/>
  <c r="D47" i="10"/>
  <c r="D42" i="10"/>
  <c r="D37" i="10"/>
  <c r="D38" i="10"/>
  <c r="D36" i="10"/>
  <c r="D46" i="10"/>
  <c r="D39" i="10"/>
  <c r="D40" i="10"/>
  <c r="D49" i="10"/>
  <c r="D43" i="10"/>
  <c r="D45" i="10"/>
  <c r="D50" i="10"/>
  <c r="D20" i="10"/>
  <c r="D30" i="10"/>
  <c r="D29" i="10"/>
  <c r="D23" i="10"/>
  <c r="D18" i="10"/>
  <c r="D22" i="10"/>
  <c r="D16" i="10"/>
  <c r="D21" i="10"/>
  <c r="D25" i="10"/>
  <c r="D27" i="10"/>
  <c r="D26" i="10"/>
  <c r="D32" i="10"/>
  <c r="D31" i="10"/>
  <c r="D24" i="10"/>
  <c r="D19" i="10"/>
  <c r="D17" i="10"/>
  <c r="D154" i="9"/>
  <c r="D150" i="9"/>
  <c r="D149" i="9"/>
  <c r="D155" i="9"/>
  <c r="D152" i="9"/>
  <c r="D148" i="9"/>
  <c r="D153" i="9"/>
  <c r="D151" i="9"/>
  <c r="D140" i="9"/>
  <c r="D142" i="9"/>
  <c r="D144" i="9"/>
  <c r="D137" i="9"/>
  <c r="D139" i="9"/>
  <c r="D141" i="9"/>
  <c r="D143" i="9"/>
  <c r="D138" i="9"/>
  <c r="A141" i="9"/>
  <c r="A142" i="9"/>
  <c r="A153" i="9"/>
  <c r="A149" i="9"/>
  <c r="A140" i="9"/>
  <c r="A139" i="9"/>
  <c r="A143" i="9"/>
  <c r="A137" i="9"/>
  <c r="A148" i="9"/>
  <c r="A138" i="9"/>
  <c r="A144" i="9"/>
  <c r="A155" i="9"/>
  <c r="A152" i="9"/>
  <c r="A151" i="9"/>
  <c r="A150" i="9"/>
  <c r="A154" i="9"/>
  <c r="D129" i="9"/>
  <c r="D131" i="9"/>
  <c r="D123" i="9"/>
  <c r="D128" i="9"/>
  <c r="D121" i="9"/>
  <c r="D124" i="9"/>
  <c r="D120" i="9"/>
  <c r="D127" i="9"/>
  <c r="D126" i="9"/>
  <c r="D125" i="9"/>
  <c r="D130" i="9"/>
  <c r="D122" i="9"/>
  <c r="D111" i="9"/>
  <c r="D107" i="9"/>
  <c r="D109" i="9"/>
  <c r="D113" i="9"/>
  <c r="D114" i="9"/>
  <c r="D108" i="9"/>
  <c r="D106" i="9"/>
  <c r="D105" i="9"/>
  <c r="D115" i="9"/>
  <c r="D116" i="9"/>
  <c r="D110" i="9"/>
  <c r="D112" i="9"/>
  <c r="A111" i="9"/>
  <c r="A108" i="9"/>
  <c r="A121" i="9"/>
  <c r="A112" i="9"/>
  <c r="A110" i="9"/>
  <c r="A120" i="9"/>
  <c r="A126" i="9"/>
  <c r="A123" i="9"/>
  <c r="A129" i="9"/>
  <c r="A127" i="9"/>
  <c r="A105" i="9"/>
  <c r="A131" i="9"/>
  <c r="A114" i="9"/>
  <c r="A116" i="9"/>
  <c r="A115" i="9"/>
  <c r="A109" i="9"/>
  <c r="A125" i="9"/>
  <c r="A124" i="9"/>
  <c r="A130" i="9"/>
  <c r="A122" i="9"/>
  <c r="A128" i="9"/>
  <c r="A113" i="9"/>
  <c r="A106" i="9"/>
  <c r="A107" i="9"/>
  <c r="D92" i="9"/>
  <c r="D89" i="9"/>
  <c r="D98" i="9"/>
  <c r="D88" i="9"/>
  <c r="D99" i="9"/>
  <c r="D97" i="9"/>
  <c r="D93" i="9"/>
  <c r="D90" i="9"/>
  <c r="D95" i="9"/>
  <c r="D96" i="9"/>
  <c r="D91" i="9"/>
  <c r="D94" i="9"/>
  <c r="D77" i="9"/>
  <c r="D73" i="9"/>
  <c r="D74" i="9"/>
  <c r="D82" i="9"/>
  <c r="D80" i="9"/>
  <c r="D75" i="9"/>
  <c r="D78" i="9"/>
  <c r="D79" i="9"/>
  <c r="D81" i="9"/>
  <c r="D76" i="9"/>
  <c r="D84" i="9"/>
  <c r="D83" i="9"/>
  <c r="A91" i="9"/>
  <c r="A75" i="9"/>
  <c r="A89" i="9"/>
  <c r="A96" i="9"/>
  <c r="A78" i="9"/>
  <c r="A82" i="9"/>
  <c r="A97" i="9"/>
  <c r="A98" i="9"/>
  <c r="A79" i="9"/>
  <c r="A92" i="9"/>
  <c r="A76" i="9"/>
  <c r="A83" i="9"/>
  <c r="A95" i="9"/>
  <c r="A94" i="9"/>
  <c r="A90" i="9"/>
  <c r="A73" i="9"/>
  <c r="A93" i="9"/>
  <c r="A74" i="9"/>
  <c r="A77" i="9"/>
  <c r="A99" i="9"/>
  <c r="A80" i="9"/>
  <c r="A84" i="9"/>
  <c r="A81" i="9"/>
  <c r="A88" i="9"/>
  <c r="D42" i="9"/>
  <c r="D45" i="9"/>
  <c r="D46" i="9"/>
  <c r="D53" i="9"/>
  <c r="D47" i="9"/>
  <c r="D40" i="9"/>
  <c r="D49" i="9"/>
  <c r="D44" i="9"/>
  <c r="D48" i="9"/>
  <c r="D41" i="9"/>
  <c r="D52" i="9"/>
  <c r="D50" i="9"/>
  <c r="D43" i="9"/>
  <c r="D39" i="9"/>
  <c r="D19" i="9"/>
  <c r="D17" i="9"/>
  <c r="D20" i="9"/>
  <c r="D18" i="9"/>
  <c r="D22" i="9"/>
  <c r="D21" i="9"/>
  <c r="A33" i="9"/>
  <c r="A27" i="9"/>
  <c r="A49" i="9"/>
  <c r="A47" i="9"/>
  <c r="A46" i="9"/>
  <c r="A18" i="9"/>
  <c r="A29" i="9"/>
  <c r="A21" i="9"/>
  <c r="A48" i="9"/>
  <c r="A45" i="9"/>
  <c r="A43" i="9"/>
  <c r="A17" i="9"/>
  <c r="A30" i="9"/>
  <c r="A26" i="9"/>
  <c r="A22" i="9"/>
  <c r="A41" i="9"/>
  <c r="A34" i="9"/>
  <c r="A50" i="9"/>
  <c r="A52" i="9"/>
  <c r="A28" i="9"/>
  <c r="A44" i="9"/>
  <c r="A53" i="9"/>
  <c r="A42" i="9"/>
  <c r="A40" i="9"/>
  <c r="A20" i="9"/>
  <c r="A39" i="9"/>
  <c r="A32" i="9"/>
  <c r="A19" i="9"/>
  <c r="D290" i="8"/>
  <c r="D287" i="8"/>
  <c r="D291" i="8"/>
  <c r="D289" i="8"/>
  <c r="D288" i="8"/>
  <c r="D294" i="8"/>
  <c r="D293" i="8"/>
  <c r="D292" i="8"/>
  <c r="D280" i="8"/>
  <c r="D281" i="8"/>
  <c r="D279" i="8"/>
  <c r="D282" i="8"/>
  <c r="D283" i="8"/>
  <c r="D278" i="8"/>
  <c r="D268" i="8"/>
  <c r="D274" i="8"/>
  <c r="D273" i="8"/>
  <c r="D271" i="8"/>
  <c r="D269" i="8"/>
  <c r="D270" i="8"/>
  <c r="D272" i="8"/>
  <c r="D261" i="8"/>
  <c r="D263" i="8"/>
  <c r="D260" i="8"/>
  <c r="D258" i="8"/>
  <c r="D262" i="8"/>
  <c r="D264" i="8"/>
  <c r="D259" i="8"/>
  <c r="A274" i="8"/>
  <c r="A271" i="8"/>
  <c r="A294" i="8"/>
  <c r="A264" i="8"/>
  <c r="A273" i="8"/>
  <c r="A281" i="8"/>
  <c r="A279" i="8"/>
  <c r="A269" i="8"/>
  <c r="A293" i="8"/>
  <c r="A283" i="8"/>
  <c r="A289" i="8"/>
  <c r="A282" i="8"/>
  <c r="A280" i="8"/>
  <c r="A270" i="8"/>
  <c r="A268" i="8"/>
  <c r="A262" i="8"/>
  <c r="A290" i="8"/>
  <c r="A258" i="8"/>
  <c r="A272" i="8"/>
  <c r="A259" i="8"/>
  <c r="A292" i="8"/>
  <c r="A291" i="8"/>
  <c r="A260" i="8"/>
  <c r="A278" i="8"/>
  <c r="A263" i="8"/>
  <c r="A287" i="8"/>
  <c r="A288" i="8"/>
  <c r="A261" i="8"/>
  <c r="D241" i="8"/>
  <c r="D243" i="8"/>
  <c r="D250" i="8"/>
  <c r="D248" i="8"/>
  <c r="D245" i="8"/>
  <c r="D251" i="8"/>
  <c r="D242" i="8"/>
  <c r="D252" i="8"/>
  <c r="D249" i="8"/>
  <c r="D244" i="8"/>
  <c r="D247" i="8"/>
  <c r="D246" i="8"/>
  <c r="D228" i="8"/>
  <c r="D226" i="8"/>
  <c r="D232" i="8"/>
  <c r="D231" i="8"/>
  <c r="D230" i="8"/>
  <c r="D237" i="8"/>
  <c r="D235" i="8"/>
  <c r="D236" i="8"/>
  <c r="D234" i="8"/>
  <c r="D233" i="8"/>
  <c r="D227" i="8"/>
  <c r="D229" i="8"/>
  <c r="D221" i="8"/>
  <c r="D222" i="8"/>
  <c r="D218" i="8"/>
  <c r="D215" i="8"/>
  <c r="D220" i="8"/>
  <c r="D214" i="8"/>
  <c r="D213" i="8"/>
  <c r="D217" i="8"/>
  <c r="D212" i="8"/>
  <c r="D216" i="8"/>
  <c r="D219" i="8"/>
  <c r="D211" i="8"/>
  <c r="D198" i="8"/>
  <c r="D203" i="8"/>
  <c r="D196" i="8"/>
  <c r="D206" i="8"/>
  <c r="D199" i="8"/>
  <c r="D207" i="8"/>
  <c r="D205" i="8"/>
  <c r="D201" i="8"/>
  <c r="D204" i="8"/>
  <c r="D202" i="8"/>
  <c r="D200" i="8"/>
  <c r="D197" i="8"/>
  <c r="A251" i="8"/>
  <c r="A246" i="8"/>
  <c r="A244" i="8"/>
  <c r="A206" i="8"/>
  <c r="A230" i="8"/>
  <c r="A231" i="8"/>
  <c r="A200" i="8"/>
  <c r="A202" i="8"/>
  <c r="A216" i="8"/>
  <c r="A234" i="8"/>
  <c r="A248" i="8"/>
  <c r="A226" i="8"/>
  <c r="A205" i="8"/>
  <c r="A214" i="8"/>
  <c r="A229" i="8"/>
  <c r="A241" i="8"/>
  <c r="A249" i="8"/>
  <c r="A242" i="8"/>
  <c r="A219" i="8"/>
  <c r="A199" i="8"/>
  <c r="A207" i="8"/>
  <c r="A198" i="8"/>
  <c r="A232" i="8"/>
  <c r="A213" i="8"/>
  <c r="A237" i="8"/>
  <c r="A220" i="8"/>
  <c r="A222" i="8"/>
  <c r="A201" i="8"/>
  <c r="A252" i="8"/>
  <c r="A212" i="8"/>
  <c r="A247" i="8"/>
  <c r="A243" i="8"/>
  <c r="A196" i="8"/>
  <c r="A227" i="8"/>
  <c r="A250" i="8"/>
  <c r="A245" i="8"/>
  <c r="A217" i="8"/>
  <c r="A236" i="8"/>
  <c r="A218" i="8"/>
  <c r="A211" i="8"/>
  <c r="A203" i="8"/>
  <c r="A233" i="8"/>
  <c r="A221" i="8"/>
  <c r="A228" i="8"/>
  <c r="A215" i="8"/>
  <c r="A204" i="8"/>
  <c r="A235" i="8"/>
  <c r="A197" i="8"/>
  <c r="D181" i="8"/>
  <c r="D179" i="8"/>
  <c r="D175" i="8"/>
  <c r="D176" i="8"/>
  <c r="D182" i="8"/>
  <c r="D180" i="8"/>
  <c r="D177" i="8"/>
  <c r="D178" i="8"/>
  <c r="D190" i="8"/>
  <c r="D183" i="8"/>
  <c r="D185" i="8"/>
  <c r="D189" i="8"/>
  <c r="D186" i="8"/>
  <c r="D184" i="8"/>
  <c r="D161" i="8"/>
  <c r="D158" i="8"/>
  <c r="D156" i="8"/>
  <c r="D170" i="8"/>
  <c r="D165" i="8"/>
  <c r="D163" i="8"/>
  <c r="D162" i="8"/>
  <c r="D171" i="8"/>
  <c r="D164" i="8"/>
  <c r="D166" i="8"/>
  <c r="D159" i="8"/>
  <c r="D157" i="8"/>
  <c r="D160" i="8"/>
  <c r="D167" i="8"/>
  <c r="D137" i="8"/>
  <c r="D146" i="8"/>
  <c r="D140" i="8"/>
  <c r="D139" i="8"/>
  <c r="D138" i="8"/>
  <c r="D142" i="8"/>
  <c r="D147" i="8"/>
  <c r="D151" i="8"/>
  <c r="D144" i="8"/>
  <c r="D145" i="8"/>
  <c r="D143" i="8"/>
  <c r="D152" i="8"/>
  <c r="D148" i="8"/>
  <c r="D141" i="8"/>
  <c r="D125" i="8"/>
  <c r="D124" i="8"/>
  <c r="D118" i="8"/>
  <c r="D128" i="8"/>
  <c r="D133" i="8"/>
  <c r="D120" i="8"/>
  <c r="D123" i="8"/>
  <c r="D121" i="8"/>
  <c r="D129" i="8"/>
  <c r="D127" i="8"/>
  <c r="D119" i="8"/>
  <c r="D132" i="8"/>
  <c r="D126" i="8"/>
  <c r="D122" i="8"/>
  <c r="A179" i="8"/>
  <c r="A161" i="8"/>
  <c r="A159" i="8"/>
  <c r="A157" i="8"/>
  <c r="A148" i="8"/>
  <c r="A147" i="8"/>
  <c r="A140" i="8"/>
  <c r="A121" i="8"/>
  <c r="A176" i="8"/>
  <c r="A144" i="8"/>
  <c r="A137" i="8"/>
  <c r="A132" i="8"/>
  <c r="A122" i="8"/>
  <c r="A119" i="8"/>
  <c r="A180" i="8"/>
  <c r="A178" i="8"/>
  <c r="A164" i="8"/>
  <c r="A162" i="8"/>
  <c r="A142" i="8"/>
  <c r="A129" i="8"/>
  <c r="A125" i="8"/>
  <c r="A123" i="8"/>
  <c r="A184" i="8"/>
  <c r="A186" i="8"/>
  <c r="A182" i="8"/>
  <c r="A165" i="8"/>
  <c r="A177" i="8"/>
  <c r="A160" i="8"/>
  <c r="A166" i="8"/>
  <c r="A156" i="8"/>
  <c r="A138" i="8"/>
  <c r="A126" i="8"/>
  <c r="A120" i="8"/>
  <c r="A185" i="8"/>
  <c r="A183" i="8"/>
  <c r="A146" i="8"/>
  <c r="A143" i="8"/>
  <c r="A141" i="8"/>
  <c r="A139" i="8"/>
  <c r="A167" i="8"/>
  <c r="A145" i="8"/>
  <c r="A127" i="8"/>
  <c r="A133" i="8"/>
  <c r="A163" i="8"/>
  <c r="A152" i="8"/>
  <c r="A171" i="8"/>
  <c r="A170" i="8"/>
  <c r="A151" i="8"/>
  <c r="A118" i="8"/>
  <c r="A175" i="8"/>
  <c r="A158" i="8"/>
  <c r="A190" i="8"/>
  <c r="A128" i="8"/>
  <c r="A189" i="8"/>
  <c r="A124" i="8"/>
  <c r="A181" i="8"/>
  <c r="D88" i="8"/>
  <c r="D82" i="8"/>
  <c r="D86" i="8"/>
  <c r="D83" i="8"/>
  <c r="D90" i="8"/>
  <c r="D77" i="8"/>
  <c r="D85" i="8"/>
  <c r="D79" i="8"/>
  <c r="D89" i="8"/>
  <c r="D84" i="8"/>
  <c r="D81" i="8"/>
  <c r="D75" i="8"/>
  <c r="D80" i="8"/>
  <c r="D76" i="8"/>
  <c r="D78" i="8"/>
  <c r="D67" i="8"/>
  <c r="D70" i="8"/>
  <c r="D64" i="8"/>
  <c r="D57" i="8"/>
  <c r="D66" i="8"/>
  <c r="D58" i="8"/>
  <c r="D65" i="8"/>
  <c r="D62" i="8"/>
  <c r="D61" i="8"/>
  <c r="D69" i="8"/>
  <c r="D63" i="8"/>
  <c r="D60" i="8"/>
  <c r="D59" i="8"/>
  <c r="D71" i="8"/>
  <c r="D56" i="8"/>
  <c r="D44" i="8"/>
  <c r="D41" i="8"/>
  <c r="D52" i="8"/>
  <c r="D46" i="8"/>
  <c r="D38" i="8"/>
  <c r="D47" i="8"/>
  <c r="D45" i="8"/>
  <c r="D37" i="8"/>
  <c r="D48" i="8"/>
  <c r="D51" i="8"/>
  <c r="D40" i="8"/>
  <c r="D39" i="8"/>
  <c r="D50" i="8"/>
  <c r="D43" i="8"/>
  <c r="D42" i="8"/>
  <c r="D25" i="8"/>
  <c r="D20" i="8"/>
  <c r="D26" i="8"/>
  <c r="D21" i="8"/>
  <c r="D22" i="8"/>
  <c r="D31" i="8"/>
  <c r="D23" i="8"/>
  <c r="D28" i="8"/>
  <c r="D32" i="8"/>
  <c r="D29" i="8"/>
  <c r="D18" i="8"/>
  <c r="D19" i="8"/>
  <c r="D24" i="8"/>
  <c r="D33" i="8"/>
  <c r="D27" i="8"/>
  <c r="A18" i="8"/>
  <c r="A20" i="8"/>
  <c r="A89" i="8"/>
  <c r="A21" i="8"/>
  <c r="A28" i="8"/>
  <c r="A31" i="8"/>
  <c r="A60" i="8"/>
  <c r="A51" i="8"/>
  <c r="A50" i="8"/>
  <c r="A38" i="8"/>
  <c r="A71" i="8"/>
  <c r="A45" i="8"/>
  <c r="A41" i="8"/>
  <c r="A43" i="8"/>
  <c r="A81" i="8"/>
  <c r="A56" i="8"/>
  <c r="A66" i="8"/>
  <c r="A88" i="8"/>
  <c r="A64" i="8"/>
  <c r="A19" i="8"/>
  <c r="A57" i="8"/>
  <c r="A62" i="8"/>
  <c r="A59" i="8"/>
  <c r="A33" i="8"/>
  <c r="A75" i="8"/>
  <c r="A84" i="8"/>
  <c r="A58" i="8"/>
  <c r="A85" i="8"/>
  <c r="A23" i="8"/>
  <c r="A61" i="8"/>
  <c r="A83" i="8"/>
  <c r="A25" i="8"/>
  <c r="A63" i="8"/>
  <c r="A80" i="8"/>
  <c r="A67" i="8"/>
  <c r="A65" i="8"/>
  <c r="A78" i="8"/>
  <c r="A40" i="8"/>
  <c r="A27" i="8"/>
  <c r="A70" i="8"/>
  <c r="A37" i="8"/>
  <c r="A32" i="8"/>
  <c r="A69" i="8"/>
  <c r="A79" i="8"/>
  <c r="A90" i="8"/>
  <c r="A86" i="8"/>
  <c r="A77" i="8"/>
  <c r="A22" i="8"/>
  <c r="A82" i="8"/>
  <c r="A76" i="8"/>
  <c r="A52" i="8"/>
  <c r="A48" i="8"/>
  <c r="A26" i="8"/>
  <c r="A46" i="8"/>
  <c r="A24" i="8"/>
  <c r="A44" i="8"/>
  <c r="A29" i="8"/>
  <c r="A47" i="8"/>
  <c r="A42" i="8"/>
  <c r="A39" i="8"/>
  <c r="D296" i="7"/>
  <c r="D290" i="7"/>
  <c r="D293" i="7"/>
  <c r="D291" i="7"/>
  <c r="D295" i="7"/>
  <c r="D292" i="7"/>
  <c r="D294" i="7"/>
  <c r="D289" i="7"/>
  <c r="D270" i="7"/>
  <c r="D273" i="7"/>
  <c r="D271" i="7"/>
  <c r="D272" i="7"/>
  <c r="D262" i="7"/>
  <c r="D261" i="7"/>
  <c r="D260" i="7"/>
  <c r="A275" i="7"/>
  <c r="A260" i="7"/>
  <c r="A263" i="7"/>
  <c r="A285" i="7"/>
  <c r="A295" i="7"/>
  <c r="A265" i="7"/>
  <c r="A272" i="7"/>
  <c r="A273" i="7"/>
  <c r="A266" i="7"/>
  <c r="A284" i="7"/>
  <c r="A289" i="7"/>
  <c r="A293" i="7"/>
  <c r="A281" i="7"/>
  <c r="A283" i="7"/>
  <c r="A296" i="7"/>
  <c r="A294" i="7"/>
  <c r="A291" i="7"/>
  <c r="A270" i="7"/>
  <c r="A262" i="7"/>
  <c r="A261" i="7"/>
  <c r="A280" i="7"/>
  <c r="A271" i="7"/>
  <c r="A264" i="7"/>
  <c r="A274" i="7"/>
  <c r="A290" i="7"/>
  <c r="A292" i="7"/>
  <c r="A279" i="7"/>
  <c r="A282" i="7"/>
  <c r="D253" i="7"/>
  <c r="D252" i="7"/>
  <c r="D244" i="7"/>
  <c r="D246" i="7"/>
  <c r="D243" i="7"/>
  <c r="D247" i="7"/>
  <c r="D254" i="7"/>
  <c r="D249" i="7"/>
  <c r="D248" i="7"/>
  <c r="D245" i="7"/>
  <c r="D239" i="7"/>
  <c r="D233" i="7"/>
  <c r="D228" i="7"/>
  <c r="D234" i="7"/>
  <c r="D235" i="7"/>
  <c r="D232" i="7"/>
  <c r="D227" i="7"/>
  <c r="D229" i="7"/>
  <c r="D236" i="7"/>
  <c r="D238" i="7"/>
  <c r="D231" i="7"/>
  <c r="D230" i="7"/>
  <c r="D237" i="7"/>
  <c r="D219" i="7"/>
  <c r="D222" i="7"/>
  <c r="D217" i="7"/>
  <c r="D214" i="7"/>
  <c r="D211" i="7"/>
  <c r="D220" i="7"/>
  <c r="D223" i="7"/>
  <c r="D218" i="7"/>
  <c r="D213" i="7"/>
  <c r="D212" i="7"/>
  <c r="D215" i="7"/>
  <c r="D216" i="7"/>
  <c r="D221" i="7"/>
  <c r="D207" i="7"/>
  <c r="D202" i="7"/>
  <c r="D201" i="7"/>
  <c r="D196" i="7"/>
  <c r="D198" i="7"/>
  <c r="D197" i="7"/>
  <c r="D206" i="7"/>
  <c r="D200" i="7"/>
  <c r="D199" i="7"/>
  <c r="D204" i="7"/>
  <c r="D203" i="7"/>
  <c r="D205" i="7"/>
  <c r="A254" i="7"/>
  <c r="A247" i="7"/>
  <c r="A246" i="7"/>
  <c r="A232" i="7"/>
  <c r="A218" i="7"/>
  <c r="A205" i="7"/>
  <c r="A239" i="7"/>
  <c r="A235" i="7"/>
  <c r="A227" i="7"/>
  <c r="A228" i="7"/>
  <c r="A202" i="7"/>
  <c r="A196" i="7"/>
  <c r="A214" i="7"/>
  <c r="A252" i="7"/>
  <c r="A234" i="7"/>
  <c r="A233" i="7"/>
  <c r="A215" i="7"/>
  <c r="A201" i="7"/>
  <c r="A199" i="7"/>
  <c r="A217" i="7"/>
  <c r="A243" i="7"/>
  <c r="A238" i="7"/>
  <c r="A237" i="7"/>
  <c r="A249" i="7"/>
  <c r="A236" i="7"/>
  <c r="A223" i="7"/>
  <c r="A231" i="7"/>
  <c r="A216" i="7"/>
  <c r="A229" i="7"/>
  <c r="A211" i="7"/>
  <c r="A222" i="7"/>
  <c r="A197" i="7"/>
  <c r="A219" i="7"/>
  <c r="A213" i="7"/>
  <c r="A198" i="7"/>
  <c r="A204" i="7"/>
  <c r="A253" i="7"/>
  <c r="A206" i="7"/>
  <c r="A248" i="7"/>
  <c r="A212" i="7"/>
  <c r="A245" i="7"/>
  <c r="A230" i="7"/>
  <c r="A244" i="7"/>
  <c r="A207" i="7"/>
  <c r="A221" i="7"/>
  <c r="A203" i="7"/>
  <c r="A220" i="7"/>
  <c r="A200" i="7"/>
  <c r="D190" i="7"/>
  <c r="D183" i="7"/>
  <c r="D184" i="7"/>
  <c r="D189" i="7"/>
  <c r="D178" i="7"/>
  <c r="D182" i="7"/>
  <c r="D177" i="7"/>
  <c r="D186" i="7"/>
  <c r="D185" i="7"/>
  <c r="D181" i="7"/>
  <c r="D179" i="7"/>
  <c r="D176" i="7"/>
  <c r="D180" i="7"/>
  <c r="D170" i="7"/>
  <c r="D166" i="7"/>
  <c r="D164" i="7"/>
  <c r="D165" i="7"/>
  <c r="D162" i="7"/>
  <c r="D159" i="7"/>
  <c r="D160" i="7"/>
  <c r="D167" i="7"/>
  <c r="D156" i="7"/>
  <c r="D171" i="7"/>
  <c r="D158" i="7"/>
  <c r="D163" i="7"/>
  <c r="D161" i="7"/>
  <c r="D157" i="7"/>
  <c r="D139" i="7"/>
  <c r="D146" i="7"/>
  <c r="D148" i="7"/>
  <c r="D141" i="7"/>
  <c r="D151" i="7"/>
  <c r="D138" i="7"/>
  <c r="D137" i="7"/>
  <c r="D152" i="7"/>
  <c r="D144" i="7"/>
  <c r="D143" i="7"/>
  <c r="D145" i="7"/>
  <c r="D147" i="7"/>
  <c r="D140" i="7"/>
  <c r="D142" i="7"/>
  <c r="D133" i="7"/>
  <c r="D132" i="7"/>
  <c r="D129" i="7"/>
  <c r="D121" i="7"/>
  <c r="D127" i="7"/>
  <c r="D123" i="7"/>
  <c r="D124" i="7"/>
  <c r="D122" i="7"/>
  <c r="D128" i="7"/>
  <c r="D126" i="7"/>
  <c r="D118" i="7"/>
  <c r="D125" i="7"/>
  <c r="D119" i="7"/>
  <c r="D120" i="7"/>
  <c r="A158" i="7"/>
  <c r="A152" i="7"/>
  <c r="A146" i="7"/>
  <c r="A127" i="7"/>
  <c r="A190" i="7"/>
  <c r="A182" i="7"/>
  <c r="A178" i="7"/>
  <c r="A171" i="7"/>
  <c r="A137" i="7"/>
  <c r="A133" i="7"/>
  <c r="A124" i="7"/>
  <c r="A118" i="7"/>
  <c r="A176" i="7"/>
  <c r="A186" i="7"/>
  <c r="A128" i="7"/>
  <c r="A141" i="7"/>
  <c r="A189" i="7"/>
  <c r="A184" i="7"/>
  <c r="A159" i="7"/>
  <c r="A129" i="7"/>
  <c r="A167" i="7"/>
  <c r="A132" i="7"/>
  <c r="A162" i="7"/>
  <c r="A156" i="7"/>
  <c r="A148" i="7"/>
  <c r="A181" i="7"/>
  <c r="A120" i="7"/>
  <c r="A138" i="7"/>
  <c r="A143" i="7"/>
  <c r="A121" i="7"/>
  <c r="A122" i="7"/>
  <c r="A123" i="7"/>
  <c r="A126" i="7"/>
  <c r="A140" i="7"/>
  <c r="A125" i="7"/>
  <c r="A183" i="7"/>
  <c r="A185" i="7"/>
  <c r="A164" i="7"/>
  <c r="A170" i="7"/>
  <c r="A165" i="7"/>
  <c r="A163" i="7"/>
  <c r="A144" i="7"/>
  <c r="A119" i="7"/>
  <c r="A142" i="7"/>
  <c r="A160" i="7"/>
  <c r="A180" i="7"/>
  <c r="A179" i="7"/>
  <c r="A177" i="7"/>
  <c r="A175" i="7"/>
  <c r="A157" i="7"/>
  <c r="A151" i="7"/>
  <c r="A147" i="7"/>
  <c r="A166" i="7"/>
  <c r="A145" i="7"/>
  <c r="A139" i="7"/>
  <c r="A161" i="7"/>
  <c r="D88" i="7"/>
  <c r="D84" i="7"/>
  <c r="D80" i="7"/>
  <c r="D82" i="7"/>
  <c r="D90" i="7"/>
  <c r="D75" i="7"/>
  <c r="D89" i="7"/>
  <c r="D78" i="7"/>
  <c r="D81" i="7"/>
  <c r="D83" i="7"/>
  <c r="D79" i="7"/>
  <c r="D76" i="7"/>
  <c r="D85" i="7"/>
  <c r="D86" i="7"/>
  <c r="D77" i="7"/>
  <c r="D63" i="7"/>
  <c r="D64" i="7"/>
  <c r="D71" i="7"/>
  <c r="D66" i="7"/>
  <c r="D67" i="7"/>
  <c r="D59" i="7"/>
  <c r="D60" i="7"/>
  <c r="D62" i="7"/>
  <c r="D61" i="7"/>
  <c r="D70" i="7"/>
  <c r="D65" i="7"/>
  <c r="D56" i="7"/>
  <c r="D69" i="7"/>
  <c r="D57" i="7"/>
  <c r="D58" i="7"/>
  <c r="D42" i="7"/>
  <c r="D51" i="7"/>
  <c r="D48" i="7"/>
  <c r="D47" i="7"/>
  <c r="D39" i="7"/>
  <c r="D38" i="7"/>
  <c r="D43" i="7"/>
  <c r="D44" i="7"/>
  <c r="D52" i="7"/>
  <c r="D40" i="7"/>
  <c r="D37" i="7"/>
  <c r="D46" i="7"/>
  <c r="D41" i="7"/>
  <c r="D50" i="7"/>
  <c r="D45" i="7"/>
  <c r="D24" i="7"/>
  <c r="D19" i="7"/>
  <c r="D33" i="7"/>
  <c r="D18" i="7"/>
  <c r="D28" i="7"/>
  <c r="D21" i="7"/>
  <c r="D32" i="7"/>
  <c r="D20" i="7"/>
  <c r="D22" i="7"/>
  <c r="D23" i="7"/>
  <c r="D25" i="7"/>
  <c r="D27" i="7"/>
  <c r="D29" i="7"/>
  <c r="D31" i="7"/>
  <c r="D26" i="7"/>
  <c r="A88" i="7"/>
  <c r="A50" i="7"/>
  <c r="A77" i="7"/>
  <c r="A76" i="7"/>
  <c r="A48" i="7"/>
  <c r="A19" i="7"/>
  <c r="A64" i="7"/>
  <c r="A21" i="7"/>
  <c r="A58" i="7"/>
  <c r="A43" i="7"/>
  <c r="A69" i="7"/>
  <c r="A71" i="7"/>
  <c r="A26" i="7"/>
  <c r="A23" i="7"/>
  <c r="A85" i="7"/>
  <c r="A83" i="7"/>
  <c r="A65" i="7"/>
  <c r="A86" i="7"/>
  <c r="A32" i="7"/>
  <c r="A84" i="7"/>
  <c r="A79" i="7"/>
  <c r="A46" i="7"/>
  <c r="A45" i="7"/>
  <c r="A18" i="7"/>
  <c r="A82" i="7"/>
  <c r="A25" i="7"/>
  <c r="A39" i="7"/>
  <c r="A27" i="7"/>
  <c r="A75" i="7"/>
  <c r="A28" i="7"/>
  <c r="A70" i="7"/>
  <c r="A31" i="7"/>
  <c r="A33" i="7"/>
  <c r="A20" i="7"/>
  <c r="A22" i="7"/>
  <c r="A24" i="7"/>
  <c r="A66" i="7"/>
  <c r="A29" i="7"/>
  <c r="A59" i="7"/>
  <c r="A80" i="7"/>
  <c r="A57" i="7"/>
  <c r="A41" i="7"/>
  <c r="A47" i="7"/>
  <c r="A90" i="7"/>
  <c r="A38" i="7"/>
  <c r="A40" i="7"/>
  <c r="A37" i="7"/>
  <c r="A89" i="7"/>
  <c r="A81" i="7"/>
  <c r="A78" i="7"/>
  <c r="A67" i="7"/>
  <c r="A63" i="7"/>
  <c r="A44" i="7"/>
  <c r="A61" i="7"/>
  <c r="A60" i="7"/>
  <c r="A51" i="7"/>
  <c r="A42" i="7"/>
  <c r="A56" i="7"/>
  <c r="A52" i="7"/>
  <c r="A62" i="7"/>
  <c r="D303" i="6"/>
  <c r="D306" i="6"/>
  <c r="D307" i="6"/>
  <c r="D309" i="6"/>
  <c r="D304" i="6"/>
  <c r="D302" i="6"/>
  <c r="D308" i="6"/>
  <c r="D305" i="6"/>
  <c r="D296" i="6"/>
  <c r="D294" i="6"/>
  <c r="D298" i="6"/>
  <c r="D293" i="6"/>
  <c r="D297" i="6"/>
  <c r="D295" i="6"/>
  <c r="D285" i="6"/>
  <c r="D283" i="6"/>
  <c r="D284" i="6"/>
  <c r="D288" i="6"/>
  <c r="D286" i="6"/>
  <c r="D289" i="6"/>
  <c r="D273" i="6"/>
  <c r="D277" i="6"/>
  <c r="D274" i="6"/>
  <c r="D279" i="6"/>
  <c r="D278" i="6"/>
  <c r="D275" i="6"/>
  <c r="D276" i="6"/>
  <c r="A294" i="6"/>
  <c r="A289" i="6"/>
  <c r="A286" i="6"/>
  <c r="A285" i="6"/>
  <c r="A296" i="6"/>
  <c r="A298" i="6"/>
  <c r="A308" i="6"/>
  <c r="A303" i="6"/>
  <c r="A302" i="6"/>
  <c r="A304" i="6"/>
  <c r="A275" i="6"/>
  <c r="A277" i="6"/>
  <c r="A297" i="6"/>
  <c r="A305" i="6"/>
  <c r="A306" i="6"/>
  <c r="A287" i="6"/>
  <c r="A279" i="6"/>
  <c r="A295" i="6"/>
  <c r="A293" i="6"/>
  <c r="A278" i="6"/>
  <c r="A276" i="6"/>
  <c r="A309" i="6"/>
  <c r="A283" i="6"/>
  <c r="A288" i="6"/>
  <c r="A284" i="6"/>
  <c r="A273" i="6"/>
  <c r="A274" i="6"/>
  <c r="A307" i="6"/>
  <c r="D254" i="6"/>
  <c r="D255" i="6"/>
  <c r="D257" i="6"/>
  <c r="D256" i="6"/>
  <c r="D253" i="6"/>
  <c r="D258" i="6"/>
  <c r="D242" i="6"/>
  <c r="D244" i="6"/>
  <c r="D239" i="6"/>
  <c r="D247" i="6"/>
  <c r="D241" i="6"/>
  <c r="D240" i="6"/>
  <c r="D248" i="6"/>
  <c r="D246" i="6"/>
  <c r="D243" i="6"/>
  <c r="D245" i="6"/>
  <c r="D249" i="6"/>
  <c r="D238" i="6"/>
  <c r="D226" i="6"/>
  <c r="D234" i="6"/>
  <c r="D233" i="6"/>
  <c r="D228" i="6"/>
  <c r="D232" i="6"/>
  <c r="D229" i="6"/>
  <c r="D231" i="6"/>
  <c r="D227" i="6"/>
  <c r="D230" i="6"/>
  <c r="D223" i="6"/>
  <c r="D224" i="6"/>
  <c r="D225" i="6"/>
  <c r="D216" i="6"/>
  <c r="D215" i="6"/>
  <c r="D217" i="6"/>
  <c r="D212" i="6"/>
  <c r="D208" i="6"/>
  <c r="D213" i="6"/>
  <c r="D211" i="6"/>
  <c r="D218" i="6"/>
  <c r="D210" i="6"/>
  <c r="D209" i="6"/>
  <c r="D219" i="6"/>
  <c r="D214" i="6"/>
  <c r="A262" i="6"/>
  <c r="A241" i="6"/>
  <c r="A232" i="6"/>
  <c r="A229" i="6"/>
  <c r="A228" i="6"/>
  <c r="A223" i="6"/>
  <c r="A218" i="6"/>
  <c r="A214" i="6"/>
  <c r="A209" i="6"/>
  <c r="A212" i="6"/>
  <c r="A238" i="6"/>
  <c r="A219" i="6"/>
  <c r="A217" i="6"/>
  <c r="A213" i="6"/>
  <c r="A263" i="6"/>
  <c r="A254" i="6"/>
  <c r="A243" i="6"/>
  <c r="A234" i="6"/>
  <c r="A233" i="6"/>
  <c r="A215" i="6"/>
  <c r="A211" i="6"/>
  <c r="A253" i="6"/>
  <c r="A258" i="6"/>
  <c r="A255" i="6"/>
  <c r="A257" i="6"/>
  <c r="A246" i="6"/>
  <c r="A240" i="6"/>
  <c r="A249" i="6"/>
  <c r="A247" i="6"/>
  <c r="A231" i="6"/>
  <c r="A230" i="6"/>
  <c r="A266" i="6"/>
  <c r="A210" i="6"/>
  <c r="A248" i="6"/>
  <c r="A244" i="6"/>
  <c r="A267" i="6"/>
  <c r="A265" i="6"/>
  <c r="A245" i="6"/>
  <c r="A239" i="6"/>
  <c r="A226" i="6"/>
  <c r="A225" i="6"/>
  <c r="A224" i="6"/>
  <c r="A216" i="6"/>
  <c r="A208" i="6"/>
  <c r="A264" i="6"/>
  <c r="A256" i="6"/>
  <c r="A242" i="6"/>
  <c r="A227" i="6"/>
  <c r="D192" i="6"/>
  <c r="D185" i="6"/>
  <c r="D187" i="6"/>
  <c r="D193" i="6"/>
  <c r="D188" i="6"/>
  <c r="D186" i="6"/>
  <c r="D189" i="6"/>
  <c r="D184" i="6"/>
  <c r="D190" i="6"/>
  <c r="D191" i="6"/>
  <c r="D165" i="6"/>
  <c r="D174" i="6"/>
  <c r="D166" i="6"/>
  <c r="D173" i="6"/>
  <c r="D167" i="6"/>
  <c r="D168" i="6"/>
  <c r="D169" i="6"/>
  <c r="D176" i="6"/>
  <c r="D179" i="6"/>
  <c r="D170" i="6"/>
  <c r="D171" i="6"/>
  <c r="D172" i="6"/>
  <c r="D175" i="6"/>
  <c r="D180" i="6"/>
  <c r="D150" i="6"/>
  <c r="D156" i="6"/>
  <c r="D152" i="6"/>
  <c r="D148" i="6"/>
  <c r="D161" i="6"/>
  <c r="D146" i="6"/>
  <c r="D149" i="6"/>
  <c r="D160" i="6"/>
  <c r="D154" i="6"/>
  <c r="D157" i="6"/>
  <c r="D147" i="6"/>
  <c r="D151" i="6"/>
  <c r="D155" i="6"/>
  <c r="D153" i="6"/>
  <c r="D131" i="6"/>
  <c r="D128" i="6"/>
  <c r="D133" i="6"/>
  <c r="D134" i="6"/>
  <c r="D130" i="6"/>
  <c r="D125" i="6"/>
  <c r="D126" i="6"/>
  <c r="D127" i="6"/>
  <c r="D129" i="6"/>
  <c r="D132" i="6"/>
  <c r="D124" i="6"/>
  <c r="A190" i="6"/>
  <c r="A184" i="6"/>
  <c r="A179" i="6"/>
  <c r="A171" i="6"/>
  <c r="A151" i="6"/>
  <c r="A150" i="6"/>
  <c r="A127" i="6"/>
  <c r="A193" i="6"/>
  <c r="A165" i="6"/>
  <c r="A155" i="6"/>
  <c r="A126" i="6"/>
  <c r="A202" i="6"/>
  <c r="A166" i="6"/>
  <c r="A156" i="6"/>
  <c r="A154" i="6"/>
  <c r="A148" i="6"/>
  <c r="A138" i="6"/>
  <c r="A125" i="6"/>
  <c r="A128" i="6"/>
  <c r="A130" i="6"/>
  <c r="A131" i="6"/>
  <c r="A153" i="6"/>
  <c r="A176" i="6"/>
  <c r="A191" i="6"/>
  <c r="A173" i="6"/>
  <c r="A161" i="6"/>
  <c r="A149" i="6"/>
  <c r="A141" i="6"/>
  <c r="A132" i="6"/>
  <c r="A169" i="6"/>
  <c r="A167" i="6"/>
  <c r="A142" i="6"/>
  <c r="A146" i="6"/>
  <c r="A172" i="6"/>
  <c r="A187" i="6"/>
  <c r="A192" i="6"/>
  <c r="A198" i="6"/>
  <c r="A197" i="6"/>
  <c r="A152" i="6"/>
  <c r="A147" i="6"/>
  <c r="A133" i="6"/>
  <c r="A160" i="6"/>
  <c r="A124" i="6"/>
  <c r="A129" i="6"/>
  <c r="A189" i="6"/>
  <c r="A188" i="6"/>
  <c r="A186" i="6"/>
  <c r="A175" i="6"/>
  <c r="A185" i="6"/>
  <c r="A180" i="6"/>
  <c r="A157" i="6"/>
  <c r="A134" i="6"/>
  <c r="A168" i="6"/>
  <c r="A170" i="6"/>
  <c r="A174" i="6"/>
  <c r="A201" i="6"/>
  <c r="D63" i="6"/>
  <c r="D64" i="6"/>
  <c r="D62" i="6"/>
  <c r="D59" i="6"/>
  <c r="D58" i="6"/>
  <c r="D61" i="6"/>
  <c r="D65" i="6"/>
  <c r="D66" i="6"/>
  <c r="D57" i="6"/>
  <c r="D56" i="6"/>
  <c r="D60" i="6"/>
  <c r="D46" i="6"/>
  <c r="D39" i="6"/>
  <c r="D37" i="6"/>
  <c r="D43" i="6"/>
  <c r="D40" i="6"/>
  <c r="D47" i="6"/>
  <c r="D38" i="6"/>
  <c r="D44" i="6"/>
  <c r="D41" i="6"/>
  <c r="D42" i="6"/>
  <c r="D45" i="6"/>
  <c r="D31" i="6"/>
  <c r="D22" i="6"/>
  <c r="D18" i="6"/>
  <c r="D19" i="6"/>
  <c r="D23" i="6"/>
  <c r="D27" i="6"/>
  <c r="D25" i="6"/>
  <c r="D24" i="6"/>
  <c r="D20" i="6"/>
  <c r="D32" i="6"/>
  <c r="D21" i="6"/>
  <c r="D33" i="6"/>
  <c r="D28" i="6"/>
  <c r="D26" i="6"/>
  <c r="D29" i="6"/>
  <c r="A21" i="6"/>
  <c r="A73" i="6"/>
  <c r="A40" i="6"/>
  <c r="A23" i="6"/>
  <c r="A87" i="6"/>
  <c r="A84" i="6"/>
  <c r="A27" i="6"/>
  <c r="A83" i="6"/>
  <c r="A82" i="6"/>
  <c r="A31" i="6"/>
  <c r="A42" i="6"/>
  <c r="A56" i="6"/>
  <c r="A24" i="6"/>
  <c r="A79" i="6"/>
  <c r="A46" i="6"/>
  <c r="A94" i="6"/>
  <c r="A39" i="6"/>
  <c r="A45" i="6"/>
  <c r="A48" i="6"/>
  <c r="A66" i="6"/>
  <c r="A63" i="6"/>
  <c r="A64" i="6"/>
  <c r="A70" i="6"/>
  <c r="A58" i="6"/>
  <c r="A62" i="6"/>
  <c r="A74" i="6"/>
  <c r="A60" i="6"/>
  <c r="A65" i="6"/>
  <c r="A57" i="6"/>
  <c r="A43" i="6"/>
  <c r="A41" i="6"/>
  <c r="A32" i="6"/>
  <c r="A25" i="6"/>
  <c r="A29" i="6"/>
  <c r="A18" i="6"/>
  <c r="A72" i="6"/>
  <c r="A37" i="6"/>
  <c r="A80" i="6"/>
  <c r="A78" i="6"/>
  <c r="A96" i="6"/>
  <c r="A92" i="6"/>
  <c r="A52" i="6"/>
  <c r="A33" i="6"/>
  <c r="A50" i="6"/>
  <c r="A59" i="6"/>
  <c r="A38" i="6"/>
  <c r="A47" i="6"/>
  <c r="A86" i="6"/>
  <c r="A85" i="6"/>
  <c r="A26" i="6"/>
  <c r="A81" i="6"/>
  <c r="A20" i="6"/>
  <c r="A61" i="6"/>
  <c r="A22" i="6"/>
  <c r="A44" i="6"/>
  <c r="A51" i="6"/>
  <c r="A28" i="6"/>
  <c r="A95" i="6"/>
  <c r="A19" i="6"/>
  <c r="A88" i="6"/>
  <c r="H209" i="5"/>
  <c r="B251" i="5" s="1"/>
  <c r="F207" i="5"/>
  <c r="B247" i="5" s="1"/>
  <c r="D218" i="5"/>
  <c r="D217" i="5"/>
  <c r="D216" i="5"/>
  <c r="D219" i="5"/>
  <c r="D214" i="5"/>
  <c r="D215" i="5"/>
  <c r="D209" i="5"/>
  <c r="D210" i="5"/>
  <c r="D205" i="5"/>
  <c r="D206" i="5"/>
  <c r="D208" i="5"/>
  <c r="D207" i="5"/>
  <c r="D197" i="5"/>
  <c r="D196" i="5"/>
  <c r="D201" i="5"/>
  <c r="A205" i="5"/>
  <c r="A197" i="5"/>
  <c r="A225" i="5"/>
  <c r="A206" i="5"/>
  <c r="A209" i="5"/>
  <c r="A200" i="5"/>
  <c r="A215" i="5"/>
  <c r="A218" i="5"/>
  <c r="A196" i="5"/>
  <c r="A216" i="5"/>
  <c r="A198" i="5"/>
  <c r="A217" i="5"/>
  <c r="A231" i="5"/>
  <c r="A199" i="5"/>
  <c r="A207" i="5"/>
  <c r="A201" i="5"/>
  <c r="A214" i="5"/>
  <c r="A229" i="5"/>
  <c r="A208" i="5"/>
  <c r="A210" i="5"/>
  <c r="A219" i="5"/>
  <c r="A223" i="5"/>
  <c r="D183" i="5"/>
  <c r="D184" i="5"/>
  <c r="D181" i="5"/>
  <c r="D182" i="5"/>
  <c r="D189" i="5"/>
  <c r="D190" i="5"/>
  <c r="D187" i="5"/>
  <c r="D185" i="5"/>
  <c r="D188" i="5"/>
  <c r="D186" i="5"/>
  <c r="D176" i="5"/>
  <c r="D170" i="5"/>
  <c r="D169" i="5"/>
  <c r="D167" i="5"/>
  <c r="D172" i="5"/>
  <c r="D173" i="5"/>
  <c r="D166" i="5"/>
  <c r="D175" i="5"/>
  <c r="D171" i="5"/>
  <c r="D174" i="5"/>
  <c r="D177" i="5"/>
  <c r="D168" i="5"/>
  <c r="D162" i="5"/>
  <c r="D161" i="5"/>
  <c r="D159" i="5"/>
  <c r="D154" i="5"/>
  <c r="D157" i="5"/>
  <c r="D160" i="5"/>
  <c r="D152" i="5"/>
  <c r="D151" i="5"/>
  <c r="D156" i="5"/>
  <c r="D155" i="5"/>
  <c r="D153" i="5"/>
  <c r="D158" i="5"/>
  <c r="A173" i="5"/>
  <c r="A157" i="5"/>
  <c r="A175" i="5"/>
  <c r="A170" i="5"/>
  <c r="A160" i="5"/>
  <c r="A184" i="5"/>
  <c r="A181" i="5"/>
  <c r="A187" i="5"/>
  <c r="A166" i="5"/>
  <c r="A171" i="5"/>
  <c r="A153" i="5"/>
  <c r="A188" i="5"/>
  <c r="A154" i="5"/>
  <c r="A155" i="5"/>
  <c r="A161" i="5"/>
  <c r="A172" i="5"/>
  <c r="A174" i="5"/>
  <c r="A169" i="5"/>
  <c r="A189" i="5"/>
  <c r="A151" i="5"/>
  <c r="A159" i="5"/>
  <c r="A152" i="5"/>
  <c r="A158" i="5"/>
  <c r="A176" i="5"/>
  <c r="A185" i="5"/>
  <c r="A190" i="5"/>
  <c r="A162" i="5"/>
  <c r="A182" i="5"/>
  <c r="A183" i="5"/>
  <c r="A177" i="5"/>
  <c r="A168" i="5"/>
  <c r="A167" i="5"/>
  <c r="A156" i="5"/>
  <c r="A186" i="5"/>
  <c r="N197" i="5"/>
  <c r="N196" i="5"/>
  <c r="N200" i="5"/>
  <c r="N201" i="5"/>
  <c r="H188" i="5"/>
  <c r="H219" i="5"/>
  <c r="H216" i="5"/>
  <c r="F188" i="5"/>
  <c r="D143" i="5"/>
  <c r="D145" i="5"/>
  <c r="D137" i="5"/>
  <c r="D135" i="5"/>
  <c r="D136" i="5"/>
  <c r="D134" i="5"/>
  <c r="D138" i="5"/>
  <c r="D140" i="5"/>
  <c r="D144" i="5"/>
  <c r="D142" i="5"/>
  <c r="D141" i="5"/>
  <c r="D139" i="5"/>
  <c r="D118" i="5"/>
  <c r="D108" i="5"/>
  <c r="D112" i="5"/>
  <c r="D109" i="5"/>
  <c r="D111" i="5"/>
  <c r="D113" i="5"/>
  <c r="D114" i="5"/>
  <c r="D110" i="5"/>
  <c r="D116" i="5"/>
  <c r="D115" i="5"/>
  <c r="D121" i="5"/>
  <c r="D122" i="5"/>
  <c r="D117" i="5"/>
  <c r="D107" i="5"/>
  <c r="D97" i="5"/>
  <c r="D88" i="5"/>
  <c r="D102" i="5"/>
  <c r="D99" i="5"/>
  <c r="D96" i="5"/>
  <c r="D92" i="5"/>
  <c r="D90" i="5"/>
  <c r="D93" i="5"/>
  <c r="D91" i="5"/>
  <c r="D98" i="5"/>
  <c r="D89" i="5"/>
  <c r="D103" i="5"/>
  <c r="D95" i="5"/>
  <c r="D94" i="5"/>
  <c r="A137" i="5"/>
  <c r="A103" i="5"/>
  <c r="A93" i="5"/>
  <c r="A91" i="5"/>
  <c r="A135" i="5"/>
  <c r="A110" i="5"/>
  <c r="A142" i="5"/>
  <c r="A109" i="5"/>
  <c r="A140" i="5"/>
  <c r="A122" i="5"/>
  <c r="A115" i="5"/>
  <c r="A97" i="5"/>
  <c r="A139" i="5"/>
  <c r="A96" i="5"/>
  <c r="A134" i="5"/>
  <c r="A116" i="5"/>
  <c r="A90" i="5"/>
  <c r="A145" i="5"/>
  <c r="A144" i="5"/>
  <c r="A136" i="5"/>
  <c r="A112" i="5"/>
  <c r="A108" i="5"/>
  <c r="A95" i="5"/>
  <c r="A107" i="5"/>
  <c r="A94" i="5"/>
  <c r="A89" i="5"/>
  <c r="A88" i="5"/>
  <c r="A141" i="5"/>
  <c r="A138" i="5"/>
  <c r="A143" i="5"/>
  <c r="A118" i="5"/>
  <c r="A121" i="5"/>
  <c r="A114" i="5"/>
  <c r="A113" i="5"/>
  <c r="A111" i="5"/>
  <c r="A117" i="5"/>
  <c r="A102" i="5"/>
  <c r="A99" i="5"/>
  <c r="A98" i="5"/>
  <c r="A92" i="5"/>
  <c r="D68" i="5"/>
  <c r="D63" i="5"/>
  <c r="D57" i="5"/>
  <c r="D70" i="5"/>
  <c r="D58" i="5"/>
  <c r="D61" i="5"/>
  <c r="D64" i="5"/>
  <c r="D65" i="5"/>
  <c r="D69" i="5"/>
  <c r="D59" i="5"/>
  <c r="D60" i="5"/>
  <c r="D62" i="5"/>
  <c r="D56" i="5"/>
  <c r="D52" i="5"/>
  <c r="D37" i="5"/>
  <c r="D41" i="5"/>
  <c r="D42" i="5"/>
  <c r="D39" i="5"/>
  <c r="D38" i="5"/>
  <c r="D46" i="5"/>
  <c r="D51" i="5"/>
  <c r="D49" i="5"/>
  <c r="D43" i="5"/>
  <c r="D44" i="5"/>
  <c r="D36" i="5"/>
  <c r="D45" i="5"/>
  <c r="D50" i="5"/>
  <c r="D47" i="5"/>
  <c r="D40" i="5"/>
  <c r="D27" i="5"/>
  <c r="D21" i="5"/>
  <c r="D26" i="5"/>
  <c r="D25" i="5"/>
  <c r="D23" i="5"/>
  <c r="D16" i="5"/>
  <c r="D24" i="5"/>
  <c r="D19" i="5"/>
  <c r="D31" i="5"/>
  <c r="D22" i="5"/>
  <c r="D30" i="5"/>
  <c r="D18" i="5"/>
  <c r="D32" i="5"/>
  <c r="D20" i="5"/>
  <c r="D29" i="5"/>
  <c r="D17" i="5"/>
  <c r="A56" i="5"/>
  <c r="A42" i="5"/>
  <c r="A43" i="5"/>
  <c r="A64" i="5"/>
  <c r="A31" i="5"/>
  <c r="A59" i="5"/>
  <c r="A68" i="5"/>
  <c r="A30" i="5"/>
  <c r="A62" i="5"/>
  <c r="A61" i="5"/>
  <c r="A58" i="5"/>
  <c r="A28" i="5"/>
  <c r="A50" i="5"/>
  <c r="A69" i="5"/>
  <c r="A19" i="5"/>
  <c r="A18" i="5"/>
  <c r="A16" i="5"/>
  <c r="A46" i="5"/>
  <c r="A51" i="5"/>
  <c r="A40" i="5"/>
  <c r="A38" i="5"/>
  <c r="A45" i="5"/>
  <c r="A70" i="5"/>
  <c r="A24" i="5"/>
  <c r="A37" i="5"/>
  <c r="A39" i="5"/>
  <c r="A41" i="5"/>
  <c r="A27" i="5"/>
  <c r="A49" i="5"/>
  <c r="A63" i="5"/>
  <c r="A52" i="5"/>
  <c r="A65" i="5"/>
  <c r="A20" i="5"/>
  <c r="A22" i="5"/>
  <c r="A44" i="5"/>
  <c r="A32" i="5"/>
  <c r="A23" i="5"/>
  <c r="A36" i="5"/>
  <c r="A21" i="5"/>
  <c r="A47" i="5"/>
  <c r="A25" i="5"/>
  <c r="A57" i="5"/>
  <c r="A26" i="5"/>
  <c r="A29" i="5"/>
  <c r="A17" i="5"/>
  <c r="A60" i="5"/>
  <c r="D288" i="4"/>
  <c r="D289" i="4"/>
  <c r="D290" i="4"/>
  <c r="D285" i="4"/>
  <c r="D287" i="4"/>
  <c r="D286" i="4"/>
  <c r="D268" i="4"/>
  <c r="D267" i="4"/>
  <c r="D271" i="4"/>
  <c r="D272" i="4"/>
  <c r="D269" i="4"/>
  <c r="D270" i="4"/>
  <c r="D263" i="4"/>
  <c r="D258" i="4"/>
  <c r="D259" i="4"/>
  <c r="D262" i="4"/>
  <c r="D260" i="4"/>
  <c r="D261" i="4"/>
  <c r="A267" i="4"/>
  <c r="A272" i="4"/>
  <c r="A259" i="4"/>
  <c r="A260" i="4"/>
  <c r="A294" i="4"/>
  <c r="A270" i="4"/>
  <c r="A285" i="4"/>
  <c r="A287" i="4"/>
  <c r="A286" i="4"/>
  <c r="A263" i="4"/>
  <c r="A278" i="4"/>
  <c r="A290" i="4"/>
  <c r="A301" i="4"/>
  <c r="A279" i="4"/>
  <c r="A268" i="4"/>
  <c r="A281" i="4"/>
  <c r="A277" i="4"/>
  <c r="A258" i="4"/>
  <c r="A295" i="4"/>
  <c r="A289" i="4"/>
  <c r="A280" i="4"/>
  <c r="A269" i="4"/>
  <c r="A297" i="4"/>
  <c r="A271" i="4"/>
  <c r="A276" i="4"/>
  <c r="A262" i="4"/>
  <c r="A288" i="4"/>
  <c r="A261" i="4"/>
  <c r="D245" i="4"/>
  <c r="D247" i="4"/>
  <c r="D250" i="4"/>
  <c r="D241" i="4"/>
  <c r="D248" i="4"/>
  <c r="D251" i="4"/>
  <c r="D246" i="4"/>
  <c r="D249" i="4"/>
  <c r="D243" i="4"/>
  <c r="D242" i="4"/>
  <c r="D252" i="4"/>
  <c r="D244" i="4"/>
  <c r="D226" i="4"/>
  <c r="D232" i="4"/>
  <c r="D234" i="4"/>
  <c r="D235" i="4"/>
  <c r="D233" i="4"/>
  <c r="D227" i="4"/>
  <c r="D230" i="4"/>
  <c r="D236" i="4"/>
  <c r="D231" i="4"/>
  <c r="D237" i="4"/>
  <c r="D228" i="4"/>
  <c r="D229" i="4"/>
  <c r="D220" i="4"/>
  <c r="D221" i="4"/>
  <c r="D219" i="4"/>
  <c r="D216" i="4"/>
  <c r="D212" i="4"/>
  <c r="D222" i="4"/>
  <c r="D215" i="4"/>
  <c r="D213" i="4"/>
  <c r="D214" i="4"/>
  <c r="D218" i="4"/>
  <c r="D211" i="4"/>
  <c r="D217" i="4"/>
  <c r="D204" i="4"/>
  <c r="D203" i="4"/>
  <c r="D198" i="4"/>
  <c r="D205" i="4"/>
  <c r="D200" i="4"/>
  <c r="D199" i="4"/>
  <c r="D196" i="4"/>
  <c r="D206" i="4"/>
  <c r="D207" i="4"/>
  <c r="D197" i="4"/>
  <c r="D201" i="4"/>
  <c r="D202" i="4"/>
  <c r="A242" i="4"/>
  <c r="A227" i="4"/>
  <c r="A221" i="4"/>
  <c r="A216" i="4"/>
  <c r="A218" i="4"/>
  <c r="A219" i="4"/>
  <c r="A250" i="4"/>
  <c r="A229" i="4"/>
  <c r="A233" i="4"/>
  <c r="A230" i="4"/>
  <c r="A196" i="4"/>
  <c r="A245" i="4"/>
  <c r="A241" i="4"/>
  <c r="A235" i="4"/>
  <c r="A198" i="4"/>
  <c r="A228" i="4"/>
  <c r="A205" i="4"/>
  <c r="A200" i="4"/>
  <c r="A246" i="4"/>
  <c r="A213" i="4"/>
  <c r="A226" i="4"/>
  <c r="A243" i="4"/>
  <c r="A215" i="4"/>
  <c r="A247" i="4"/>
  <c r="A212" i="4"/>
  <c r="A202" i="4"/>
  <c r="A201" i="4"/>
  <c r="A236" i="4"/>
  <c r="A211" i="4"/>
  <c r="A232" i="4"/>
  <c r="A214" i="4"/>
  <c r="A207" i="4"/>
  <c r="A244" i="4"/>
  <c r="A204" i="4"/>
  <c r="A217" i="4"/>
  <c r="A237" i="4"/>
  <c r="A231" i="4"/>
  <c r="A222" i="4"/>
  <c r="A203" i="4"/>
  <c r="A199" i="4"/>
  <c r="A234" i="4"/>
  <c r="A251" i="4"/>
  <c r="A252" i="4"/>
  <c r="A197" i="4"/>
  <c r="A206" i="4"/>
  <c r="A249" i="4"/>
  <c r="A248" i="4"/>
  <c r="A220" i="4"/>
  <c r="D182" i="4"/>
  <c r="D183" i="4"/>
  <c r="D179" i="4"/>
  <c r="D181" i="4"/>
  <c r="D175" i="4"/>
  <c r="D176" i="4"/>
  <c r="D189" i="4"/>
  <c r="D184" i="4"/>
  <c r="D180" i="4"/>
  <c r="D190" i="4"/>
  <c r="D178" i="4"/>
  <c r="D185" i="4"/>
  <c r="D177" i="4"/>
  <c r="D186" i="4"/>
  <c r="D167" i="4"/>
  <c r="D161" i="4"/>
  <c r="D166" i="4"/>
  <c r="D163" i="4"/>
  <c r="D160" i="4"/>
  <c r="D159" i="4"/>
  <c r="D170" i="4"/>
  <c r="D156" i="4"/>
  <c r="D162" i="4"/>
  <c r="D158" i="4"/>
  <c r="D164" i="4"/>
  <c r="D165" i="4"/>
  <c r="D157" i="4"/>
  <c r="D171" i="4"/>
  <c r="D139" i="4"/>
  <c r="D142" i="4"/>
  <c r="D146" i="4"/>
  <c r="D143" i="4"/>
  <c r="D137" i="4"/>
  <c r="D152" i="4"/>
  <c r="D145" i="4"/>
  <c r="D147" i="4"/>
  <c r="D148" i="4"/>
  <c r="D140" i="4"/>
  <c r="D141" i="4"/>
  <c r="D138" i="4"/>
  <c r="D151" i="4"/>
  <c r="D144" i="4"/>
  <c r="D133" i="4"/>
  <c r="D129" i="4"/>
  <c r="D119" i="4"/>
  <c r="D126" i="4"/>
  <c r="D125" i="4"/>
  <c r="D122" i="4"/>
  <c r="D127" i="4"/>
  <c r="D132" i="4"/>
  <c r="D128" i="4"/>
  <c r="D120" i="4"/>
  <c r="D118" i="4"/>
  <c r="D124" i="4"/>
  <c r="D123" i="4"/>
  <c r="D121" i="4"/>
  <c r="A185" i="4"/>
  <c r="A170" i="4"/>
  <c r="A163" i="4"/>
  <c r="A138" i="4"/>
  <c r="A122" i="4"/>
  <c r="A189" i="4"/>
  <c r="A162" i="4"/>
  <c r="A142" i="4"/>
  <c r="A139" i="4"/>
  <c r="A137" i="4"/>
  <c r="A120" i="4"/>
  <c r="A148" i="4"/>
  <c r="A152" i="4"/>
  <c r="A181" i="4"/>
  <c r="A182" i="4"/>
  <c r="A125" i="4"/>
  <c r="A127" i="4"/>
  <c r="A186" i="4"/>
  <c r="A180" i="4"/>
  <c r="A167" i="4"/>
  <c r="A166" i="4"/>
  <c r="A158" i="4"/>
  <c r="A156" i="4"/>
  <c r="A146" i="4"/>
  <c r="A144" i="4"/>
  <c r="A132" i="4"/>
  <c r="A124" i="4"/>
  <c r="A128" i="4"/>
  <c r="A171" i="4"/>
  <c r="A133" i="4"/>
  <c r="A119" i="4"/>
  <c r="A140" i="4"/>
  <c r="A145" i="4"/>
  <c r="A161" i="4"/>
  <c r="A175" i="4"/>
  <c r="A177" i="4"/>
  <c r="A176" i="4"/>
  <c r="A165" i="4"/>
  <c r="A160" i="4"/>
  <c r="A164" i="4"/>
  <c r="A157" i="4"/>
  <c r="A126" i="4"/>
  <c r="A141" i="4"/>
  <c r="A179" i="4"/>
  <c r="A159" i="4"/>
  <c r="A121" i="4"/>
  <c r="A118" i="4"/>
  <c r="A123" i="4"/>
  <c r="A147" i="4"/>
  <c r="A151" i="4"/>
  <c r="A183" i="4"/>
  <c r="A190" i="4"/>
  <c r="A184" i="4"/>
  <c r="A178" i="4"/>
  <c r="A129" i="4"/>
  <c r="A143" i="4"/>
  <c r="D90" i="4"/>
  <c r="D75" i="4"/>
  <c r="D89" i="4"/>
  <c r="D80" i="4"/>
  <c r="D77" i="4"/>
  <c r="D84" i="4"/>
  <c r="D86" i="4"/>
  <c r="D79" i="4"/>
  <c r="D76" i="4"/>
  <c r="D83" i="4"/>
  <c r="D78" i="4"/>
  <c r="D85" i="4"/>
  <c r="D81" i="4"/>
  <c r="D88" i="4"/>
  <c r="D82" i="4"/>
  <c r="D64" i="4"/>
  <c r="D70" i="4"/>
  <c r="D66" i="4"/>
  <c r="D56" i="4"/>
  <c r="D69" i="4"/>
  <c r="D57" i="4"/>
  <c r="D58" i="4"/>
  <c r="D67" i="4"/>
  <c r="D59" i="4"/>
  <c r="D61" i="4"/>
  <c r="D71" i="4"/>
  <c r="D62" i="4"/>
  <c r="D60" i="4"/>
  <c r="D65" i="4"/>
  <c r="D63" i="4"/>
  <c r="D50" i="4"/>
  <c r="D51" i="4"/>
  <c r="D47" i="4"/>
  <c r="D52" i="4"/>
  <c r="D46" i="4"/>
  <c r="D40" i="4"/>
  <c r="D41" i="4"/>
  <c r="D38" i="4"/>
  <c r="D48" i="4"/>
  <c r="D42" i="4"/>
  <c r="D44" i="4"/>
  <c r="D45" i="4"/>
  <c r="D39" i="4"/>
  <c r="D43" i="4"/>
  <c r="D37" i="4"/>
  <c r="D33" i="4"/>
  <c r="D21" i="4"/>
  <c r="D18" i="4"/>
  <c r="D27" i="4"/>
  <c r="D24" i="4"/>
  <c r="D28" i="4"/>
  <c r="D20" i="4"/>
  <c r="D23" i="4"/>
  <c r="D32" i="4"/>
  <c r="D31" i="4"/>
  <c r="D29" i="4"/>
  <c r="D25" i="4"/>
  <c r="D22" i="4"/>
  <c r="D26" i="4"/>
  <c r="D19" i="4"/>
  <c r="A50" i="4"/>
  <c r="A86" i="4"/>
  <c r="A62" i="4"/>
  <c r="A77" i="4"/>
  <c r="A60" i="4"/>
  <c r="A52" i="4"/>
  <c r="A31" i="4"/>
  <c r="A83" i="4"/>
  <c r="A28" i="4"/>
  <c r="A89" i="4"/>
  <c r="A90" i="4"/>
  <c r="A61" i="4"/>
  <c r="A39" i="4"/>
  <c r="A47" i="4"/>
  <c r="A64" i="4"/>
  <c r="A43" i="4"/>
  <c r="A80" i="4"/>
  <c r="A42" i="4"/>
  <c r="A44" i="4"/>
  <c r="A40" i="4"/>
  <c r="A66" i="4"/>
  <c r="A23" i="4"/>
  <c r="A18" i="4"/>
  <c r="A76" i="4"/>
  <c r="A79" i="4"/>
  <c r="A58" i="4"/>
  <c r="A32" i="4"/>
  <c r="A25" i="4"/>
  <c r="A29" i="4"/>
  <c r="A71" i="4"/>
  <c r="A82" i="4"/>
  <c r="A88" i="4"/>
  <c r="A78" i="4"/>
  <c r="A19" i="4"/>
  <c r="A45" i="4"/>
  <c r="A70" i="4"/>
  <c r="A20" i="4"/>
  <c r="A67" i="4"/>
  <c r="A33" i="4"/>
  <c r="A27" i="4"/>
  <c r="A48" i="4"/>
  <c r="A46" i="4"/>
  <c r="A69" i="4"/>
  <c r="A85" i="4"/>
  <c r="A81" i="4"/>
  <c r="A65" i="4"/>
  <c r="A84" i="4"/>
  <c r="A22" i="4"/>
  <c r="A21" i="4"/>
  <c r="A59" i="4"/>
  <c r="A57" i="4"/>
  <c r="A51" i="4"/>
  <c r="A41" i="4"/>
  <c r="A38" i="4"/>
  <c r="A75" i="4"/>
  <c r="A37" i="4"/>
  <c r="A56" i="4"/>
  <c r="A24" i="4"/>
  <c r="A26" i="4"/>
  <c r="A63" i="4"/>
  <c r="D299" i="3"/>
  <c r="D301" i="3"/>
  <c r="D294" i="3"/>
  <c r="D286" i="3"/>
  <c r="D290" i="3"/>
  <c r="D289" i="3"/>
  <c r="D287" i="3"/>
  <c r="D285" i="3"/>
  <c r="D288" i="3"/>
  <c r="D269" i="3"/>
  <c r="D270" i="3"/>
  <c r="D271" i="3"/>
  <c r="D272" i="3"/>
  <c r="D258" i="3"/>
  <c r="A299" i="3"/>
  <c r="A301" i="3"/>
  <c r="A270" i="3"/>
  <c r="A294" i="3"/>
  <c r="A268" i="3"/>
  <c r="A262" i="3"/>
  <c r="A263" i="3"/>
  <c r="A287" i="3"/>
  <c r="A259" i="3"/>
  <c r="A258" i="3"/>
  <c r="A276" i="3"/>
  <c r="A285" i="3"/>
  <c r="A278" i="3"/>
  <c r="A280" i="3"/>
  <c r="A281" i="3"/>
  <c r="A267" i="3"/>
  <c r="A277" i="3"/>
  <c r="A260" i="3"/>
  <c r="A272" i="3"/>
  <c r="A286" i="3"/>
  <c r="A271" i="3"/>
  <c r="A288" i="3"/>
  <c r="A290" i="3"/>
  <c r="A289" i="3"/>
  <c r="A269" i="3"/>
  <c r="A279" i="3"/>
  <c r="A298" i="3"/>
  <c r="A261" i="3"/>
  <c r="D241" i="3"/>
  <c r="D244" i="3"/>
  <c r="D248" i="3"/>
  <c r="D245" i="3"/>
  <c r="D249" i="3"/>
  <c r="D246" i="3"/>
  <c r="D250" i="3"/>
  <c r="D247" i="3"/>
  <c r="D252" i="3"/>
  <c r="D242" i="3"/>
  <c r="D251" i="3"/>
  <c r="D243" i="3"/>
  <c r="D229" i="3"/>
  <c r="D234" i="3"/>
  <c r="D226" i="3"/>
  <c r="D230" i="3"/>
  <c r="D227" i="3"/>
  <c r="D237" i="3"/>
  <c r="D235" i="3"/>
  <c r="D236" i="3"/>
  <c r="D228" i="3"/>
  <c r="D231" i="3"/>
  <c r="D232" i="3"/>
  <c r="D233" i="3"/>
  <c r="D215" i="3"/>
  <c r="D218" i="3"/>
  <c r="D219" i="3"/>
  <c r="D221" i="3"/>
  <c r="D217" i="3"/>
  <c r="D211" i="3"/>
  <c r="D216" i="3"/>
  <c r="D213" i="3"/>
  <c r="D214" i="3"/>
  <c r="D220" i="3"/>
  <c r="D212" i="3"/>
  <c r="D200" i="3"/>
  <c r="D203" i="3"/>
  <c r="D206" i="3"/>
  <c r="D207" i="3"/>
  <c r="D201" i="3"/>
  <c r="D202" i="3"/>
  <c r="D204" i="3"/>
  <c r="D197" i="3"/>
  <c r="D196" i="3"/>
  <c r="D199" i="3"/>
  <c r="D198" i="3"/>
  <c r="D205" i="3"/>
  <c r="A215" i="3"/>
  <c r="A200" i="3"/>
  <c r="A220" i="3"/>
  <c r="A226" i="3"/>
  <c r="A250" i="3"/>
  <c r="A232" i="3"/>
  <c r="A198" i="3"/>
  <c r="A248" i="3"/>
  <c r="A230" i="3"/>
  <c r="A222" i="3"/>
  <c r="A202" i="3"/>
  <c r="A201" i="3"/>
  <c r="A203" i="3"/>
  <c r="A228" i="3"/>
  <c r="A233" i="3"/>
  <c r="A235" i="3"/>
  <c r="A234" i="3"/>
  <c r="A196" i="3"/>
  <c r="A252" i="3"/>
  <c r="A237" i="3"/>
  <c r="A229" i="3"/>
  <c r="A213" i="3"/>
  <c r="A199" i="3"/>
  <c r="A221" i="3"/>
  <c r="A214" i="3"/>
  <c r="A247" i="3"/>
  <c r="A241" i="3"/>
  <c r="A205" i="3"/>
  <c r="A211" i="3"/>
  <c r="A219" i="3"/>
  <c r="A197" i="3"/>
  <c r="A243" i="3"/>
  <c r="A236" i="3"/>
  <c r="A227" i="3"/>
  <c r="A206" i="3"/>
  <c r="A204" i="3"/>
  <c r="A242" i="3"/>
  <c r="A246" i="3"/>
  <c r="A212" i="3"/>
  <c r="A249" i="3"/>
  <c r="A216" i="3"/>
  <c r="A245" i="3"/>
  <c r="A244" i="3"/>
  <c r="A231" i="3"/>
  <c r="A251" i="3"/>
  <c r="A218" i="3"/>
  <c r="A217" i="3"/>
  <c r="A207" i="3"/>
  <c r="D183" i="3"/>
  <c r="D189" i="3"/>
  <c r="D190" i="3"/>
  <c r="D179" i="3"/>
  <c r="D181" i="3"/>
  <c r="D176" i="3"/>
  <c r="D177" i="3"/>
  <c r="D178" i="3"/>
  <c r="D185" i="3"/>
  <c r="D184" i="3"/>
  <c r="D175" i="3"/>
  <c r="D186" i="3"/>
  <c r="D180" i="3"/>
  <c r="D182" i="3"/>
  <c r="D170" i="3"/>
  <c r="D166" i="3"/>
  <c r="D161" i="3"/>
  <c r="D167" i="3"/>
  <c r="D164" i="3"/>
  <c r="D162" i="3"/>
  <c r="D157" i="3"/>
  <c r="D171" i="3"/>
  <c r="D158" i="3"/>
  <c r="D156" i="3"/>
  <c r="D159" i="3"/>
  <c r="D163" i="3"/>
  <c r="D165" i="3"/>
  <c r="D160" i="3"/>
  <c r="D148" i="3"/>
  <c r="D152" i="3"/>
  <c r="D147" i="3"/>
  <c r="D138" i="3"/>
  <c r="D143" i="3"/>
  <c r="D146" i="3"/>
  <c r="D145" i="3"/>
  <c r="D137" i="3"/>
  <c r="D141" i="3"/>
  <c r="D142" i="3"/>
  <c r="D151" i="3"/>
  <c r="D144" i="3"/>
  <c r="D139" i="3"/>
  <c r="D140" i="3"/>
  <c r="D133" i="3"/>
  <c r="D126" i="3"/>
  <c r="D125" i="3"/>
  <c r="D123" i="3"/>
  <c r="D119" i="3"/>
  <c r="D128" i="3"/>
  <c r="D132" i="3"/>
  <c r="D121" i="3"/>
  <c r="D122" i="3"/>
  <c r="D127" i="3"/>
  <c r="D118" i="3"/>
  <c r="D129" i="3"/>
  <c r="D124" i="3"/>
  <c r="D120" i="3"/>
  <c r="A126" i="3"/>
  <c r="A125" i="3"/>
  <c r="A123" i="3"/>
  <c r="A143" i="3"/>
  <c r="A170" i="3"/>
  <c r="A176" i="3"/>
  <c r="A118" i="3"/>
  <c r="A162" i="3"/>
  <c r="A159" i="3"/>
  <c r="A152" i="3"/>
  <c r="A147" i="3"/>
  <c r="A146" i="3"/>
  <c r="A163" i="3"/>
  <c r="A156" i="3"/>
  <c r="A128" i="3"/>
  <c r="A183" i="3"/>
  <c r="A124" i="3"/>
  <c r="A138" i="3"/>
  <c r="A127" i="3"/>
  <c r="A137" i="3"/>
  <c r="A121" i="3"/>
  <c r="A120" i="3"/>
  <c r="A142" i="3"/>
  <c r="A144" i="3"/>
  <c r="A151" i="3"/>
  <c r="A190" i="3"/>
  <c r="A181" i="3"/>
  <c r="A177" i="3"/>
  <c r="A119" i="3"/>
  <c r="A158" i="3"/>
  <c r="A139" i="3"/>
  <c r="A157" i="3"/>
  <c r="A160" i="3"/>
  <c r="A148" i="3"/>
  <c r="A161" i="3"/>
  <c r="A145" i="3"/>
  <c r="A141" i="3"/>
  <c r="A178" i="3"/>
  <c r="A166" i="3"/>
  <c r="A167" i="3"/>
  <c r="A165" i="3"/>
  <c r="A182" i="3"/>
  <c r="A164" i="3"/>
  <c r="A189" i="3"/>
  <c r="A186" i="3"/>
  <c r="A184" i="3"/>
  <c r="A185" i="3"/>
  <c r="A179" i="3"/>
  <c r="A171" i="3"/>
  <c r="A180" i="3"/>
  <c r="A175" i="3"/>
  <c r="A133" i="3"/>
  <c r="A140" i="3"/>
  <c r="A132" i="3"/>
  <c r="A122" i="3"/>
  <c r="A129" i="3"/>
  <c r="D77" i="3"/>
  <c r="D83" i="3"/>
  <c r="D84" i="3"/>
  <c r="D76" i="3"/>
  <c r="D78" i="3"/>
  <c r="D86" i="3"/>
  <c r="D85" i="3"/>
  <c r="D79" i="3"/>
  <c r="D88" i="3"/>
  <c r="D89" i="3"/>
  <c r="D90" i="3"/>
  <c r="D82" i="3"/>
  <c r="D81" i="3"/>
  <c r="D75" i="3"/>
  <c r="D80" i="3"/>
  <c r="D59" i="3"/>
  <c r="D63" i="3"/>
  <c r="D58" i="3"/>
  <c r="D71" i="3"/>
  <c r="D61" i="3"/>
  <c r="D64" i="3"/>
  <c r="D67" i="3"/>
  <c r="D69" i="3"/>
  <c r="D65" i="3"/>
  <c r="D66" i="3"/>
  <c r="D60" i="3"/>
  <c r="D56" i="3"/>
  <c r="D62" i="3"/>
  <c r="D70" i="3"/>
  <c r="D57" i="3"/>
  <c r="D41" i="3"/>
  <c r="D52" i="3"/>
  <c r="D50" i="3"/>
  <c r="D37" i="3"/>
  <c r="D45" i="3"/>
  <c r="D46" i="3"/>
  <c r="D39" i="3"/>
  <c r="D42" i="3"/>
  <c r="D51" i="3"/>
  <c r="D43" i="3"/>
  <c r="D47" i="3"/>
  <c r="D38" i="3"/>
  <c r="D40" i="3"/>
  <c r="D44" i="3"/>
  <c r="D48" i="3"/>
  <c r="D27" i="3"/>
  <c r="D33" i="3"/>
  <c r="D22" i="3"/>
  <c r="D21" i="3"/>
  <c r="D32" i="3"/>
  <c r="D24" i="3"/>
  <c r="D28" i="3"/>
  <c r="D26" i="3"/>
  <c r="D19" i="3"/>
  <c r="D23" i="3"/>
  <c r="D25" i="3"/>
  <c r="D18" i="3"/>
  <c r="D31" i="3"/>
  <c r="D29" i="3"/>
  <c r="D20" i="3"/>
  <c r="A41" i="3"/>
  <c r="A75" i="3"/>
  <c r="A71" i="3"/>
  <c r="A25" i="3"/>
  <c r="A33" i="3"/>
  <c r="A37" i="3"/>
  <c r="A56" i="3"/>
  <c r="A61" i="3"/>
  <c r="A58" i="3"/>
  <c r="A81" i="3"/>
  <c r="A40" i="3"/>
  <c r="A47" i="3"/>
  <c r="A83" i="3"/>
  <c r="A48" i="3"/>
  <c r="A84" i="3"/>
  <c r="A50" i="3"/>
  <c r="A64" i="3"/>
  <c r="A86" i="3"/>
  <c r="A66" i="3"/>
  <c r="A70" i="3"/>
  <c r="A79" i="3"/>
  <c r="A20" i="3"/>
  <c r="A88" i="3"/>
  <c r="A59" i="3"/>
  <c r="A45" i="3"/>
  <c r="A57" i="3"/>
  <c r="A82" i="3"/>
  <c r="A78" i="3"/>
  <c r="A85" i="3"/>
  <c r="A65" i="3"/>
  <c r="A46" i="3"/>
  <c r="A52" i="3"/>
  <c r="A23" i="3"/>
  <c r="A62" i="3"/>
  <c r="A80" i="3"/>
  <c r="A60" i="3"/>
  <c r="A18" i="3"/>
  <c r="A26" i="3"/>
  <c r="A44" i="3"/>
  <c r="A24" i="3"/>
  <c r="A89" i="3"/>
  <c r="A90" i="3"/>
  <c r="A43" i="3"/>
  <c r="A29" i="3"/>
  <c r="A69" i="3"/>
  <c r="A39" i="3"/>
  <c r="A42" i="3"/>
  <c r="A38" i="3"/>
  <c r="A28" i="3"/>
  <c r="A32" i="3"/>
  <c r="A77" i="3"/>
  <c r="A31" i="3"/>
  <c r="A67" i="3"/>
  <c r="A63" i="3"/>
  <c r="A27" i="3"/>
  <c r="A51" i="3"/>
  <c r="A22" i="3"/>
  <c r="A21" i="3"/>
  <c r="A76" i="3"/>
  <c r="D302" i="2"/>
  <c r="D291" i="2"/>
  <c r="D293" i="2"/>
  <c r="D281" i="2"/>
  <c r="D280" i="2"/>
  <c r="D279" i="2"/>
  <c r="D278" i="2"/>
  <c r="D277" i="2"/>
  <c r="D276" i="2"/>
  <c r="D272" i="2"/>
  <c r="D268" i="2"/>
  <c r="D267" i="2"/>
  <c r="D258" i="2"/>
  <c r="D263" i="2"/>
  <c r="A298" i="2"/>
  <c r="A268" i="2"/>
  <c r="A293" i="2"/>
  <c r="A271" i="2"/>
  <c r="A272" i="2"/>
  <c r="A259" i="2"/>
  <c r="A302" i="2"/>
  <c r="A267" i="2"/>
  <c r="A270" i="2"/>
  <c r="A276" i="2"/>
  <c r="A261" i="2"/>
  <c r="A280" i="2"/>
  <c r="A277" i="2"/>
  <c r="A263" i="2"/>
  <c r="A301" i="2"/>
  <c r="A297" i="2"/>
  <c r="A262" i="2"/>
  <c r="A281" i="2"/>
  <c r="A278" i="2"/>
  <c r="A299" i="2"/>
  <c r="A279" i="2"/>
  <c r="A285" i="2"/>
  <c r="A260" i="2"/>
  <c r="A291" i="2"/>
  <c r="A287" i="2"/>
  <c r="A269" i="2"/>
  <c r="A258" i="2"/>
  <c r="A300" i="2"/>
  <c r="D241" i="2"/>
  <c r="D245" i="2"/>
  <c r="D243" i="2"/>
  <c r="D250" i="2"/>
  <c r="D248" i="2"/>
  <c r="D242" i="2"/>
  <c r="D251" i="2"/>
  <c r="D247" i="2"/>
  <c r="D246" i="2"/>
  <c r="D244" i="2"/>
  <c r="D249" i="2"/>
  <c r="D252" i="2"/>
  <c r="D229" i="2"/>
  <c r="D232" i="2"/>
  <c r="D230" i="2"/>
  <c r="D233" i="2"/>
  <c r="D231" i="2"/>
  <c r="D226" i="2"/>
  <c r="D237" i="2"/>
  <c r="D227" i="2"/>
  <c r="D234" i="2"/>
  <c r="D235" i="2"/>
  <c r="D236" i="2"/>
  <c r="D228" i="2"/>
  <c r="D211" i="2"/>
  <c r="D215" i="2"/>
  <c r="D222" i="2"/>
  <c r="D220" i="2"/>
  <c r="D214" i="2"/>
  <c r="D217" i="2"/>
  <c r="D216" i="2"/>
  <c r="D218" i="2"/>
  <c r="D212" i="2"/>
  <c r="D219" i="2"/>
  <c r="D213" i="2"/>
  <c r="D221" i="2"/>
  <c r="D198" i="2"/>
  <c r="D204" i="2"/>
  <c r="D199" i="2"/>
  <c r="D201" i="2"/>
  <c r="D200" i="2"/>
  <c r="D196" i="2"/>
  <c r="D197" i="2"/>
  <c r="D203" i="2"/>
  <c r="D206" i="2"/>
  <c r="D202" i="2"/>
  <c r="D207" i="2"/>
  <c r="D205" i="2"/>
  <c r="A234" i="2"/>
  <c r="A232" i="2"/>
  <c r="A231" i="2"/>
  <c r="A228" i="2"/>
  <c r="A217" i="2"/>
  <c r="A216" i="2"/>
  <c r="A213" i="2"/>
  <c r="A206" i="2"/>
  <c r="A219" i="2"/>
  <c r="A211" i="2"/>
  <c r="A207" i="2"/>
  <c r="A196" i="2"/>
  <c r="A199" i="2"/>
  <c r="A220" i="2"/>
  <c r="A221" i="2"/>
  <c r="A198" i="2"/>
  <c r="A200" i="2"/>
  <c r="A203" i="2"/>
  <c r="A227" i="2"/>
  <c r="A246" i="2"/>
  <c r="A197" i="2"/>
  <c r="A235" i="2"/>
  <c r="A229" i="2"/>
  <c r="A226" i="2"/>
  <c r="A218" i="2"/>
  <c r="A215" i="2"/>
  <c r="A212" i="2"/>
  <c r="A204" i="2"/>
  <c r="A201" i="2"/>
  <c r="A214" i="2"/>
  <c r="A244" i="2"/>
  <c r="A245" i="2"/>
  <c r="A222" i="2"/>
  <c r="A202" i="2"/>
  <c r="A252" i="2"/>
  <c r="A233" i="2"/>
  <c r="A251" i="2"/>
  <c r="A242" i="2"/>
  <c r="A236" i="2"/>
  <c r="A250" i="2"/>
  <c r="A249" i="2"/>
  <c r="A248" i="2"/>
  <c r="A247" i="2"/>
  <c r="A243" i="2"/>
  <c r="A230" i="2"/>
  <c r="A241" i="2"/>
  <c r="A237" i="2"/>
  <c r="A205" i="2"/>
  <c r="D179" i="2"/>
  <c r="D182" i="2"/>
  <c r="D175" i="2"/>
  <c r="D185" i="2"/>
  <c r="D181" i="2"/>
  <c r="D190" i="2"/>
  <c r="D186" i="2"/>
  <c r="D176" i="2"/>
  <c r="D189" i="2"/>
  <c r="D178" i="2"/>
  <c r="D180" i="2"/>
  <c r="D177" i="2"/>
  <c r="D184" i="2"/>
  <c r="D183" i="2"/>
  <c r="D159" i="2"/>
  <c r="D156" i="2"/>
  <c r="D157" i="2"/>
  <c r="D161" i="2"/>
  <c r="D171" i="2"/>
  <c r="D167" i="2"/>
  <c r="D165" i="2"/>
  <c r="D160" i="2"/>
  <c r="D158" i="2"/>
  <c r="D166" i="2"/>
  <c r="D164" i="2"/>
  <c r="D170" i="2"/>
  <c r="D163" i="2"/>
  <c r="D162" i="2"/>
  <c r="D137" i="2"/>
  <c r="D143" i="2"/>
  <c r="D140" i="2"/>
  <c r="D138" i="2"/>
  <c r="D148" i="2"/>
  <c r="D145" i="2"/>
  <c r="D147" i="2"/>
  <c r="D152" i="2"/>
  <c r="D151" i="2"/>
  <c r="D141" i="2"/>
  <c r="D142" i="2"/>
  <c r="D146" i="2"/>
  <c r="D144" i="2"/>
  <c r="D139" i="2"/>
  <c r="D127" i="2"/>
  <c r="D122" i="2"/>
  <c r="D119" i="2"/>
  <c r="D123" i="2"/>
  <c r="D120" i="2"/>
  <c r="D128" i="2"/>
  <c r="D129" i="2"/>
  <c r="D124" i="2"/>
  <c r="D133" i="2"/>
  <c r="D125" i="2"/>
  <c r="D132" i="2"/>
  <c r="D126" i="2"/>
  <c r="D121" i="2"/>
  <c r="D118" i="2"/>
  <c r="A129" i="2"/>
  <c r="A167" i="2"/>
  <c r="A177" i="2"/>
  <c r="A184" i="2"/>
  <c r="A118" i="2"/>
  <c r="A119" i="2"/>
  <c r="A151" i="2"/>
  <c r="A186" i="2"/>
  <c r="A141" i="2"/>
  <c r="A139" i="2"/>
  <c r="A156" i="2"/>
  <c r="A189" i="2"/>
  <c r="A120" i="2"/>
  <c r="A124" i="2"/>
  <c r="A145" i="2"/>
  <c r="A166" i="2"/>
  <c r="A160" i="2"/>
  <c r="A158" i="2"/>
  <c r="A161" i="2"/>
  <c r="A190" i="2"/>
  <c r="A126" i="2"/>
  <c r="A122" i="2"/>
  <c r="A128" i="2"/>
  <c r="A157" i="2"/>
  <c r="A127" i="2"/>
  <c r="A133" i="2"/>
  <c r="A164" i="2"/>
  <c r="A179" i="2"/>
  <c r="A162" i="2"/>
  <c r="A121" i="2"/>
  <c r="A178" i="2"/>
  <c r="A123" i="2"/>
  <c r="A175" i="2"/>
  <c r="A183" i="2"/>
  <c r="A163" i="2"/>
  <c r="A171" i="2"/>
  <c r="A152" i="2"/>
  <c r="A148" i="2"/>
  <c r="A132" i="2"/>
  <c r="A143" i="2"/>
  <c r="A170" i="2"/>
  <c r="A142" i="2"/>
  <c r="A140" i="2"/>
  <c r="A138" i="2"/>
  <c r="A137" i="2"/>
  <c r="A147" i="2"/>
  <c r="A125" i="2"/>
  <c r="A159" i="2"/>
  <c r="A182" i="2"/>
  <c r="A165" i="2"/>
  <c r="A146" i="2"/>
  <c r="A144" i="2"/>
  <c r="A185" i="2"/>
  <c r="A181" i="2"/>
  <c r="A180" i="2"/>
  <c r="A176" i="2"/>
  <c r="D81" i="2"/>
  <c r="D77" i="2"/>
  <c r="D84" i="2"/>
  <c r="D80" i="2"/>
  <c r="D85" i="2"/>
  <c r="D89" i="2"/>
  <c r="D90" i="2"/>
  <c r="D76" i="2"/>
  <c r="D78" i="2"/>
  <c r="D75" i="2"/>
  <c r="D83" i="2"/>
  <c r="D88" i="2"/>
  <c r="D82" i="2"/>
  <c r="D86" i="2"/>
  <c r="D79" i="2"/>
  <c r="D66" i="2"/>
  <c r="D70" i="2"/>
  <c r="D67" i="2"/>
  <c r="D61" i="2"/>
  <c r="D56" i="2"/>
  <c r="D57" i="2"/>
  <c r="D58" i="2"/>
  <c r="D59" i="2"/>
  <c r="D63" i="2"/>
  <c r="D60" i="2"/>
  <c r="D69" i="2"/>
  <c r="D71" i="2"/>
  <c r="D64" i="2"/>
  <c r="D62" i="2"/>
  <c r="D65" i="2"/>
  <c r="D42" i="2"/>
  <c r="D43" i="2"/>
  <c r="D38" i="2"/>
  <c r="D37" i="2"/>
  <c r="D40" i="2"/>
  <c r="D45" i="2"/>
  <c r="D51" i="2"/>
  <c r="D52" i="2"/>
  <c r="D41" i="2"/>
  <c r="D46" i="2"/>
  <c r="D39" i="2"/>
  <c r="D44" i="2"/>
  <c r="D50" i="2"/>
  <c r="D47" i="2"/>
  <c r="D48" i="2"/>
  <c r="D22" i="2"/>
  <c r="D28" i="2"/>
  <c r="D29" i="2"/>
  <c r="D21" i="2"/>
  <c r="D24" i="2"/>
  <c r="D18" i="2"/>
  <c r="D32" i="2"/>
  <c r="D20" i="2"/>
  <c r="D31" i="2"/>
  <c r="D26" i="2"/>
  <c r="D27" i="2"/>
  <c r="D19" i="2"/>
  <c r="D33" i="2"/>
  <c r="D25" i="2"/>
  <c r="D23" i="2"/>
  <c r="A21" i="2"/>
  <c r="A84" i="2"/>
  <c r="A23" i="2"/>
  <c r="A76" i="2"/>
  <c r="A61" i="2"/>
  <c r="A22" i="2"/>
  <c r="A56" i="2"/>
  <c r="A24" i="2"/>
  <c r="A32" i="2"/>
  <c r="A41" i="2"/>
  <c r="A27" i="2"/>
  <c r="A33" i="2"/>
  <c r="A42" i="2"/>
  <c r="A48" i="2"/>
  <c r="A60" i="2"/>
  <c r="A44" i="2"/>
  <c r="A62" i="2"/>
  <c r="A57" i="2"/>
  <c r="A47" i="2"/>
  <c r="A70" i="2"/>
  <c r="A52" i="2"/>
  <c r="A63" i="2"/>
  <c r="A39" i="2"/>
  <c r="A50" i="2"/>
  <c r="A40" i="2"/>
  <c r="A64" i="2"/>
  <c r="A80" i="2"/>
  <c r="A65" i="2"/>
  <c r="A75" i="2"/>
  <c r="A79" i="2"/>
  <c r="A66" i="2"/>
  <c r="A90" i="2"/>
  <c r="A86" i="2"/>
  <c r="A37" i="2"/>
  <c r="A85" i="2"/>
  <c r="A82" i="2"/>
  <c r="A31" i="2"/>
  <c r="A81" i="2"/>
  <c r="A78" i="2"/>
  <c r="A88" i="2"/>
  <c r="A83" i="2"/>
  <c r="A69" i="2"/>
  <c r="A58" i="2"/>
  <c r="A19" i="2"/>
  <c r="A77" i="2"/>
  <c r="A71" i="2"/>
  <c r="A67" i="2"/>
  <c r="A89" i="2"/>
  <c r="A38" i="2"/>
  <c r="A59" i="2"/>
  <c r="A28" i="2"/>
  <c r="A51" i="2"/>
  <c r="A45" i="2"/>
  <c r="A46" i="2"/>
  <c r="A29" i="2"/>
  <c r="A43" i="2"/>
  <c r="A20" i="2"/>
  <c r="A25" i="2"/>
  <c r="A26" i="2"/>
  <c r="A18" i="2"/>
  <c r="D307" i="1"/>
  <c r="D305" i="1"/>
  <c r="D285" i="1"/>
  <c r="D286" i="1"/>
  <c r="D284" i="1"/>
  <c r="D281" i="1"/>
  <c r="D276" i="1"/>
  <c r="D272" i="1"/>
  <c r="D273" i="1"/>
  <c r="D275" i="1"/>
  <c r="D277" i="1"/>
  <c r="D268" i="1"/>
  <c r="D264" i="1"/>
  <c r="D263" i="1"/>
  <c r="D266" i="1"/>
  <c r="D267" i="1"/>
  <c r="D265" i="1"/>
  <c r="A274" i="1"/>
  <c r="A264" i="1"/>
  <c r="A294" i="1"/>
  <c r="A268" i="1"/>
  <c r="A281" i="1"/>
  <c r="A305" i="1"/>
  <c r="A293" i="1"/>
  <c r="A299" i="1"/>
  <c r="A277" i="1"/>
  <c r="A263" i="1"/>
  <c r="A276" i="1"/>
  <c r="A275" i="1"/>
  <c r="A265" i="1"/>
  <c r="A267" i="1"/>
  <c r="A273" i="1"/>
  <c r="A266" i="1"/>
  <c r="A295" i="1"/>
  <c r="A301" i="1"/>
  <c r="A290" i="1"/>
  <c r="A283" i="1"/>
  <c r="A282" i="1"/>
  <c r="A286" i="1"/>
  <c r="A285" i="1"/>
  <c r="A292" i="1"/>
  <c r="A291" i="1"/>
  <c r="A284" i="1"/>
  <c r="A272" i="1"/>
  <c r="A307" i="1"/>
  <c r="D248" i="1"/>
  <c r="D250" i="1"/>
  <c r="D247" i="1"/>
  <c r="D256" i="1"/>
  <c r="D246" i="1"/>
  <c r="D254" i="1"/>
  <c r="D249" i="1"/>
  <c r="D257" i="1"/>
  <c r="D251" i="1"/>
  <c r="D252" i="1"/>
  <c r="D253" i="1"/>
  <c r="D255" i="1"/>
  <c r="D231" i="1"/>
  <c r="D233" i="1"/>
  <c r="D241" i="1"/>
  <c r="D232" i="1"/>
  <c r="D236" i="1"/>
  <c r="D238" i="1"/>
  <c r="D239" i="1"/>
  <c r="D237" i="1"/>
  <c r="D235" i="1"/>
  <c r="D234" i="1"/>
  <c r="D242" i="1"/>
  <c r="D240" i="1"/>
  <c r="D226" i="1"/>
  <c r="D221" i="1"/>
  <c r="D227" i="1"/>
  <c r="D218" i="1"/>
  <c r="D219" i="1"/>
  <c r="D220" i="1"/>
  <c r="D225" i="1"/>
  <c r="D222" i="1"/>
  <c r="D224" i="1"/>
  <c r="D223" i="1"/>
  <c r="D217" i="1"/>
  <c r="D216" i="1"/>
  <c r="D201" i="1"/>
  <c r="D212" i="1"/>
  <c r="D209" i="1"/>
  <c r="D202" i="1"/>
  <c r="D204" i="1"/>
  <c r="D208" i="1"/>
  <c r="D206" i="1"/>
  <c r="D203" i="1"/>
  <c r="D210" i="1"/>
  <c r="D211" i="1"/>
  <c r="D205" i="1"/>
  <c r="D207" i="1"/>
  <c r="A247" i="1"/>
  <c r="A246" i="1"/>
  <c r="A242" i="1"/>
  <c r="A241" i="1"/>
  <c r="A240" i="1"/>
  <c r="A238" i="1"/>
  <c r="A232" i="1"/>
  <c r="A217" i="1"/>
  <c r="A209" i="1"/>
  <c r="A251" i="1"/>
  <c r="A239" i="1"/>
  <c r="A237" i="1"/>
  <c r="A236" i="1"/>
  <c r="A235" i="1"/>
  <c r="A253" i="1"/>
  <c r="A233" i="1"/>
  <c r="A221" i="1"/>
  <c r="A249" i="1"/>
  <c r="A211" i="1"/>
  <c r="A212" i="1"/>
  <c r="A226" i="1"/>
  <c r="A204" i="1"/>
  <c r="A225" i="1"/>
  <c r="A207" i="1"/>
  <c r="A252" i="1"/>
  <c r="A248" i="1"/>
  <c r="A254" i="1"/>
  <c r="A208" i="1"/>
  <c r="A255" i="1"/>
  <c r="A256" i="1"/>
  <c r="A257" i="1"/>
  <c r="A219" i="1"/>
  <c r="A220" i="1"/>
  <c r="A218" i="1"/>
  <c r="A222" i="1"/>
  <c r="A216" i="1"/>
  <c r="A210" i="1"/>
  <c r="A203" i="1"/>
  <c r="A250" i="1"/>
  <c r="A202" i="1"/>
  <c r="A224" i="1"/>
  <c r="A205" i="1"/>
  <c r="A201" i="1"/>
  <c r="A206" i="1"/>
  <c r="A223" i="1"/>
  <c r="A227" i="1"/>
  <c r="A231" i="1"/>
  <c r="A234" i="1"/>
  <c r="D186" i="1"/>
  <c r="D183" i="1"/>
  <c r="D187" i="1"/>
  <c r="D191" i="1"/>
  <c r="D195" i="1"/>
  <c r="D190" i="1"/>
  <c r="D185" i="1"/>
  <c r="D188" i="1"/>
  <c r="D182" i="1"/>
  <c r="D194" i="1"/>
  <c r="D189" i="1"/>
  <c r="D184" i="1"/>
  <c r="D175" i="1"/>
  <c r="D173" i="1"/>
  <c r="D178" i="1"/>
  <c r="D169" i="1"/>
  <c r="D171" i="1"/>
  <c r="D177" i="1"/>
  <c r="D174" i="1"/>
  <c r="D166" i="1"/>
  <c r="D170" i="1"/>
  <c r="D167" i="1"/>
  <c r="D172" i="1"/>
  <c r="D168" i="1"/>
  <c r="D156" i="1"/>
  <c r="D153" i="1"/>
  <c r="D157" i="1"/>
  <c r="D162" i="1"/>
  <c r="D152" i="1"/>
  <c r="D158" i="1"/>
  <c r="D159" i="1"/>
  <c r="D154" i="1"/>
  <c r="D161" i="1"/>
  <c r="D150" i="1"/>
  <c r="D155" i="1"/>
  <c r="D151" i="1"/>
  <c r="D137" i="1"/>
  <c r="D139" i="1"/>
  <c r="D134" i="1"/>
  <c r="D136" i="1"/>
  <c r="D135" i="1"/>
  <c r="D141" i="1"/>
  <c r="D138" i="1"/>
  <c r="D145" i="1"/>
  <c r="D146" i="1"/>
  <c r="D142" i="1"/>
  <c r="D140" i="1"/>
  <c r="D126" i="1"/>
  <c r="D125" i="1"/>
  <c r="D122" i="1"/>
  <c r="D130" i="1"/>
  <c r="D123" i="1"/>
  <c r="D128" i="1"/>
  <c r="D127" i="1"/>
  <c r="D124" i="1"/>
  <c r="D129" i="1"/>
  <c r="A189" i="1"/>
  <c r="A174" i="1"/>
  <c r="A157" i="1"/>
  <c r="A153" i="1"/>
  <c r="A139" i="1"/>
  <c r="A170" i="1"/>
  <c r="A178" i="1"/>
  <c r="A183" i="1"/>
  <c r="A171" i="1"/>
  <c r="A184" i="1"/>
  <c r="A190" i="1"/>
  <c r="A126" i="1"/>
  <c r="A191" i="1"/>
  <c r="A129" i="1"/>
  <c r="A145" i="1"/>
  <c r="A122" i="1"/>
  <c r="A134" i="1"/>
  <c r="A166" i="1"/>
  <c r="A186" i="1"/>
  <c r="A142" i="1"/>
  <c r="A137" i="1"/>
  <c r="A141" i="1"/>
  <c r="A138" i="1"/>
  <c r="A188" i="1"/>
  <c r="A125" i="1"/>
  <c r="A124" i="1"/>
  <c r="A136" i="1"/>
  <c r="A140" i="1"/>
  <c r="A151" i="1"/>
  <c r="A155" i="1"/>
  <c r="A169" i="1"/>
  <c r="A187" i="1"/>
  <c r="A150" i="1"/>
  <c r="A130" i="1"/>
  <c r="A152" i="1"/>
  <c r="A177" i="1"/>
  <c r="A158" i="1"/>
  <c r="A168" i="1"/>
  <c r="A173" i="1"/>
  <c r="A195" i="1"/>
  <c r="A127" i="1"/>
  <c r="A123" i="1"/>
  <c r="A146" i="1"/>
  <c r="A135" i="1"/>
  <c r="A194" i="1"/>
  <c r="A185" i="1"/>
  <c r="A182" i="1"/>
  <c r="A175" i="1"/>
  <c r="A159" i="1"/>
  <c r="A172" i="1"/>
  <c r="A167" i="1"/>
  <c r="A156" i="1"/>
  <c r="A154" i="1"/>
  <c r="A128" i="1"/>
  <c r="A161" i="1"/>
  <c r="A162" i="1"/>
  <c r="D91" i="1"/>
  <c r="D87" i="1"/>
  <c r="D84" i="1"/>
  <c r="D92" i="1"/>
  <c r="D86" i="1"/>
  <c r="D88" i="1"/>
  <c r="D94" i="1"/>
  <c r="D82" i="1"/>
  <c r="D83" i="1"/>
  <c r="D89" i="1"/>
  <c r="D93" i="1"/>
  <c r="D85" i="1"/>
  <c r="D68" i="1"/>
  <c r="D67" i="1"/>
  <c r="D70" i="1"/>
  <c r="D72" i="1"/>
  <c r="D66" i="1"/>
  <c r="D74" i="1"/>
  <c r="D73" i="1"/>
  <c r="D78" i="1"/>
  <c r="D77" i="1"/>
  <c r="D75" i="1"/>
  <c r="D69" i="1"/>
  <c r="D54" i="1"/>
  <c r="D53" i="1"/>
  <c r="D51" i="1"/>
  <c r="D57" i="1"/>
  <c r="D56" i="1"/>
  <c r="D62" i="1"/>
  <c r="D52" i="1"/>
  <c r="D59" i="1"/>
  <c r="D50" i="1"/>
  <c r="D58" i="1"/>
  <c r="D61" i="1"/>
  <c r="D42" i="1"/>
  <c r="D43" i="1"/>
  <c r="D35" i="1"/>
  <c r="D46" i="1"/>
  <c r="D36" i="1"/>
  <c r="D45" i="1"/>
  <c r="D40" i="1"/>
  <c r="D37" i="1"/>
  <c r="D34" i="1"/>
  <c r="D41" i="1"/>
  <c r="D39" i="1"/>
  <c r="D38" i="1"/>
  <c r="D19" i="1"/>
  <c r="D24" i="1"/>
  <c r="D21" i="1"/>
  <c r="D29" i="1"/>
  <c r="D20" i="1"/>
  <c r="D25" i="1"/>
  <c r="D26" i="1"/>
  <c r="D22" i="1"/>
  <c r="D23" i="1"/>
  <c r="D30" i="1"/>
  <c r="D18" i="1"/>
  <c r="D27" i="1"/>
  <c r="A35" i="1"/>
  <c r="A30" i="1"/>
  <c r="A27" i="1"/>
  <c r="A45" i="1"/>
  <c r="A21" i="1"/>
  <c r="A59" i="1"/>
  <c r="A69" i="1"/>
  <c r="A62" i="1"/>
  <c r="A74" i="1"/>
  <c r="A75" i="1"/>
  <c r="A82" i="1"/>
  <c r="A84" i="1"/>
  <c r="A22" i="1"/>
  <c r="A43" i="1"/>
  <c r="A66" i="1"/>
  <c r="A87" i="1"/>
  <c r="A26" i="1"/>
  <c r="A83" i="1"/>
  <c r="A61" i="1"/>
  <c r="A58" i="1"/>
  <c r="A71" i="1"/>
  <c r="A18" i="1"/>
  <c r="A54" i="1"/>
  <c r="A89" i="1"/>
  <c r="A51" i="1"/>
  <c r="A88" i="1"/>
  <c r="A85" i="1"/>
  <c r="A92" i="1"/>
  <c r="A23" i="1"/>
  <c r="A37" i="1"/>
  <c r="A91" i="1"/>
  <c r="A20" i="1"/>
  <c r="A86" i="1"/>
  <c r="A72" i="1"/>
  <c r="A73" i="1"/>
  <c r="A55" i="1"/>
  <c r="A53" i="1"/>
  <c r="A46" i="1"/>
  <c r="A94" i="1"/>
  <c r="A39" i="1"/>
  <c r="A42" i="1"/>
  <c r="A41" i="1"/>
  <c r="A34" i="1"/>
  <c r="A40" i="1"/>
  <c r="A29" i="1"/>
  <c r="A93" i="1"/>
  <c r="A70" i="1"/>
  <c r="A57" i="1"/>
  <c r="A19" i="1"/>
  <c r="A25" i="1"/>
  <c r="A52" i="1"/>
  <c r="A50" i="1"/>
  <c r="A38" i="1"/>
  <c r="A36" i="1"/>
  <c r="A77" i="1"/>
  <c r="A24" i="1"/>
  <c r="A78" i="1"/>
  <c r="A67" i="1"/>
  <c r="A68" i="1"/>
  <c r="A56" i="1"/>
  <c r="H267" i="2" l="1"/>
  <c r="H281" i="2"/>
  <c r="D319" i="2" s="1"/>
  <c r="D317" i="2"/>
  <c r="F267" i="2"/>
  <c r="D321" i="2" s="1"/>
  <c r="F268" i="2"/>
  <c r="D323" i="2" s="1"/>
  <c r="D310" i="2"/>
  <c r="B312" i="2"/>
  <c r="B315" i="2"/>
  <c r="B300" i="7"/>
  <c r="B299" i="7"/>
  <c r="D313" i="7"/>
  <c r="D305" i="7"/>
  <c r="D306" i="7"/>
  <c r="B316" i="7"/>
  <c r="F266" i="7"/>
  <c r="B317" i="7" s="1"/>
  <c r="F263" i="7"/>
  <c r="F89" i="7"/>
  <c r="D109" i="7" s="1"/>
  <c r="E98" i="7"/>
  <c r="F32" i="7"/>
  <c r="D103" i="7" s="1"/>
  <c r="C96" i="7"/>
  <c r="F281" i="4"/>
  <c r="D322" i="4" s="1"/>
  <c r="F272" i="4"/>
  <c r="F271" i="4"/>
  <c r="D314" i="4" s="1"/>
  <c r="B325" i="4"/>
  <c r="H262" i="4"/>
  <c r="B323" i="4" s="1"/>
  <c r="F260" i="4"/>
  <c r="F261" i="4"/>
  <c r="B309" i="4"/>
  <c r="F258" i="4"/>
  <c r="B315" i="4" s="1"/>
  <c r="F259" i="4"/>
  <c r="F282" i="13"/>
  <c r="F285" i="13"/>
  <c r="H161" i="2"/>
  <c r="H165" i="2"/>
  <c r="F185" i="2"/>
  <c r="F181" i="2"/>
  <c r="H181" i="2"/>
  <c r="H177" i="2"/>
  <c r="F143" i="2"/>
  <c r="F139" i="2"/>
  <c r="H185" i="2"/>
  <c r="F177" i="2"/>
  <c r="H182" i="2"/>
  <c r="H178" i="2"/>
  <c r="H163" i="2"/>
  <c r="H159" i="2"/>
  <c r="F129" i="2"/>
  <c r="H121" i="2"/>
  <c r="F124" i="2"/>
  <c r="F120" i="2"/>
  <c r="F125" i="2"/>
  <c r="F121" i="2"/>
  <c r="F144" i="2"/>
  <c r="F140" i="2"/>
  <c r="H123" i="2"/>
  <c r="H119" i="2"/>
  <c r="F147" i="2"/>
  <c r="H139" i="2"/>
  <c r="H166" i="2"/>
  <c r="F158" i="2"/>
  <c r="F148" i="2"/>
  <c r="H140" i="2"/>
  <c r="H127" i="2"/>
  <c r="F119" i="2"/>
  <c r="F128" i="2"/>
  <c r="H120" i="2"/>
  <c r="H148" i="2"/>
  <c r="H144" i="2"/>
  <c r="H183" i="2"/>
  <c r="H179" i="2"/>
  <c r="H129" i="2"/>
  <c r="H125" i="2"/>
  <c r="H160" i="2"/>
  <c r="H164" i="2"/>
  <c r="D322" i="2" l="1"/>
  <c r="F127" i="7"/>
  <c r="F123" i="7"/>
  <c r="H148" i="7"/>
  <c r="H144" i="7"/>
  <c r="H138" i="7"/>
  <c r="H142" i="7"/>
  <c r="H181" i="7"/>
  <c r="H177" i="7"/>
  <c r="B312" i="7"/>
  <c r="B311" i="7"/>
  <c r="B317" i="4"/>
  <c r="B316" i="4"/>
  <c r="B320" i="4"/>
  <c r="B321" i="4"/>
  <c r="B319" i="4"/>
  <c r="B318" i="4"/>
  <c r="D317" i="4"/>
  <c r="D316" i="4"/>
</calcChain>
</file>

<file path=xl/sharedStrings.xml><?xml version="1.0" encoding="utf-8"?>
<sst xmlns="http://schemas.openxmlformats.org/spreadsheetml/2006/main" count="8965" uniqueCount="2057">
  <si>
    <t>2026 NJO S2</t>
  </si>
  <si>
    <t>CUSTOM TIMES</t>
  </si>
  <si>
    <t>THURSDAY JULY 23</t>
  </si>
  <si>
    <t>done by 4:30pm</t>
  </si>
  <si>
    <t>start after 4pm</t>
  </si>
  <si>
    <t>start after 10am</t>
  </si>
  <si>
    <t>11am-4pm YMCA</t>
  </si>
  <si>
    <t>after 1pm</t>
  </si>
  <si>
    <t>7am-12pm 5pm-8pm</t>
  </si>
  <si>
    <t>EL TORO HS 1</t>
  </si>
  <si>
    <t>EL TORO HS 2</t>
  </si>
  <si>
    <t>EL TORO HS 3</t>
  </si>
  <si>
    <t>BECKMAN HS 2</t>
  </si>
  <si>
    <t>CAPISTRANO VALLEY HS 2</t>
  </si>
  <si>
    <t>TUSTIN HS 2</t>
  </si>
  <si>
    <t>OCEAN VIEW HS 2</t>
  </si>
  <si>
    <t>GOLDEN WEST COLLEGE 2</t>
  </si>
  <si>
    <t>ALISO NIGUEL HS</t>
  </si>
  <si>
    <t>SAN CLEMENTE HS</t>
  </si>
  <si>
    <t>MISSION VIEJO HS</t>
  </si>
  <si>
    <t>LAGUNA HILLS HS</t>
  </si>
  <si>
    <t>UC IRVINE 1</t>
  </si>
  <si>
    <t>UC IRVINE 2</t>
  </si>
  <si>
    <t>EL MODENA HS</t>
  </si>
  <si>
    <t>GARDEN GROVE HS</t>
  </si>
  <si>
    <t>PORTOLA HS 2</t>
  </si>
  <si>
    <t>VILLA PARK HS</t>
  </si>
  <si>
    <t>TRABUCO HILLS HS</t>
  </si>
  <si>
    <t>SADDLEBACK COLLEGE 2</t>
  </si>
  <si>
    <t>FULLERTON HS</t>
  </si>
  <si>
    <t>BREA OLINDA HS</t>
  </si>
  <si>
    <t>ESPERANZA HS</t>
  </si>
  <si>
    <t>OCEAN VIEW HS 1</t>
  </si>
  <si>
    <t>NEWPORT HARBOR HS</t>
  </si>
  <si>
    <t>ORANGE COAST COLLEGE 1</t>
  </si>
  <si>
    <t>YORBA LINDA HS</t>
  </si>
  <si>
    <t>GOLDEN WEST COLLEGE 1</t>
  </si>
  <si>
    <t>TROY HS</t>
  </si>
  <si>
    <t>VALLEY HS (SA)</t>
  </si>
  <si>
    <t>SUNNY HILLS HS</t>
  </si>
  <si>
    <t>CAPISTRANO VALLEY HS 1</t>
  </si>
  <si>
    <t>BECKMAN HS 1</t>
  </si>
  <si>
    <t>TUSTIN HS 1</t>
  </si>
  <si>
    <t>SAN JUAN HILLS HS</t>
  </si>
  <si>
    <t>PORTOLA HS 1</t>
  </si>
  <si>
    <t>EDISON HS</t>
  </si>
  <si>
    <t>LONG BEACH CC 2</t>
  </si>
  <si>
    <t>SADDLEBACK COLLEGE 1</t>
  </si>
  <si>
    <t>ANAHEIM HS</t>
  </si>
  <si>
    <t>LA SERNA HS</t>
  </si>
  <si>
    <t>FULLERTON COLLEGE</t>
  </si>
  <si>
    <t>LONG BEACH CC 1</t>
  </si>
  <si>
    <t>SERVITE HS</t>
  </si>
  <si>
    <t>SONORA HS</t>
  </si>
  <si>
    <t>LA HABRA HS</t>
  </si>
  <si>
    <t>NORTHWOOD HS</t>
  </si>
  <si>
    <t>JSERRA CHS</t>
  </si>
  <si>
    <t>CHAPMAN UNIVERSITY</t>
  </si>
  <si>
    <t>WESTMINSTER HS</t>
  </si>
  <si>
    <t>MARINA HS</t>
  </si>
  <si>
    <t>FRIDAY JULY 24</t>
  </si>
  <si>
    <t>SATURDAY JULY 25</t>
  </si>
  <si>
    <t>10am start (actual 2pm start)</t>
  </si>
  <si>
    <t>NOTE 8:30am start!</t>
  </si>
  <si>
    <t>8am start</t>
  </si>
  <si>
    <t>SUNDAY JULY 26</t>
  </si>
  <si>
    <t>WOOLLETT LEFT</t>
  </si>
  <si>
    <t>WOOLLETT RIGHT</t>
  </si>
  <si>
    <t>Day 1</t>
  </si>
  <si>
    <t>HOT! RESULTS</t>
  </si>
  <si>
    <t>SUBMIT SCORES!</t>
  </si>
  <si>
    <t>Quarter Lengths by Day</t>
  </si>
  <si>
    <t>BRACKET BREAKER</t>
  </si>
  <si>
    <t>5-</t>
  </si>
  <si>
    <t>Seeds</t>
  </si>
  <si>
    <t>A</t>
  </si>
  <si>
    <t>B</t>
  </si>
  <si>
    <t>C</t>
  </si>
  <si>
    <t>D</t>
  </si>
  <si>
    <t>E</t>
  </si>
  <si>
    <t>F</t>
  </si>
  <si>
    <t>Team Travels</t>
  </si>
  <si>
    <t>A1(1)-SD DONS</t>
  </si>
  <si>
    <t>B1(2)-NEWPORT BEACH BLUE</t>
  </si>
  <si>
    <t>C1(3)-NEWPORT BEACH WHITE</t>
  </si>
  <si>
    <t>D1(4)-COMMERCE</t>
  </si>
  <si>
    <t>E1(5)-GREENWICH BLUE</t>
  </si>
  <si>
    <t>F1(6)-CDM BLUE</t>
  </si>
  <si>
    <t>A2(24)-NORCAL BLACK</t>
  </si>
  <si>
    <t>B2(23)-CC UNITED BLUE</t>
  </si>
  <si>
    <t>C2(22)-SD DONS B</t>
  </si>
  <si>
    <t>D2(21)-680 BLUE</t>
  </si>
  <si>
    <t>E2(20)-LAMORINDA BLUE</t>
  </si>
  <si>
    <t>F2(19)-LB SHORE</t>
  </si>
  <si>
    <t>A3(25)-SAN CLEMENTE BLACK</t>
  </si>
  <si>
    <t>B3(26)-GREENWICH WHITE</t>
  </si>
  <si>
    <t>C3(27)-YOLO</t>
  </si>
  <si>
    <t>D3(28)-SOCAL GOLD</t>
  </si>
  <si>
    <t>E3(29)-SHAQ</t>
  </si>
  <si>
    <t>F3(30)-CDM WHITE</t>
  </si>
  <si>
    <t>G</t>
  </si>
  <si>
    <t>H</t>
  </si>
  <si>
    <t>I</t>
  </si>
  <si>
    <t>J</t>
  </si>
  <si>
    <t>K</t>
  </si>
  <si>
    <t>L</t>
  </si>
  <si>
    <t>G1(7)-SAN CLEMENTE RED</t>
  </si>
  <si>
    <t>H1(8)-908 YELLOW</t>
  </si>
  <si>
    <t>I1(9)-LA JOLLA UNITED</t>
  </si>
  <si>
    <t>J1(10)-SOCAL BLACK</t>
  </si>
  <si>
    <t>K1(11)-680 RED</t>
  </si>
  <si>
    <t>L1(12)-ELITE</t>
  </si>
  <si>
    <t>G2(18)-ORWP</t>
  </si>
  <si>
    <t>H2(17)-STANFORD RED</t>
  </si>
  <si>
    <t>I2(16)-CC UNITED BLACK</t>
  </si>
  <si>
    <t>J2(15)-CAL REPUBLIC</t>
  </si>
  <si>
    <t>K2(14)-TEMPLE CITY BLACK</t>
  </si>
  <si>
    <t>L2(13)-TEMPLE CITY YELLOW</t>
  </si>
  <si>
    <t>G3(31)-STANFORD BLACK</t>
  </si>
  <si>
    <t>H3(32)-680 WHITE</t>
  </si>
  <si>
    <t>I3(33)-LAMORINDA GOLD</t>
  </si>
  <si>
    <t>J3(34)-LAMORINDA WHITE</t>
  </si>
  <si>
    <t>L3(35)-NORTHWEST</t>
  </si>
  <si>
    <t>10B</t>
  </si>
  <si>
    <t>Date</t>
  </si>
  <si>
    <t>Time</t>
  </si>
  <si>
    <t>Type</t>
  </si>
  <si>
    <t>Location</t>
  </si>
  <si>
    <t>Gm #</t>
  </si>
  <si>
    <t>White</t>
  </si>
  <si>
    <t>S</t>
  </si>
  <si>
    <t>Dark</t>
  </si>
  <si>
    <t>W to #</t>
  </si>
  <si>
    <t>L to #</t>
  </si>
  <si>
    <t>GMID</t>
  </si>
  <si>
    <t>Group A</t>
  </si>
  <si>
    <t>Group B</t>
  </si>
  <si>
    <t>Group C</t>
  </si>
  <si>
    <t>Group D</t>
  </si>
  <si>
    <t>BREAK</t>
  </si>
  <si>
    <t>2-3 cross</t>
  </si>
  <si>
    <t>2nd A-NORCAL BLACK</t>
  </si>
  <si>
    <t>3rd B-CC UNITED BLUE</t>
  </si>
  <si>
    <t>pt_U3</t>
  </si>
  <si>
    <t>au_N1</t>
  </si>
  <si>
    <t>2nd B-GREENWICH WHITE</t>
  </si>
  <si>
    <t xml:space="preserve">3rd A-SAN CLEMENTE BLACK	</t>
  </si>
  <si>
    <t>pt_T3</t>
  </si>
  <si>
    <t>au_M1</t>
  </si>
  <si>
    <t>2nd C-SD DONS B</t>
  </si>
  <si>
    <t>3rd D-SOCAL GOLD</t>
  </si>
  <si>
    <t>pt_S3</t>
  </si>
  <si>
    <t>au_O1</t>
  </si>
  <si>
    <t>2nd D-680 BLUE</t>
  </si>
  <si>
    <t>3rd C-YOLO</t>
  </si>
  <si>
    <t>pt_R3</t>
  </si>
  <si>
    <t>au_N4</t>
  </si>
  <si>
    <t>Group H</t>
  </si>
  <si>
    <t>Group G</t>
  </si>
  <si>
    <t>Group F</t>
  </si>
  <si>
    <t>Group E</t>
  </si>
  <si>
    <t>2nd H-STANFORD RED</t>
  </si>
  <si>
    <t>3rd G-STANFORD BLACK</t>
  </si>
  <si>
    <t>pt_U2</t>
  </si>
  <si>
    <t>au_N2</t>
  </si>
  <si>
    <t>2nd G-ORWP</t>
  </si>
  <si>
    <t>3rd H-680 WHITE</t>
  </si>
  <si>
    <t>pt_T2</t>
  </si>
  <si>
    <t>au_M2</t>
  </si>
  <si>
    <t>2nd F-CDM WHITE</t>
  </si>
  <si>
    <t>3rd E-SHAQ</t>
  </si>
  <si>
    <t>pt_S2</t>
  </si>
  <si>
    <t>au_O2</t>
  </si>
  <si>
    <t>2nd E-LAMORINDA BLUE</t>
  </si>
  <si>
    <t>3rd F-LB SHORE</t>
  </si>
  <si>
    <t>pt_R2</t>
  </si>
  <si>
    <t>au_O4</t>
  </si>
  <si>
    <t>Group I</t>
  </si>
  <si>
    <t>Group J</t>
  </si>
  <si>
    <t>Group L</t>
  </si>
  <si>
    <t>no game 9</t>
  </si>
  <si>
    <t>Group K</t>
  </si>
  <si>
    <t>pt_O3</t>
  </si>
  <si>
    <t>moved earlier</t>
  </si>
  <si>
    <t xml:space="preserve">2nd I-LA JOLLA UNITED	</t>
  </si>
  <si>
    <t>3rd J-LAMORINDA WHITE</t>
  </si>
  <si>
    <t>pt_U1</t>
  </si>
  <si>
    <t>au_N3</t>
  </si>
  <si>
    <t>2nd J-CAL REPUBLIC</t>
  </si>
  <si>
    <t>3rd I-LAMORINDA GOLD</t>
  </si>
  <si>
    <t>pt_T1</t>
  </si>
  <si>
    <t>au_M3</t>
  </si>
  <si>
    <t>3rd L-ELITE</t>
  </si>
  <si>
    <t>pt_S1</t>
  </si>
  <si>
    <t>au_O3</t>
  </si>
  <si>
    <t>no game 48</t>
  </si>
  <si>
    <t>Day 2</t>
  </si>
  <si>
    <t>Platinum</t>
  </si>
  <si>
    <t>pt_M</t>
  </si>
  <si>
    <t>pt_N</t>
  </si>
  <si>
    <t>pt_O</t>
  </si>
  <si>
    <t>pt_P</t>
  </si>
  <si>
    <t>pt_M1(1st A)-SD DONS</t>
  </si>
  <si>
    <t>pt_N1(1st B)-NEWPORT BEACH BLUE</t>
  </si>
  <si>
    <t>pt_O1(1st C)-NEWPORT BEACH WHITE</t>
  </si>
  <si>
    <t>pt_P1(1st D)-COMMERCE</t>
  </si>
  <si>
    <t>pt_M2(1st H)-908 YELLOW</t>
  </si>
  <si>
    <t>pt_N2(1st G)-SAN CLEMENTE RED</t>
  </si>
  <si>
    <t>pt_O2(1st F)-CDM BLUE</t>
  </si>
  <si>
    <t>pt_P2(1st E)-GREENWICH BLUE</t>
  </si>
  <si>
    <t>pt_M3(1st I)-CC UNITED BLACK</t>
  </si>
  <si>
    <t>pt_N3(1st J)-SOCAL BLACK</t>
  </si>
  <si>
    <t>pt_P3(1st L)-TEMPLE CITY YELLOW</t>
  </si>
  <si>
    <t>pt_R</t>
  </si>
  <si>
    <t>pt_S</t>
  </si>
  <si>
    <t>pt_T</t>
  </si>
  <si>
    <t>pt_U</t>
  </si>
  <si>
    <t>pt_R1(2nd L)-NORTHWEST</t>
  </si>
  <si>
    <t>Group</t>
  </si>
  <si>
    <t>Play-in</t>
  </si>
  <si>
    <t>3rd pt_O-CDM BLUE</t>
  </si>
  <si>
    <t>1st pt_U-STANFORD RED</t>
  </si>
  <si>
    <t>3rd pt_M-CC UNITED BLACK</t>
  </si>
  <si>
    <t>1st pt_S-SD DONS B</t>
  </si>
  <si>
    <t>3rd pt_P-GREENWICH BLUE</t>
  </si>
  <si>
    <t>1st pt_T-ORWP</t>
  </si>
  <si>
    <t>3rd pt_N-SOCAL BLACK</t>
  </si>
  <si>
    <t>1st pt_R-LAMORINDA BLUE</t>
  </si>
  <si>
    <t>NEW bz for 35 teams</t>
  </si>
  <si>
    <t>au_M</t>
  </si>
  <si>
    <t>au_N</t>
  </si>
  <si>
    <t>au_O</t>
  </si>
  <si>
    <t>pt_</t>
  </si>
  <si>
    <t>au_</t>
  </si>
  <si>
    <t>RR</t>
  </si>
  <si>
    <t>W/L</t>
  </si>
  <si>
    <t>Day 3</t>
  </si>
  <si>
    <t>5-8 v 9-12</t>
  </si>
  <si>
    <t>2nd pt_P-TEMPLE CITY YELLOW</t>
  </si>
  <si>
    <t>2nd pt_M-908 YELLOW</t>
  </si>
  <si>
    <t>2nd pt_O-680 RED</t>
  </si>
  <si>
    <t>2nd pt_N-SAN CLEMENTE RED</t>
  </si>
  <si>
    <t>1-2 v 3-4</t>
  </si>
  <si>
    <t>1st pt_N-NEWPORT BEACH BLUE</t>
  </si>
  <si>
    <t>1st pt_O-NEWPORT BEACH WHITE</t>
  </si>
  <si>
    <t>1st pt_M-SD DONS</t>
  </si>
  <si>
    <t>1st pt_P-COMMERCE</t>
  </si>
  <si>
    <t>5-6 v 7-8</t>
  </si>
  <si>
    <t>9-12 semi</t>
  </si>
  <si>
    <t>21-24 RR</t>
  </si>
  <si>
    <t>3rd pt_T-GREENWICH WHITE</t>
  </si>
  <si>
    <t>3rd pt_S-CDM WHITE</t>
  </si>
  <si>
    <t>3rd pt_U-CC UNITED BLUE</t>
  </si>
  <si>
    <t>3rd pt_R-NORTHWEST</t>
  </si>
  <si>
    <t>13-20 qtr</t>
  </si>
  <si>
    <t>2nd pt_U-LA JOLLA UNITED</t>
  </si>
  <si>
    <t>2nd pt_S-ELITE</t>
  </si>
  <si>
    <t>2nd pt_T-CAL REPUBLIC</t>
  </si>
  <si>
    <t>2nd pt_R-680 BLUE</t>
  </si>
  <si>
    <t>13-16 semi</t>
  </si>
  <si>
    <t>17-20 semi</t>
  </si>
  <si>
    <t>RR9-11</t>
  </si>
  <si>
    <t>2nd au_M-LAMORINDA GOLD</t>
  </si>
  <si>
    <t>3rd au_M-680 WHITE</t>
  </si>
  <si>
    <t>1st au_M-SAN CLEMENTE BLACK</t>
  </si>
  <si>
    <t>9-11 RR</t>
  </si>
  <si>
    <t>qtr final</t>
  </si>
  <si>
    <t>Day 4</t>
  </si>
  <si>
    <t>semi</t>
  </si>
  <si>
    <t>7th</t>
  </si>
  <si>
    <t>pt_7th</t>
  </si>
  <si>
    <t>pt_8th</t>
  </si>
  <si>
    <t>5th</t>
  </si>
  <si>
    <t>pt_5th</t>
  </si>
  <si>
    <t>pt_6th</t>
  </si>
  <si>
    <t>3rd</t>
  </si>
  <si>
    <t>au_3rd</t>
  </si>
  <si>
    <t>au_4th</t>
  </si>
  <si>
    <t>1st</t>
  </si>
  <si>
    <t>au_1st</t>
  </si>
  <si>
    <t>au_2nd</t>
  </si>
  <si>
    <t>9th</t>
  </si>
  <si>
    <t>pt_9th</t>
  </si>
  <si>
    <t>pt_10th</t>
  </si>
  <si>
    <t>11th</t>
  </si>
  <si>
    <t>pt_11th</t>
  </si>
  <si>
    <t>pt_12th</t>
  </si>
  <si>
    <t>13th</t>
  </si>
  <si>
    <t>pt_13th</t>
  </si>
  <si>
    <t>pt_14th</t>
  </si>
  <si>
    <t>15th</t>
  </si>
  <si>
    <t>pt_15th</t>
  </si>
  <si>
    <t>pt_16th</t>
  </si>
  <si>
    <t>17th</t>
  </si>
  <si>
    <t>pt_17th</t>
  </si>
  <si>
    <t>pt_18th</t>
  </si>
  <si>
    <t>19th</t>
  </si>
  <si>
    <t>pt_19th</t>
  </si>
  <si>
    <t>pt_20th</t>
  </si>
  <si>
    <t xml:space="preserve">RR </t>
  </si>
  <si>
    <t>au_5th</t>
  </si>
  <si>
    <t>au_6th</t>
  </si>
  <si>
    <t>au_7th</t>
  </si>
  <si>
    <t>au_8th</t>
  </si>
  <si>
    <t>pt_3rd</t>
  </si>
  <si>
    <t>pt_4th</t>
  </si>
  <si>
    <t>pt_1st</t>
  </si>
  <si>
    <t>pt_2nd</t>
  </si>
  <si>
    <t>pt_Place</t>
  </si>
  <si>
    <t>au_Place</t>
  </si>
  <si>
    <t>2nd</t>
  </si>
  <si>
    <t>4th</t>
  </si>
  <si>
    <t>6th</t>
  </si>
  <si>
    <t>8th</t>
  </si>
  <si>
    <t>SOCAL GOLD</t>
  </si>
  <si>
    <t>10th</t>
  </si>
  <si>
    <t>TEMPLE CITY BLACK</t>
  </si>
  <si>
    <t>LAMORINDA WHITE</t>
  </si>
  <si>
    <t>12th</t>
  </si>
  <si>
    <t>14th</t>
  </si>
  <si>
    <t>16th</t>
  </si>
  <si>
    <t>18th</t>
  </si>
  <si>
    <t>20th</t>
  </si>
  <si>
    <t>21st</t>
  </si>
  <si>
    <t>NORTHWEST</t>
  </si>
  <si>
    <t>22nd</t>
  </si>
  <si>
    <t>GREENWICH WHITE</t>
  </si>
  <si>
    <t>23rd</t>
  </si>
  <si>
    <t>CC UNITED BLUE</t>
  </si>
  <si>
    <t>24th</t>
  </si>
  <si>
    <t>CDM WHITE</t>
  </si>
  <si>
    <t>6-6-6-6</t>
  </si>
  <si>
    <t>1-SD DONS RED</t>
  </si>
  <si>
    <t>2-MISSION A</t>
  </si>
  <si>
    <t>3-VANGUARD</t>
  </si>
  <si>
    <t>4-SAN JOSE EXPRESS</t>
  </si>
  <si>
    <t>5-NORTH IRVINE BLACK</t>
  </si>
  <si>
    <t>6-SAN CLEMENTE RED</t>
  </si>
  <si>
    <t>24-680 RED</t>
  </si>
  <si>
    <t>23-ORWP BLACK</t>
  </si>
  <si>
    <t>22-SHAQ BLUE</t>
  </si>
  <si>
    <t>21-GREENWICH BLUE</t>
  </si>
  <si>
    <t>20-908 YELLOW</t>
  </si>
  <si>
    <t>19-SD DONS BLACK</t>
  </si>
  <si>
    <t>25-COMMERCE</t>
  </si>
  <si>
    <t>26-PEGASUS BLUE</t>
  </si>
  <si>
    <t>27-SD SHORES</t>
  </si>
  <si>
    <t>28-SANTA CRUZ</t>
  </si>
  <si>
    <t>29-SOUTH COAST</t>
  </si>
  <si>
    <t>30-SMAC BLACK</t>
  </si>
  <si>
    <t>48-BARCELONA LIONS</t>
  </si>
  <si>
    <t>47-CHICAGO PARK</t>
  </si>
  <si>
    <t>46-CAPITAL</t>
  </si>
  <si>
    <t>45-ASA</t>
  </si>
  <si>
    <t>44-TOPAZ TSUNAMI</t>
  </si>
  <si>
    <t>43-KERN PREMIER</t>
  </si>
  <si>
    <t>7-NEWPORT BEACH BLUE</t>
  </si>
  <si>
    <t>8-TSUNAMI</t>
  </si>
  <si>
    <t>9-TEMPLE CITY</t>
  </si>
  <si>
    <t>10-STANFORD RED</t>
  </si>
  <si>
    <t>11-SANTA BARBARA WPC A</t>
  </si>
  <si>
    <t>12-CC UNITED BLACK</t>
  </si>
  <si>
    <t>18-SOCAL</t>
  </si>
  <si>
    <t>17-LAMORINDA A</t>
  </si>
  <si>
    <t>16-CDM BLUE</t>
  </si>
  <si>
    <t>15-LA JOLLA UNITED</t>
  </si>
  <si>
    <t>14-ROSE BOWL RED</t>
  </si>
  <si>
    <t>13-LA PREMIER BLACK</t>
  </si>
  <si>
    <t>31-DAVIS BLUE</t>
  </si>
  <si>
    <t>32-PAC</t>
  </si>
  <si>
    <t>33-680 BLUE</t>
  </si>
  <si>
    <t>34-NSD STARS</t>
  </si>
  <si>
    <t>35-STANFORD BLACK</t>
  </si>
  <si>
    <t>36-YPRO</t>
  </si>
  <si>
    <t>42-CAL REPUBLIC BLACK</t>
  </si>
  <si>
    <t>41-LYONS AQUATICS</t>
  </si>
  <si>
    <t>40-PRAETORIAN</t>
  </si>
  <si>
    <t>39-CT PREMIER</t>
  </si>
  <si>
    <t>38-GREENWICH WHITE</t>
  </si>
  <si>
    <t>37-CENTRAL COAST</t>
  </si>
  <si>
    <t>12B</t>
  </si>
  <si>
    <t>pt_O1</t>
  </si>
  <si>
    <t>au_S3</t>
  </si>
  <si>
    <t>pt_M1</t>
  </si>
  <si>
    <t>au_U3</t>
  </si>
  <si>
    <t>pt_N1</t>
  </si>
  <si>
    <t>au_T3</t>
  </si>
  <si>
    <t>pt_P1</t>
  </si>
  <si>
    <t>au_R3</t>
  </si>
  <si>
    <t>pt_P2</t>
  </si>
  <si>
    <t>au_R2</t>
  </si>
  <si>
    <t>pt_O2</t>
  </si>
  <si>
    <t>au_S2</t>
  </si>
  <si>
    <t>au_P1</t>
  </si>
  <si>
    <t>au_P2</t>
  </si>
  <si>
    <t>pt_M3</t>
  </si>
  <si>
    <t>au_U1</t>
  </si>
  <si>
    <t>pt_N2</t>
  </si>
  <si>
    <t>au_T2</t>
  </si>
  <si>
    <t>pt_M2</t>
  </si>
  <si>
    <t>au_U2</t>
  </si>
  <si>
    <t>pt_N3</t>
  </si>
  <si>
    <t>au_T1</t>
  </si>
  <si>
    <t>au_S1</t>
  </si>
  <si>
    <t>pt_P3</t>
  </si>
  <si>
    <t>au_R1</t>
  </si>
  <si>
    <t>pt_R1</t>
  </si>
  <si>
    <t>au_P3</t>
  </si>
  <si>
    <t>Gold</t>
  </si>
  <si>
    <t>au_P</t>
  </si>
  <si>
    <t>au_R</t>
  </si>
  <si>
    <t>au_S</t>
  </si>
  <si>
    <t>au_T</t>
  </si>
  <si>
    <t>au_U</t>
  </si>
  <si>
    <t>3rd pt_M-CDM BLUE</t>
  </si>
  <si>
    <t xml:space="preserve">1st pt_S-SAN CLEMENTE RED	</t>
  </si>
  <si>
    <t>3rd pt_N-NEWPORT BEACH BLUE</t>
  </si>
  <si>
    <t>1st pt_R-SAN JOSE EXPRESS</t>
  </si>
  <si>
    <t/>
  </si>
  <si>
    <t>3rd pt_O-ROSE BOWL RED</t>
  </si>
  <si>
    <t>1st pt_U-680 RED</t>
  </si>
  <si>
    <t>3rd pt_P-CC UNITED BLACK</t>
  </si>
  <si>
    <t>1st pt_T-ORWP BLACK</t>
  </si>
  <si>
    <t>3rd au_M-LYONS AQUATICS</t>
  </si>
  <si>
    <t>1st au_S-STANFORD BLACK</t>
  </si>
  <si>
    <t>3rd au_N-DAVIS BLUE</t>
  </si>
  <si>
    <t>1st au_R-CENTRAL COAST</t>
  </si>
  <si>
    <t>3rd au_O-GREENWICH WHITE</t>
  </si>
  <si>
    <t>1st au_U-PAC</t>
  </si>
  <si>
    <t>3rd au_P-SOUTH COAST</t>
  </si>
  <si>
    <t>1st au_T-CHICAGO PARK</t>
  </si>
  <si>
    <t xml:space="preserve">2nd pt_P-NORTH IRVINE BLACK	</t>
  </si>
  <si>
    <t>2nd pt_M-TSUNAMI</t>
  </si>
  <si>
    <t>2nd pt_O-SD DONS BLACK</t>
  </si>
  <si>
    <t>2nd pt_N-MISSION A</t>
  </si>
  <si>
    <t>1st pt_N-STANFORD RED</t>
  </si>
  <si>
    <t>1st pt_O-VANGUARD</t>
  </si>
  <si>
    <t>1st pt_M-SD DONS RED</t>
  </si>
  <si>
    <t>1st pt_P-GREENWICH BLUE</t>
  </si>
  <si>
    <t>play to semi</t>
  </si>
  <si>
    <t>3rd pt_U-LAMORINDA A</t>
  </si>
  <si>
    <t>3rd pt_R-908 YELLOW</t>
  </si>
  <si>
    <t>3rd pt_T-SOCAL</t>
  </si>
  <si>
    <t>3rd pt_S-SHAQ BLUE</t>
  </si>
  <si>
    <t>2nd pt_U-NSD STARS</t>
  </si>
  <si>
    <t>2nd pt_S-SANTA BARBARA WPC A</t>
  </si>
  <si>
    <t>2nd pt_T-LA JOLLA UNITED</t>
  </si>
  <si>
    <t>2nd pt_R-LA PREMIER BLACK</t>
  </si>
  <si>
    <t>2nd au_P-YPRO</t>
  </si>
  <si>
    <t>2nd au_M-680 BLUE</t>
  </si>
  <si>
    <t>2nd au_O-SMAC BLACK</t>
  </si>
  <si>
    <t>2nd au_N-PEGASUS BLUE</t>
  </si>
  <si>
    <t>1st au_N-TEMPLE CITY</t>
  </si>
  <si>
    <t>1st au_O-SD SHORES</t>
  </si>
  <si>
    <t>1st au_M-COMMERCE</t>
  </si>
  <si>
    <t>1st au_P-SANTA CRUZ</t>
  </si>
  <si>
    <t>3rd au_U-PRAETORIAN</t>
  </si>
  <si>
    <t>3rd au_R-ASA</t>
  </si>
  <si>
    <t>3rd au_T-CT PREMIER</t>
  </si>
  <si>
    <t>3rd au_S-CAPITAL</t>
  </si>
  <si>
    <t>2nd au_U-BARCELONA LIONS</t>
  </si>
  <si>
    <t>2nd au_S-KERN PREMIER</t>
  </si>
  <si>
    <t>2nd au_T-CAL REPUBLIC BLACK</t>
  </si>
  <si>
    <t>2nd au_R-TOPAZ TSUNAMI</t>
  </si>
  <si>
    <t>au_15th</t>
  </si>
  <si>
    <t>au_16th</t>
  </si>
  <si>
    <t>au_13th</t>
  </si>
  <si>
    <t>au_14th</t>
  </si>
  <si>
    <t>au_9th</t>
  </si>
  <si>
    <t>au_10th</t>
  </si>
  <si>
    <t>au_11th</t>
  </si>
  <si>
    <t>au_12th</t>
  </si>
  <si>
    <t>au_19th</t>
  </si>
  <si>
    <t>au_20th</t>
  </si>
  <si>
    <t>au_17th</t>
  </si>
  <si>
    <t>au_18th</t>
  </si>
  <si>
    <t>SOCAL</t>
  </si>
  <si>
    <t>PRAETORIAN</t>
  </si>
  <si>
    <t>LAMORINDA A</t>
  </si>
  <si>
    <t>CT PREMIER</t>
  </si>
  <si>
    <t>SHAQ BLUE</t>
  </si>
  <si>
    <t>CAPITAL</t>
  </si>
  <si>
    <t>908 YELLOW</t>
  </si>
  <si>
    <t>ASA</t>
  </si>
  <si>
    <t>6-6-7-7</t>
  </si>
  <si>
    <t>1-CIU GOLD</t>
  </si>
  <si>
    <t>2-GREENWICH BLUE</t>
  </si>
  <si>
    <t>3-MISSION A</t>
  </si>
  <si>
    <t>4-LA JOLLA UNITED</t>
  </si>
  <si>
    <t>5-NEWPORT BEACH BLUE</t>
  </si>
  <si>
    <t>6-908 YELLOW A</t>
  </si>
  <si>
    <t>24-CC UNITED BLUE</t>
  </si>
  <si>
    <t>23-NORTH IRVINE BLACK</t>
  </si>
  <si>
    <t>22-680 RED</t>
  </si>
  <si>
    <t>21-SD DONS 13A GOLD</t>
  </si>
  <si>
    <t>20-HONOLULU A</t>
  </si>
  <si>
    <t>19-VANGUARD BLUE</t>
  </si>
  <si>
    <t>25-SOUTH COAST RED</t>
  </si>
  <si>
    <t>26-SAN CLEMENTE RED</t>
  </si>
  <si>
    <t>27-CDM BLUE</t>
  </si>
  <si>
    <t>28-SANTA BARBARA WPC A</t>
  </si>
  <si>
    <t>29-NORTHWEST</t>
  </si>
  <si>
    <t>30-SHAQ</t>
  </si>
  <si>
    <t>47-TOPAZ TSUNAMI</t>
  </si>
  <si>
    <t>46-LOWPO</t>
  </si>
  <si>
    <t>45-AMERICAN RIVER A</t>
  </si>
  <si>
    <t>44-PUGET SOUND</t>
  </si>
  <si>
    <t>43-COLORADO</t>
  </si>
  <si>
    <t>7-SD DONS RED</t>
  </si>
  <si>
    <t>8-NORCAL BLACK</t>
  </si>
  <si>
    <t>9-DIABLO ALLIANCE A</t>
  </si>
  <si>
    <t>10-PEGASUS</t>
  </si>
  <si>
    <t>11-LAMORINDA A</t>
  </si>
  <si>
    <t>12-LA PREMIER BLACK</t>
  </si>
  <si>
    <t>18-CC UNITED BLACK</t>
  </si>
  <si>
    <t>17-SD SHORES BLACK</t>
  </si>
  <si>
    <t>16-PATRIOT NAVY</t>
  </si>
  <si>
    <t>15-PALOS VERDES BLACK</t>
  </si>
  <si>
    <t>14-GREENWICH WHITE</t>
  </si>
  <si>
    <t>13-STANFORD RED</t>
  </si>
  <si>
    <t>31-TEXAS THUNDER</t>
  </si>
  <si>
    <t>32-NIPC</t>
  </si>
  <si>
    <t>33-PRINCETON</t>
  </si>
  <si>
    <t>34-KEARNS</t>
  </si>
  <si>
    <t>35-DAVIS</t>
  </si>
  <si>
    <t>36-CLOVIS</t>
  </si>
  <si>
    <t>42-PUNAHOU</t>
  </si>
  <si>
    <t>40-DEVILS GATE</t>
  </si>
  <si>
    <t>39-COMMERCE</t>
  </si>
  <si>
    <t>38-LONGHORN</t>
  </si>
  <si>
    <t>14B</t>
  </si>
  <si>
    <t>3rd pt_M-NORCAL BLACK</t>
  </si>
  <si>
    <t>1st pt_S-VANGUARD BLUE</t>
  </si>
  <si>
    <t>3rd pt_N-GREENWICH BLUE</t>
  </si>
  <si>
    <t>1st pt_R-STANFORD RED</t>
  </si>
  <si>
    <t>3rd pt_O-LAMORINDA A</t>
  </si>
  <si>
    <t>1st pt_U-DIABLO ALLIANCE A</t>
  </si>
  <si>
    <t>3rd pt_P-LA PREMIER BLACK</t>
  </si>
  <si>
    <t>1st pt_T-PALOS VERDES BLACK</t>
  </si>
  <si>
    <t>3rd au_M-NIPC</t>
  </si>
  <si>
    <t>1st au_S-LONGHORN</t>
  </si>
  <si>
    <t>3rd au_N-TEXAS THUNDER</t>
  </si>
  <si>
    <t>1st au_R-AMERICAN RIVER A</t>
  </si>
  <si>
    <t>1st au_U-BARCELONA LIONS</t>
  </si>
  <si>
    <t>3rd au_P-PUGET SOUND</t>
  </si>
  <si>
    <t>1st au_T-KEARNS</t>
  </si>
  <si>
    <t>2nd pt_P-LA JOLLA UNITED</t>
  </si>
  <si>
    <t>2nd pt_M-PATRIOT NAVY</t>
  </si>
  <si>
    <t>2nd pt_O-908 YELLOW A</t>
  </si>
  <si>
    <t>2nd pt_N-COMMERCE</t>
  </si>
  <si>
    <t xml:space="preserve">1st pt_N-SD DONS RED	</t>
  </si>
  <si>
    <t>1st pt_O-MISSION A</t>
  </si>
  <si>
    <t>1st pt_M-CIU GOLD</t>
  </si>
  <si>
    <t>1st pt_P-NEWPORT BEACH BLUE</t>
  </si>
  <si>
    <t>3rd pt_U-SOUTH COAST RED</t>
  </si>
  <si>
    <t>3rd pt_R-SHAQ</t>
  </si>
  <si>
    <t>3rd pt_T-SAN CLEMENTE RED</t>
  </si>
  <si>
    <t>3rd pt_S-DAVIS</t>
  </si>
  <si>
    <t>2nd pt_U-SD SHORES BLACK</t>
  </si>
  <si>
    <t xml:space="preserve">2nd pt_S-CDM BLUE	</t>
  </si>
  <si>
    <t>2nd pt_T-CC UNITED BLACK</t>
  </si>
  <si>
    <t>2nd pt_R-680 RED</t>
  </si>
  <si>
    <t>2nd au_P-CLOVIS</t>
  </si>
  <si>
    <t>2nd au_M-CC UNITED BLUE</t>
  </si>
  <si>
    <t>2nd au_O-NORTHWEST</t>
  </si>
  <si>
    <t>2nd au_N-PEGASUS</t>
  </si>
  <si>
    <t>1st au_N-NORTH IRVINE BLACK</t>
  </si>
  <si>
    <t>1st au_O-SD DONS 13A GOLD</t>
  </si>
  <si>
    <t>1st au_M-DEVILS GATE</t>
  </si>
  <si>
    <t>1st au_P-SANTA BARBARA WPC A</t>
  </si>
  <si>
    <t>3rd au_U-LYONS AQUATICS</t>
  </si>
  <si>
    <t>3rd au_R-CENTRAL COAST</t>
  </si>
  <si>
    <t>3rd au_T-PUNAHOU</t>
  </si>
  <si>
    <t>3rd au_S-LOWPO</t>
  </si>
  <si>
    <t>2nd au_U-PRINCETON</t>
  </si>
  <si>
    <t>2nd au_S-COLORADO</t>
  </si>
  <si>
    <t>2nd au_T-TOPAZ TSUNAMI</t>
  </si>
  <si>
    <t>2nd au_R-HONOLULU A</t>
  </si>
  <si>
    <t>SOUTH COAST RED</t>
  </si>
  <si>
    <t>CENTRAL COAST</t>
  </si>
  <si>
    <t>SAN CLEMENTE RED</t>
  </si>
  <si>
    <t>PUNAHOU</t>
  </si>
  <si>
    <t>DAVIS</t>
  </si>
  <si>
    <t>LOWPO</t>
  </si>
  <si>
    <t>SHAQ</t>
  </si>
  <si>
    <t>LYONS AQUATICS</t>
  </si>
  <si>
    <t>1-SD SHORES BLACK</t>
  </si>
  <si>
    <t>2-LA JOLLA UNITED NAVY</t>
  </si>
  <si>
    <t>3-STANFORD RED</t>
  </si>
  <si>
    <t>4-KEARNS</t>
  </si>
  <si>
    <t>5-SD DONS</t>
  </si>
  <si>
    <t>6-NEWPORT BEACH BLUE</t>
  </si>
  <si>
    <t>24-SAN JOSE FOUNDATION</t>
  </si>
  <si>
    <t>23-GREENWICH WHITE</t>
  </si>
  <si>
    <t>22-TEXAS THUNDER BLACK</t>
  </si>
  <si>
    <t>21-AETOS</t>
  </si>
  <si>
    <t>20-IMPERIAL</t>
  </si>
  <si>
    <t>19-MISSION</t>
  </si>
  <si>
    <t>25-SAND CANYON BLACK</t>
  </si>
  <si>
    <t>26-CAPITAL</t>
  </si>
  <si>
    <t>27-ROSE BOWL RED</t>
  </si>
  <si>
    <t>28-VNITED A</t>
  </si>
  <si>
    <t>29-SANTA CRUZ</t>
  </si>
  <si>
    <t>30-LB SHORE RED</t>
  </si>
  <si>
    <t>47-HONOLULU B</t>
  </si>
  <si>
    <t>46-NIPC</t>
  </si>
  <si>
    <t>45-ELMHURST</t>
  </si>
  <si>
    <t>44-KERN PREMIER</t>
  </si>
  <si>
    <t>43-LYONS AQUATICS</t>
  </si>
  <si>
    <t>7-CIU GOLD</t>
  </si>
  <si>
    <t>8-VANGUARD BLUE</t>
  </si>
  <si>
    <t>9-SANTA BARBARA WPC A</t>
  </si>
  <si>
    <t>10-BERKELEY</t>
  </si>
  <si>
    <t>11-LA PREMIER</t>
  </si>
  <si>
    <t>12-TROJAN CARDINAL</t>
  </si>
  <si>
    <t>18-LA JOLLA UNITED B</t>
  </si>
  <si>
    <t>17-680 RED</t>
  </si>
  <si>
    <t>15-CC UNITED BLACK</t>
  </si>
  <si>
    <t>14-LAMORINDA A</t>
  </si>
  <si>
    <t>13-GREENWICH BLUE</t>
  </si>
  <si>
    <t>31-CLOVIS A</t>
  </si>
  <si>
    <t>32-AMERICAN RIVER BLUE</t>
  </si>
  <si>
    <t>33-HONOLULU A</t>
  </si>
  <si>
    <t>34-NORTHWEST</t>
  </si>
  <si>
    <t>35-TOPAZ TSUNAMI</t>
  </si>
  <si>
    <t>36-NARROWS</t>
  </si>
  <si>
    <t>42-CHICAGO PARK</t>
  </si>
  <si>
    <t>41-CLOVIS RED</t>
  </si>
  <si>
    <t>40-PEGASUS BLUE</t>
  </si>
  <si>
    <t>39-MIAMI RIPTIDES</t>
  </si>
  <si>
    <t>38-CC UNITED BLUE B</t>
  </si>
  <si>
    <t>37-LONGHORN</t>
  </si>
  <si>
    <t>16B</t>
  </si>
  <si>
    <t>`</t>
  </si>
  <si>
    <t>3rd pt_M-VANGUARD BLUE</t>
  </si>
  <si>
    <t>1st pt_S-ROSE BOWL RED</t>
  </si>
  <si>
    <t>3rd pt_N-CIU GOLD</t>
  </si>
  <si>
    <t>1st pt_R-TEXAS THUNDER BLACK</t>
  </si>
  <si>
    <t>1st pt_U-SANTA BARBARA WPC A</t>
  </si>
  <si>
    <t>3rd pt_P-TROJAN CARDINAL</t>
  </si>
  <si>
    <t>1st pt_T-CC UNITED BLACK</t>
  </si>
  <si>
    <t>3rd au_M-AMERICAN RIVER BLUE</t>
  </si>
  <si>
    <t xml:space="preserve">1st au_S-TOPAZ TSUNAMI	</t>
  </si>
  <si>
    <t>3rd au_N-MIAMI RIPTIDES</t>
  </si>
  <si>
    <t>1st au_R-KERN PREMIER</t>
  </si>
  <si>
    <t>3rd au_O-ELMHURST</t>
  </si>
  <si>
    <t>1st au_U-PEGASUS BLUE</t>
  </si>
  <si>
    <t>3rd au_P-VNITED A</t>
  </si>
  <si>
    <t>1st au_T-NORTHWEST</t>
  </si>
  <si>
    <t>2nd pt_P-AETOS</t>
  </si>
  <si>
    <t xml:space="preserve">2nd pt_M-SD SHORES BLACK	</t>
  </si>
  <si>
    <t>2nd pt_O-STANFORD RED</t>
  </si>
  <si>
    <t xml:space="preserve">2nd pt_N-LA JOLLA UNITED NAVY	</t>
  </si>
  <si>
    <t>1st pt_N-BERKELEY</t>
  </si>
  <si>
    <t>1st pt_O-NEWPORT BEACH BLUE</t>
  </si>
  <si>
    <t>1st pt_M-PATRIOT NAVY</t>
  </si>
  <si>
    <t>1st pt_P-IMPERIAL</t>
  </si>
  <si>
    <t>3rd pt_U-680 RED</t>
  </si>
  <si>
    <t>3rd pt_R-SD DONS</t>
  </si>
  <si>
    <t>3rd pt_T-SAND CANYON BLACK</t>
  </si>
  <si>
    <t>3rd pt_S-LONGHORN</t>
  </si>
  <si>
    <t>2nd pt_U-SAN JOSE FOUNDATION</t>
  </si>
  <si>
    <t>2nd pt_S-LB SHORE RED</t>
  </si>
  <si>
    <t>2nd pt_T-LA JOLLA UNITED B</t>
  </si>
  <si>
    <t>2nd pt_R-GREENWICH BLUE</t>
  </si>
  <si>
    <t>2nd au_P-SANTA CRUZ</t>
  </si>
  <si>
    <t>2nd au_M-CAPITAL</t>
  </si>
  <si>
    <t>2nd au_O-MISSION</t>
  </si>
  <si>
    <t>2nd au_N-GREENWICH WHITE</t>
  </si>
  <si>
    <t>1st au_N-CLOVIS A</t>
  </si>
  <si>
    <t>1st au_O-CC UNITED BLUE B</t>
  </si>
  <si>
    <t>1st au_M-HONOLULU A</t>
  </si>
  <si>
    <t>1st au_P-LA PREMIER</t>
  </si>
  <si>
    <t>3rd au_U-BARCELONA LIONS</t>
  </si>
  <si>
    <t>3rd au_R-KEARNS</t>
  </si>
  <si>
    <t>3rd au_T-CHICAGO PARK</t>
  </si>
  <si>
    <t>3rd au_S-NIPC</t>
  </si>
  <si>
    <t>2nd au_U-CLOVIS RED</t>
  </si>
  <si>
    <t>2nd au_S-LYONS AQUATICS</t>
  </si>
  <si>
    <t>2nd au_T-HONOLULU B</t>
  </si>
  <si>
    <t>2nd au_R-NARROWS</t>
  </si>
  <si>
    <t>LONGHORN</t>
  </si>
  <si>
    <t>CHICAGO PARK</t>
  </si>
  <si>
    <t>SD DONS</t>
  </si>
  <si>
    <t>KEARNS</t>
  </si>
  <si>
    <t>SAND CANYON BLACK</t>
  </si>
  <si>
    <t>BARCELONA LIONS</t>
  </si>
  <si>
    <t>680 RED</t>
  </si>
  <si>
    <t>NIPC</t>
  </si>
  <si>
    <t>7-7-7-7</t>
  </si>
  <si>
    <t>1-NEWPORT BEACH</t>
  </si>
  <si>
    <t>2-MISSION</t>
  </si>
  <si>
    <t>3-SD DONS</t>
  </si>
  <si>
    <t>4-CC UNITED BLACK</t>
  </si>
  <si>
    <t>5-CORONA DEL MAR</t>
  </si>
  <si>
    <t>6-LAMORINDA A</t>
  </si>
  <si>
    <t>24-AMERICAN RIVER BLUE</t>
  </si>
  <si>
    <t>23-SAND CANYON BLACK</t>
  </si>
  <si>
    <t>22-SAN FRANCISCO WARRIORS</t>
  </si>
  <si>
    <t>21-CT PREMIER</t>
  </si>
  <si>
    <t>20-LA JOLLA UNITED A</t>
  </si>
  <si>
    <t>19-FOOTHILL RED A</t>
  </si>
  <si>
    <t>25-LA PREMIER A</t>
  </si>
  <si>
    <t>26-KEARNS</t>
  </si>
  <si>
    <t>27-VEGAS NORTH IRVINE BLACK</t>
  </si>
  <si>
    <t>28-LONGHORN</t>
  </si>
  <si>
    <t>29-SHAQ BLUE</t>
  </si>
  <si>
    <t>30-ELMHURST</t>
  </si>
  <si>
    <t>48-CIU GOLD</t>
  </si>
  <si>
    <t>47-SLAP</t>
  </si>
  <si>
    <t>46-SWIFT</t>
  </si>
  <si>
    <t>45-WOLVERINE</t>
  </si>
  <si>
    <t>44-PEGASUS BLUE</t>
  </si>
  <si>
    <t>43-CHICAGO PARK</t>
  </si>
  <si>
    <t>7-SOCAL</t>
  </si>
  <si>
    <t>8-CIU SENIORS A</t>
  </si>
  <si>
    <t>9-STANFORD RED</t>
  </si>
  <si>
    <t>10-TROJAN CARDINAL</t>
  </si>
  <si>
    <t>11-GREENWICH</t>
  </si>
  <si>
    <t>12-AETOS</t>
  </si>
  <si>
    <t>18-NORCAL BLACK</t>
  </si>
  <si>
    <t>17-IMPERIAL BLUE</t>
  </si>
  <si>
    <t>16-DIABLO ALLIANCE A</t>
  </si>
  <si>
    <t>15-SD SHORES BLACK</t>
  </si>
  <si>
    <t>14-ATHERTON</t>
  </si>
  <si>
    <t>13-PRIDE A</t>
  </si>
  <si>
    <t>32-PRAETORIAN</t>
  </si>
  <si>
    <t>33-WCAC UNITED</t>
  </si>
  <si>
    <t>34-PUNAHOU</t>
  </si>
  <si>
    <t>35-VEGAS NORTH IRVINE RED</t>
  </si>
  <si>
    <t>36-LOWPO</t>
  </si>
  <si>
    <t>42-TEXAS THUNDER SOUTH BLUE</t>
  </si>
  <si>
    <t>41-NIPC</t>
  </si>
  <si>
    <t>40-PUGET SOUND</t>
  </si>
  <si>
    <t>39-VNITED</t>
  </si>
  <si>
    <t>38-TEXAS THUNDER NORTH BLACK</t>
  </si>
  <si>
    <t>37-VANGUARD BLUE</t>
  </si>
  <si>
    <t>18B</t>
  </si>
  <si>
    <t xml:space="preserve">   </t>
  </si>
  <si>
    <t>flipped 28,29</t>
  </si>
  <si>
    <t>3rd pt_P-AETOS</t>
  </si>
  <si>
    <t>1st pt_T-TROJAN CARDINAL</t>
  </si>
  <si>
    <t>3rd pt_O-ATHERTON</t>
  </si>
  <si>
    <t>1st pt_U-LA PREMIER A</t>
  </si>
  <si>
    <t>3rd au_N-VNITED</t>
  </si>
  <si>
    <t>1st au_R-LOWPO</t>
  </si>
  <si>
    <t>3rd au_P-LONGHORN</t>
  </si>
  <si>
    <t>1st au_T-SLAP</t>
  </si>
  <si>
    <t>3rd au_M-PRAETORIAN</t>
  </si>
  <si>
    <t>1st au_S-CHICAGO PARK</t>
  </si>
  <si>
    <t>1st au_U-AMERICAN RIVER BLUE</t>
  </si>
  <si>
    <t>3rd pt_N-MISSION</t>
  </si>
  <si>
    <t>1st pt_R-PRIDE A</t>
  </si>
  <si>
    <t>3rd pt_M-CIU SENIORS A</t>
  </si>
  <si>
    <t>1st pt_S-GREENWICH</t>
  </si>
  <si>
    <t>2nd pt_O-SD DONS</t>
  </si>
  <si>
    <t>2nd pt_N-NORCAL BLACK</t>
  </si>
  <si>
    <t>2nd pt_P-LA JOLLA UNITED A</t>
  </si>
  <si>
    <t>2nd pt_M-NEWPORT BEACH</t>
  </si>
  <si>
    <t>1st pt_M-STANFORD RED</t>
  </si>
  <si>
    <t>1st pt_P-CC UNITED BLACK</t>
  </si>
  <si>
    <t xml:space="preserve">	1st pt_N-SD SHORES BLACK</t>
  </si>
  <si>
    <t>1st pt_O-LAMORINDA A</t>
  </si>
  <si>
    <t>3rd pt_U-DIABLO ALLIANCE A</t>
  </si>
  <si>
    <t>3rd pt_R-CORONA DEL MAR</t>
  </si>
  <si>
    <t>3rd pt_T-CIU GOLD</t>
  </si>
  <si>
    <t xml:space="preserve">	2nd pt_U-IMPERIAL BLUE</t>
  </si>
  <si>
    <t>2nd pt_S-VEGAS NORTH IRVINE BLACK</t>
  </si>
  <si>
    <t>2nd pt_T-SOCAL</t>
  </si>
  <si>
    <t>2nd pt_R-SAN FRANCISCO WARRIORS</t>
  </si>
  <si>
    <t xml:space="preserve">3rd pt_U-DIABLO ALLIANCE A		</t>
  </si>
  <si>
    <t xml:space="preserve">	3rd pt_T-CIU GOLD</t>
  </si>
  <si>
    <t>2nd au_M-WCAC UNITED</t>
  </si>
  <si>
    <t>2nd au_P-VANGUARD BLUE</t>
  </si>
  <si>
    <t>2nd au_O-TEXAS THUNDER NORTH BLACK</t>
  </si>
  <si>
    <t>2nd au_N-KEARNS</t>
  </si>
  <si>
    <t>1st au_O-CT PREMIER</t>
  </si>
  <si>
    <t>1st au_M-SAND CANYON BLACK</t>
  </si>
  <si>
    <t>1st au_P-FOOTHILL RED A</t>
  </si>
  <si>
    <t>3rd au_U-NIPC</t>
  </si>
  <si>
    <t>3rd au_R-PEGASUS BLUE</t>
  </si>
  <si>
    <t>3rd au_S-VEGAS NORTH IRVINE RED</t>
  </si>
  <si>
    <t>2nd au_U-PUGET SOUND</t>
  </si>
  <si>
    <t>2nd au_S-SWIFT</t>
  </si>
  <si>
    <t>2nd au_T-TEXAS THUNDER SOUTH BLUE</t>
  </si>
  <si>
    <t>2nd au_R-WOLVERINE</t>
  </si>
  <si>
    <t>CORONA DEL MAR</t>
  </si>
  <si>
    <t>PEGASUS BLUE</t>
  </si>
  <si>
    <t>DIABLO ALLIANCE A</t>
  </si>
  <si>
    <t>CIU GOLD</t>
  </si>
  <si>
    <t>VEGAS NORTH IRVINE RED</t>
  </si>
  <si>
    <t>SUBMIT SCORES</t>
  </si>
  <si>
    <t>E (RR)</t>
  </si>
  <si>
    <t>F (RR)</t>
  </si>
  <si>
    <t>A1(1)-FOOTHILL RED</t>
  </si>
  <si>
    <t>B1(2)-PATRIOT NAVY</t>
  </si>
  <si>
    <t>C1(3)-MISSION B</t>
  </si>
  <si>
    <t>D1(4)-OCWPC BLUE</t>
  </si>
  <si>
    <t>E1(5)-ROUTE 66</t>
  </si>
  <si>
    <t>F1(6)-CMAC</t>
  </si>
  <si>
    <t>G1(7)-LOS ALAMITOS</t>
  </si>
  <si>
    <t>H1(8)-CC UNITED BLUE</t>
  </si>
  <si>
    <t>A2(32)-STANFORD WHITE</t>
  </si>
  <si>
    <t>B2(31)-DIABLO ALLIANCE A</t>
  </si>
  <si>
    <t>C2(30)-NORTH IRVINE RED</t>
  </si>
  <si>
    <t>D2(29)-908 BLUE</t>
  </si>
  <si>
    <t>E2(28)-YOLO</t>
  </si>
  <si>
    <t>F2(27)-LA JOLLA UNITED B</t>
  </si>
  <si>
    <t>G2(26)-LAMORINDA B</t>
  </si>
  <si>
    <t>H2(25)-CARLSBAD B</t>
  </si>
  <si>
    <t>A3(33)-SANTA BARBARA WPC B</t>
  </si>
  <si>
    <t>B3(34)-AMERICAN RIVER</t>
  </si>
  <si>
    <t>C3(35)-CC UNITED WHITE</t>
  </si>
  <si>
    <t>D3(36)-SD DONS GOLD</t>
  </si>
  <si>
    <t>E3(37)-680 WHITE</t>
  </si>
  <si>
    <t>F3(38)-SHAQ WHITE</t>
  </si>
  <si>
    <t>G3(39)-CLOVIS</t>
  </si>
  <si>
    <t>H3(40)-LAMORINDA C</t>
  </si>
  <si>
    <t>E4(51)-CAL REPUBLIC RED</t>
  </si>
  <si>
    <t>F4(50)-PUNAHOU</t>
  </si>
  <si>
    <t>2's cross</t>
  </si>
  <si>
    <t>2P</t>
  </si>
  <si>
    <t>17v32</t>
  </si>
  <si>
    <t>2A</t>
  </si>
  <si>
    <t>51-</t>
  </si>
  <si>
    <t>50-</t>
  </si>
  <si>
    <t>2O</t>
  </si>
  <si>
    <t>18v31</t>
  </si>
  <si>
    <t>2B</t>
  </si>
  <si>
    <t>2N</t>
  </si>
  <si>
    <t>19v30</t>
  </si>
  <si>
    <t>2C</t>
  </si>
  <si>
    <t>K (RR)</t>
  </si>
  <si>
    <t>L (RR)</t>
  </si>
  <si>
    <t>M (RR)</t>
  </si>
  <si>
    <t>N</t>
  </si>
  <si>
    <t>O</t>
  </si>
  <si>
    <t>P</t>
  </si>
  <si>
    <t>2M</t>
  </si>
  <si>
    <t>20v29</t>
  </si>
  <si>
    <t>2D</t>
  </si>
  <si>
    <t>I1(9)-CIU GOLD</t>
  </si>
  <si>
    <t>J1(10)-TROJAN CARDINAL</t>
  </si>
  <si>
    <t>K1(11)-CHAWP</t>
  </si>
  <si>
    <t>L1(12)-CARLSBAD A</t>
  </si>
  <si>
    <t>M1(13)-SAN CLEMENTE BLACK</t>
  </si>
  <si>
    <t>N1(14)-LAGUNA BEACH</t>
  </si>
  <si>
    <t>O1(15)-NEWPORT BEACH WHITE</t>
  </si>
  <si>
    <t>P1(16)-CIU BLACK</t>
  </si>
  <si>
    <t>2L</t>
  </si>
  <si>
    <t>21v28</t>
  </si>
  <si>
    <t>2E</t>
  </si>
  <si>
    <t>I2(24)-BACK BAY</t>
  </si>
  <si>
    <t>J2(23)-ASPHALT GREEN</t>
  </si>
  <si>
    <t>K2(22)-PATRIOT RED</t>
  </si>
  <si>
    <t>L2(21)-NORCAL BLACK</t>
  </si>
  <si>
    <t>M2(20)-ECA</t>
  </si>
  <si>
    <t>N2(19)-SAN JOSE FOUNDATION BLACK</t>
  </si>
  <si>
    <t>O2(18)-LB SHORE</t>
  </si>
  <si>
    <t>P2(17)-WHITTIER</t>
  </si>
  <si>
    <t>2K</t>
  </si>
  <si>
    <t>22v27</t>
  </si>
  <si>
    <t>2F</t>
  </si>
  <si>
    <t>I3(41)-BROOKYLN HUSTLE</t>
  </si>
  <si>
    <t>J3(42)-CDM WHITE</t>
  </si>
  <si>
    <t>K3(43)-680 DRIVERS</t>
  </si>
  <si>
    <t>L3(44)-PARK CITY</t>
  </si>
  <si>
    <t>M3(45)-TROJAN GOLD</t>
  </si>
  <si>
    <t>N3(46)-DAVIS WHITE</t>
  </si>
  <si>
    <t>O3(47)-ORWP RED</t>
  </si>
  <si>
    <t>P3(48)-ARROYO GRANDE</t>
  </si>
  <si>
    <t>2J</t>
  </si>
  <si>
    <t>23v26</t>
  </si>
  <si>
    <t>2G</t>
  </si>
  <si>
    <t>K4(49)-FOOTHILL BLACK</t>
  </si>
  <si>
    <t>L4(52)-TEXAS THUNDER</t>
  </si>
  <si>
    <t>M4-OCWPC RED</t>
  </si>
  <si>
    <t>2I</t>
  </si>
  <si>
    <t>24v25</t>
  </si>
  <si>
    <t>2H</t>
  </si>
  <si>
    <t>L,E</t>
  </si>
  <si>
    <t>5A</t>
  </si>
  <si>
    <t>53A</t>
  </si>
  <si>
    <t>53B</t>
  </si>
  <si>
    <t>2's cross 21v28</t>
  </si>
  <si>
    <t>2nd L-NORCAL BLACK</t>
  </si>
  <si>
    <t>2nd E-680 WHITE</t>
  </si>
  <si>
    <t>ag_U3</t>
  </si>
  <si>
    <t>bz_P1</t>
  </si>
  <si>
    <t>2's cross 24v25</t>
  </si>
  <si>
    <t>2nd I-CIU GOLD</t>
  </si>
  <si>
    <t>2nd H-CARLSBAD B</t>
  </si>
  <si>
    <t>ag_R3</t>
  </si>
  <si>
    <t>bz_M1</t>
  </si>
  <si>
    <t>2's cross 23v26</t>
  </si>
  <si>
    <t>2nd J-ASPHALT GREEN</t>
  </si>
  <si>
    <t>2nd G-LAMORINDA B</t>
  </si>
  <si>
    <t>ag_S3</t>
  </si>
  <si>
    <t>bz_N1</t>
  </si>
  <si>
    <t>12BX</t>
  </si>
  <si>
    <t>2's cross 17v32</t>
  </si>
  <si>
    <t xml:space="preserve">2nd P-CIU BLACK	</t>
  </si>
  <si>
    <t xml:space="preserve">2nd A-STANFORD WHITE	</t>
  </si>
  <si>
    <t>ag_P3</t>
  </si>
  <si>
    <t>bz_U1</t>
  </si>
  <si>
    <t>2's cross 18v31</t>
  </si>
  <si>
    <t>2nd O-LB SHORE</t>
  </si>
  <si>
    <t>2nd B-DIABLO ALLIANCE A</t>
  </si>
  <si>
    <t>ag_O3</t>
  </si>
  <si>
    <t>bz_T1</t>
  </si>
  <si>
    <t>32A</t>
  </si>
  <si>
    <t>51A</t>
  </si>
  <si>
    <t>2's cross 19v30</t>
  </si>
  <si>
    <t>2nd N-SAN JOSE FOUNDATION BLACK</t>
  </si>
  <si>
    <t>2nd C-NORTH IRVINE RED</t>
  </si>
  <si>
    <t>ag_N3</t>
  </si>
  <si>
    <t>bz_S1</t>
  </si>
  <si>
    <t>2's cross 20v29</t>
  </si>
  <si>
    <t>2nd M-ECA</t>
  </si>
  <si>
    <t>2nd D-908 BLUE</t>
  </si>
  <si>
    <t>ag_M3</t>
  </si>
  <si>
    <t>bz_R1</t>
  </si>
  <si>
    <t>13A</t>
  </si>
  <si>
    <t>2's cross 22v27</t>
  </si>
  <si>
    <t>2nd K-PATRIOT RED</t>
  </si>
  <si>
    <t>2nd F-LA JOLLA UNITED B</t>
  </si>
  <si>
    <t>ag_T3</t>
  </si>
  <si>
    <t>bz_O1</t>
  </si>
  <si>
    <t>ag_M</t>
  </si>
  <si>
    <t>ag_N</t>
  </si>
  <si>
    <t>ag_O</t>
  </si>
  <si>
    <t>ag_P</t>
  </si>
  <si>
    <t>DAY 1 CROSSES</t>
  </si>
  <si>
    <t>ag_M1(1stA)-FOOTHILL RED</t>
  </si>
  <si>
    <t xml:space="preserve">ag_N1(1stB)-PATRIOT NAVY	</t>
  </si>
  <si>
    <t>ag_O1(1stC)-MISSION B</t>
  </si>
  <si>
    <t>ag_P1(1stD)-OCWPC BLUE</t>
  </si>
  <si>
    <t>ag_M2(1stP)-WHITTIER</t>
  </si>
  <si>
    <t>ag_N2(1stO)-NEWPORT BEACH WHITE</t>
  </si>
  <si>
    <t>ag_O2(1stN)-LAGUNA BEACH</t>
  </si>
  <si>
    <t>ag_P2(1stM)-SAN CLEMENTE BLACK</t>
  </si>
  <si>
    <t>ag_R</t>
  </si>
  <si>
    <t>ag_S</t>
  </si>
  <si>
    <t>ag_T</t>
  </si>
  <si>
    <t>ag_U</t>
  </si>
  <si>
    <t>ag_R1(1stE)-ROUTE 66</t>
  </si>
  <si>
    <t>ag_S1(1stF)-CMAC</t>
  </si>
  <si>
    <t>ag_T1(1stG)-LOS ALAMITOS</t>
  </si>
  <si>
    <t>ag_U1(1stH)-CC UNITED BLUE</t>
  </si>
  <si>
    <t>ag_R2(1stL)-CARLSBAD A</t>
  </si>
  <si>
    <t>ag_S2(1stK)-CHAWP</t>
  </si>
  <si>
    <t>ag_T2(1stJ)-TROJAN CARDINAL</t>
  </si>
  <si>
    <t xml:space="preserve">ag_U2(1stI)-BACK BAY	</t>
  </si>
  <si>
    <t>bz_M</t>
  </si>
  <si>
    <t>bz_N</t>
  </si>
  <si>
    <t>bz_O</t>
  </si>
  <si>
    <t>bz_P</t>
  </si>
  <si>
    <t>bz_M2(3rdE)-YOLO</t>
  </si>
  <si>
    <t>bz_N2(3rdF)-PUNAHOU</t>
  </si>
  <si>
    <t>bz_O2(3rdG)-CLOVIS</t>
  </si>
  <si>
    <t xml:space="preserve">bz_P2(3rdH)-LAMORINDA C	</t>
  </si>
  <si>
    <t>bz_M3(3rdL)-TEXAS THUNDER</t>
  </si>
  <si>
    <t>bz_N3(3rdK)-680 DRIVERS</t>
  </si>
  <si>
    <t>bz_O3(3rdJ)-CDM WHITE</t>
  </si>
  <si>
    <t>bz_P3(3rdI)-BROOKYLN HUSTLE</t>
  </si>
  <si>
    <t>bz_P4(4thM)-TROJAN GOLD</t>
  </si>
  <si>
    <t>bz_R</t>
  </si>
  <si>
    <t>bz_S</t>
  </si>
  <si>
    <t>bz_T</t>
  </si>
  <si>
    <t>bz_U</t>
  </si>
  <si>
    <t>bz_R2(3rdA)-SANTA BARBARA WPC B</t>
  </si>
  <si>
    <t>bz_S2(3rdB)-AMERICAN RIVER</t>
  </si>
  <si>
    <t>bz_T2(3rdC)-CC UNITED WHITE</t>
  </si>
  <si>
    <t>bz_U2(3rdD)-SD DONS GOLD</t>
  </si>
  <si>
    <t>bz_R3(3rdP)-ARROYO GRANDE</t>
  </si>
  <si>
    <t>bz_S3(3rdO)-ORWP RED</t>
  </si>
  <si>
    <t>bz_T3(3rdN)-DAVIS WHITE</t>
  </si>
  <si>
    <t>bz_U3(3rdM)-OCWPC RED</t>
  </si>
  <si>
    <t>DAY 2 SILVER Crosses</t>
  </si>
  <si>
    <t>DAY 3 SILVER QF Crosses</t>
  </si>
  <si>
    <t>bz_R4(4thL)-PARK CITY</t>
  </si>
  <si>
    <t>bz_S4(4thK)-FOOTHILL BLACK</t>
  </si>
  <si>
    <t>bz_T4(4thF)-SHAQ WHITE</t>
  </si>
  <si>
    <t>bz_U4(4thE)-CAL REPUBLIC RED</t>
  </si>
  <si>
    <t>2nd ag_M</t>
  </si>
  <si>
    <t>16v11</t>
  </si>
  <si>
    <t>2nd ag_S</t>
  </si>
  <si>
    <t>1st ag_M</t>
  </si>
  <si>
    <t>1v6</t>
  </si>
  <si>
    <t>1st ag_S</t>
  </si>
  <si>
    <t>2nd ag_N</t>
  </si>
  <si>
    <t>15v12</t>
  </si>
  <si>
    <t>2nd ag_R</t>
  </si>
  <si>
    <t>1st ag_N</t>
  </si>
  <si>
    <t>2v5</t>
  </si>
  <si>
    <t>1st ag_R</t>
  </si>
  <si>
    <t>2nd ag_O</t>
  </si>
  <si>
    <t>14v9</t>
  </si>
  <si>
    <t>2nd ag_U</t>
  </si>
  <si>
    <t>1st ag_O</t>
  </si>
  <si>
    <t>3v8</t>
  </si>
  <si>
    <t>1st ag_U</t>
  </si>
  <si>
    <t>2nd ag_P</t>
  </si>
  <si>
    <t>13v10</t>
  </si>
  <si>
    <t>2nd ag_T</t>
  </si>
  <si>
    <t>1st ag_P</t>
  </si>
  <si>
    <t>4v7</t>
  </si>
  <si>
    <t>1st ag_T</t>
  </si>
  <si>
    <t>DAY 2 BRONZE Crosses</t>
  </si>
  <si>
    <t>DAY 3 BRONZE QF Crosses</t>
  </si>
  <si>
    <t>2nd bz_M</t>
  </si>
  <si>
    <t>37v34</t>
  </si>
  <si>
    <t>2nd bz_S(L97)</t>
  </si>
  <si>
    <t>1st bz_M</t>
  </si>
  <si>
    <t>25v30</t>
  </si>
  <si>
    <t>1st bz_S</t>
  </si>
  <si>
    <t>2nd bz_N</t>
  </si>
  <si>
    <t>38v33</t>
  </si>
  <si>
    <t>2nd bz_R</t>
  </si>
  <si>
    <t>1st bz_N</t>
  </si>
  <si>
    <t>26v29</t>
  </si>
  <si>
    <t>1st bz_R</t>
  </si>
  <si>
    <t>2nd bz_O</t>
  </si>
  <si>
    <t>39v36</t>
  </si>
  <si>
    <t>2nd bz_U</t>
  </si>
  <si>
    <t>1st bz_O</t>
  </si>
  <si>
    <t>.27v32</t>
  </si>
  <si>
    <t>1st bz_U</t>
  </si>
  <si>
    <t>2nd bz_P</t>
  </si>
  <si>
    <t>40v35</t>
  </si>
  <si>
    <t>2nd bz_T(L98)</t>
  </si>
  <si>
    <t>1st bz_P</t>
  </si>
  <si>
    <t>28v31</t>
  </si>
  <si>
    <t>1st bz_T</t>
  </si>
  <si>
    <t>ag_</t>
  </si>
  <si>
    <t>bz_</t>
  </si>
  <si>
    <t>65A</t>
  </si>
  <si>
    <t>65B</t>
  </si>
  <si>
    <t>65C</t>
  </si>
  <si>
    <t>R Group of 4</t>
  </si>
  <si>
    <t>97A</t>
  </si>
  <si>
    <t>73A</t>
  </si>
  <si>
    <t>S Group of 4</t>
  </si>
  <si>
    <t>1st/2ndR</t>
  </si>
  <si>
    <t>1st/2ndS</t>
  </si>
  <si>
    <t>3rd/4thR</t>
  </si>
  <si>
    <t>bz_V2</t>
  </si>
  <si>
    <t>3rd/4thS</t>
  </si>
  <si>
    <t>bz_V3</t>
  </si>
  <si>
    <t>U Group of 4</t>
  </si>
  <si>
    <t>90A</t>
  </si>
  <si>
    <t>P group of 4</t>
  </si>
  <si>
    <t>74A</t>
  </si>
  <si>
    <t>T group of 4</t>
  </si>
  <si>
    <t>1st/2ndU</t>
  </si>
  <si>
    <t>3rd/4thU</t>
  </si>
  <si>
    <t>bz_X3</t>
  </si>
  <si>
    <t>1st/2ndP</t>
  </si>
  <si>
    <t>3rd/4thP</t>
  </si>
  <si>
    <t>1st/2ndT</t>
  </si>
  <si>
    <t>3rd/4thT</t>
  </si>
  <si>
    <t>bz_W3</t>
  </si>
  <si>
    <t>DAY 3 PLATINUM Crosses</t>
  </si>
  <si>
    <t xml:space="preserve">1st ag_M-FOOTHILL RED	</t>
  </si>
  <si>
    <t>1st ag_S-CHAWP</t>
  </si>
  <si>
    <t>W117 2O/2U</t>
  </si>
  <si>
    <t>bz 21-29</t>
  </si>
  <si>
    <t>1st ag_N-PATRIOT NAVY</t>
  </si>
  <si>
    <t>1st ag_R-CARLSBAD A</t>
  </si>
  <si>
    <t>W127 2N/2R</t>
  </si>
  <si>
    <t>V</t>
  </si>
  <si>
    <t>W</t>
  </si>
  <si>
    <t>X</t>
  </si>
  <si>
    <t>1st ag_O-MISSION B</t>
  </si>
  <si>
    <t>1st ag_U-CC UNITED BLUE</t>
  </si>
  <si>
    <t>W122 2P/T</t>
  </si>
  <si>
    <t>1st ag_P-OCWPC BLUE</t>
  </si>
  <si>
    <t>1st ag_T-LOS ALAMITOS</t>
  </si>
  <si>
    <t>W124 2M/S</t>
  </si>
  <si>
    <t>DAY 3 GOLD Crosses</t>
  </si>
  <si>
    <t>bz Y 21-23</t>
  </si>
  <si>
    <t>bz Z 24-26</t>
  </si>
  <si>
    <t xml:space="preserve"> bz AA 27-29</t>
  </si>
  <si>
    <t>bz_Y1(1st_bz_V)-YOLO</t>
  </si>
  <si>
    <t>bz_Z1(2nd_bz_V)-LAMORINDA C</t>
  </si>
  <si>
    <t>bz_AA1(3rd_bz_V)-ARROYO GRANDE</t>
  </si>
  <si>
    <t>bz_Y2(1st_bz_W)-ORWP RED</t>
  </si>
  <si>
    <t xml:space="preserve">bz_Z2(2nd_bz_W)-SD DONS GOLD	</t>
  </si>
  <si>
    <t>bz_AA2(3rd_bz_W)-DAVIS WHITE</t>
  </si>
  <si>
    <t>bz(Y3(1st_bz_X)-DIABLO ALLIANCE A</t>
  </si>
  <si>
    <t>bz_Z3(2nd_bz_X)-680 DRIVERS</t>
  </si>
  <si>
    <t>bz_AA3(3rd_bz_X)-CAL REPUBLIC RED</t>
  </si>
  <si>
    <t>1v6 QF</t>
  </si>
  <si>
    <t>2v5 QF</t>
  </si>
  <si>
    <t>9-16 QF</t>
  </si>
  <si>
    <t>2nd ag_M-ECA</t>
  </si>
  <si>
    <t>2nd ag_S-ASPHALT GREEN</t>
  </si>
  <si>
    <t>2nd ag_N-NEWPORT BEACH WHITE</t>
  </si>
  <si>
    <t>2nd ag_R-ROUTE 66</t>
  </si>
  <si>
    <t>W to semi, L to play-in 1v4</t>
  </si>
  <si>
    <t>W to semi, L to play-in 2v3</t>
  </si>
  <si>
    <t>W to play-in</t>
  </si>
  <si>
    <t>21st-24th</t>
  </si>
  <si>
    <t>13th-16th</t>
  </si>
  <si>
    <t>play to semi, L to 5th</t>
  </si>
  <si>
    <t>3v8 QF</t>
  </si>
  <si>
    <t>4v7 QF</t>
  </si>
  <si>
    <t>17th-24th</t>
  </si>
  <si>
    <t>3rd ag_O-LB SHORE</t>
  </si>
  <si>
    <t>3rd ag_U-NORCAL BLACK</t>
  </si>
  <si>
    <t>3rd ag_P-CIU BLACK</t>
  </si>
  <si>
    <t>3rd ag_T-PATRIOT RED</t>
  </si>
  <si>
    <t>3rd ag_M-WHITTIER</t>
  </si>
  <si>
    <t>3rd ag_S-CMAC</t>
  </si>
  <si>
    <t>3rd ag_N-SAN JOSE FOUNDATION BLACK</t>
  </si>
  <si>
    <t>3rd ag_R-CIU GOLD</t>
  </si>
  <si>
    <t>2nd ag_O-LAGUNA BEACH</t>
  </si>
  <si>
    <t>2nd ag_U-BACK BAY</t>
  </si>
  <si>
    <t>2nd ag_P-SAN CLEMENTE BLACK</t>
  </si>
  <si>
    <t>2nd ag_T-TROJAN CARDINAL</t>
  </si>
  <si>
    <t>17th-20th</t>
  </si>
  <si>
    <t>9th-12th</t>
  </si>
  <si>
    <t>17-24 QF</t>
  </si>
  <si>
    <t>3rd bz_M-YOLO</t>
  </si>
  <si>
    <t>bz_V1</t>
  </si>
  <si>
    <t>3rd bz_O-CDM WHITE</t>
  </si>
  <si>
    <t>bz_W1</t>
  </si>
  <si>
    <t>147A</t>
  </si>
  <si>
    <t>152A</t>
  </si>
  <si>
    <t>27-29 RR</t>
  </si>
  <si>
    <t>3rd bz_N-680 DRIVERS</t>
  </si>
  <si>
    <t>bz_X1</t>
  </si>
  <si>
    <t>bz_X2</t>
  </si>
  <si>
    <t>2nd bz_M-TEXAS THUNDER</t>
  </si>
  <si>
    <t>2nd bz_N-PUNAHOU</t>
  </si>
  <si>
    <t>135A</t>
  </si>
  <si>
    <t>2nd bz_O-CLOVIS</t>
  </si>
  <si>
    <t>144A</t>
  </si>
  <si>
    <t>21-23 RR</t>
  </si>
  <si>
    <t>24-26 RR</t>
  </si>
  <si>
    <t>1st bz_O-LA JOLLA UNITED B</t>
  </si>
  <si>
    <t>1st bz_M-CARLSBAD B</t>
  </si>
  <si>
    <t>1st bz_N-LAMORINDA B</t>
  </si>
  <si>
    <t>W to semi, L to play-in</t>
  </si>
  <si>
    <t>no game 166</t>
  </si>
  <si>
    <t>bz_13th</t>
  </si>
  <si>
    <t>bz_14th</t>
  </si>
  <si>
    <t>bz_15th</t>
  </si>
  <si>
    <t>bz_16th</t>
  </si>
  <si>
    <t>ag_5th</t>
  </si>
  <si>
    <t>ag_6th</t>
  </si>
  <si>
    <t>ag_7th</t>
  </si>
  <si>
    <t>ag_8th</t>
  </si>
  <si>
    <t>bz_17th</t>
  </si>
  <si>
    <t>bz_18th</t>
  </si>
  <si>
    <t>bz_19th</t>
  </si>
  <si>
    <t>bz_20th</t>
  </si>
  <si>
    <t>ag_23rd</t>
  </si>
  <si>
    <t>ag_24th</t>
  </si>
  <si>
    <t>ag_21st</t>
  </si>
  <si>
    <t>ag_22nd</t>
  </si>
  <si>
    <t>bz_7th</t>
  </si>
  <si>
    <t>bz_8th</t>
  </si>
  <si>
    <t>bz_5th</t>
  </si>
  <si>
    <t>bz_6th</t>
  </si>
  <si>
    <t>bz_9th</t>
  </si>
  <si>
    <t>bz_10th</t>
  </si>
  <si>
    <t>bz_11th</t>
  </si>
  <si>
    <t>bz_12th</t>
  </si>
  <si>
    <t>ag_9th</t>
  </si>
  <si>
    <t>ag_10th</t>
  </si>
  <si>
    <t>ag_11th</t>
  </si>
  <si>
    <t>ag_12th</t>
  </si>
  <si>
    <t>ag_13th</t>
  </si>
  <si>
    <t>ag_14th</t>
  </si>
  <si>
    <t>ag_15th</t>
  </si>
  <si>
    <t>ag_16th</t>
  </si>
  <si>
    <t>ag_17th</t>
  </si>
  <si>
    <t>ag_18th</t>
  </si>
  <si>
    <t>ag_19th</t>
  </si>
  <si>
    <t>ag_20th</t>
  </si>
  <si>
    <t>bz_3rd</t>
  </si>
  <si>
    <t>bz_4th</t>
  </si>
  <si>
    <t>bz_1st</t>
  </si>
  <si>
    <t>bz_2nd</t>
  </si>
  <si>
    <t>ag_3rd</t>
  </si>
  <si>
    <t>ag_4th</t>
  </si>
  <si>
    <t>ag_1st</t>
  </si>
  <si>
    <t>ag_2nd</t>
  </si>
  <si>
    <t>ag_Place</t>
  </si>
  <si>
    <t>bz_Place</t>
  </si>
  <si>
    <t>YOLO</t>
  </si>
  <si>
    <t>ORWP RED</t>
  </si>
  <si>
    <t>LAMORINDA C</t>
  </si>
  <si>
    <t>25th</t>
  </si>
  <si>
    <t>680 DRIVERS</t>
  </si>
  <si>
    <t>26th</t>
  </si>
  <si>
    <t>SD DONS GOLD</t>
  </si>
  <si>
    <t>27th</t>
  </si>
  <si>
    <t>ARROYO GRANDE</t>
  </si>
  <si>
    <t>28th</t>
  </si>
  <si>
    <t>DAVIS WHITE</t>
  </si>
  <si>
    <t>29th</t>
  </si>
  <si>
    <t>CAL REPUBLIC RED</t>
  </si>
  <si>
    <t>1-OCWPC BLUE</t>
  </si>
  <si>
    <t>2-STANFORD BLACK</t>
  </si>
  <si>
    <t>3-TSUNAMI</t>
  </si>
  <si>
    <t>4-VANGUARD SILVER</t>
  </si>
  <si>
    <t>5-ECA</t>
  </si>
  <si>
    <t>6-ALAMEDA</t>
  </si>
  <si>
    <t>24-FOOTHILL RED</t>
  </si>
  <si>
    <t>23-HIELAND</t>
  </si>
  <si>
    <t>22-TROJAN CARDINAL</t>
  </si>
  <si>
    <t>21-TEMPLE CITY</t>
  </si>
  <si>
    <t>20-SD SHORES GOLD</t>
  </si>
  <si>
    <t>19-SAN JOSE EXPRESS BLUE</t>
  </si>
  <si>
    <t>25-WCAC UNITED</t>
  </si>
  <si>
    <t>26-DIABLO ALLIANCE B</t>
  </si>
  <si>
    <t>27-VEGAS RENEGADES</t>
  </si>
  <si>
    <t>28-SAN JOSE FOUNDATION BLACK</t>
  </si>
  <si>
    <t>29-SD DONS BLACK</t>
  </si>
  <si>
    <t>30-ROSE BOWL RED</t>
  </si>
  <si>
    <t>48-CAPITAL</t>
  </si>
  <si>
    <t>47-BAINBRIDGE</t>
  </si>
  <si>
    <t>46-HONOLULU</t>
  </si>
  <si>
    <t>45-TITANS GOLD</t>
  </si>
  <si>
    <t>44-T HILLS</t>
  </si>
  <si>
    <t>43-RAIN CITY</t>
  </si>
  <si>
    <t>7-MISSION B</t>
  </si>
  <si>
    <t>8-LB SHORE RED</t>
  </si>
  <si>
    <t>9-PATRIOT RED</t>
  </si>
  <si>
    <t>10-ROUTE 66</t>
  </si>
  <si>
    <t>11-PRIDE BLACK</t>
  </si>
  <si>
    <t>12-SHARKS</t>
  </si>
  <si>
    <t>18-LAMORINDA B</t>
  </si>
  <si>
    <t>17-ORWP BLACK</t>
  </si>
  <si>
    <t>16-LA JOLLA UNITED B</t>
  </si>
  <si>
    <t>15-CT PREMIER</t>
  </si>
  <si>
    <t>14-KINGSBURG</t>
  </si>
  <si>
    <t>13-680 BLUE</t>
  </si>
  <si>
    <t>31-CARLSBAD</t>
  </si>
  <si>
    <t>32-CENTRAL VALLEY UNITED</t>
  </si>
  <si>
    <t>33-680 WHITE</t>
  </si>
  <si>
    <t>34-PRAETORIAN</t>
  </si>
  <si>
    <t>35-NEWPORT BEACH WHITE</t>
  </si>
  <si>
    <t>36-LOKAHI</t>
  </si>
  <si>
    <t>42-THIRD COAST</t>
  </si>
  <si>
    <t>41-INNIS ARDEN</t>
  </si>
  <si>
    <t>40-TEAM VEGAS RED</t>
  </si>
  <si>
    <t>39-BROOKLYN HUSTLE</t>
  </si>
  <si>
    <t>38-KERN PREMIER</t>
  </si>
  <si>
    <t>37-CLOVIS RED</t>
  </si>
  <si>
    <t>14BX</t>
  </si>
  <si>
    <t>ag_U1</t>
  </si>
  <si>
    <t>bz_N3</t>
  </si>
  <si>
    <t>ag_R1</t>
  </si>
  <si>
    <t>bz_O3</t>
  </si>
  <si>
    <t>ag_S1</t>
  </si>
  <si>
    <t>bz_P3</t>
  </si>
  <si>
    <t>ag_N2</t>
  </si>
  <si>
    <t>bz_T2</t>
  </si>
  <si>
    <t>ag_M2</t>
  </si>
  <si>
    <t>bz_U2</t>
  </si>
  <si>
    <t>ag_T1</t>
  </si>
  <si>
    <t>bz_M3</t>
  </si>
  <si>
    <t>ag_U2</t>
  </si>
  <si>
    <t>bz_N2</t>
  </si>
  <si>
    <t>ag_T2</t>
  </si>
  <si>
    <t>bz_M2</t>
  </si>
  <si>
    <t>ag_P1</t>
  </si>
  <si>
    <t>bz_R3</t>
  </si>
  <si>
    <t>ag_P2</t>
  </si>
  <si>
    <t>bz_R2</t>
  </si>
  <si>
    <t>ag_O2</t>
  </si>
  <si>
    <t>bz_S2</t>
  </si>
  <si>
    <t>ag_S2</t>
  </si>
  <si>
    <t>bz_P2</t>
  </si>
  <si>
    <t>ag_R2</t>
  </si>
  <si>
    <t>bz_O2</t>
  </si>
  <si>
    <t>ag_O1</t>
  </si>
  <si>
    <t>bz_S3</t>
  </si>
  <si>
    <t>ag_M1</t>
  </si>
  <si>
    <t>bz_U3</t>
  </si>
  <si>
    <t>ag_N1</t>
  </si>
  <si>
    <t>bz_T3</t>
  </si>
  <si>
    <t>3rd ag_M-LA JOLLA UNITED B</t>
  </si>
  <si>
    <t>1st ag_S-KERN PREMIER</t>
  </si>
  <si>
    <t>3rd ag_N-STANFORD BLACK</t>
  </si>
  <si>
    <t>1st ag_R-PRIDE BLACK</t>
  </si>
  <si>
    <t>3rd ag_O-ALAMEDA</t>
  </si>
  <si>
    <t>1st ag_U-ORWP BLACK</t>
  </si>
  <si>
    <t>3rd ag_P-TEMPLE CITY</t>
  </si>
  <si>
    <t>1st ag_T-PATRIOT RED</t>
  </si>
  <si>
    <t>3rd bz_M-CAPITAL</t>
  </si>
  <si>
    <t>1st bz_S-NEWPORT BEACH WHITE</t>
  </si>
  <si>
    <t>3rd bz_N-DIABLO ALLIANCE B</t>
  </si>
  <si>
    <t>1st bz_R-LOKAHI</t>
  </si>
  <si>
    <t>3rd bz_O-680 BLUE</t>
  </si>
  <si>
    <t>1st bz_U-680 WHITE</t>
  </si>
  <si>
    <t>3rd bz_P-CLOVIS RED</t>
  </si>
  <si>
    <t>1st bz_T-BROOKLYN HUSTLE</t>
  </si>
  <si>
    <t>2nd ag_P-SHARKS</t>
  </si>
  <si>
    <t>2nd ag_M-LB SHORE RED</t>
  </si>
  <si>
    <t>2nd ag_O-KINGSBURG</t>
  </si>
  <si>
    <t>2nd ag_N-ROUTE 66</t>
  </si>
  <si>
    <t>1st ag_N-MISSION B</t>
  </si>
  <si>
    <t>1st ag_O-TSUNAMI</t>
  </si>
  <si>
    <t>1st ag_M-OCWPC BLUE</t>
  </si>
  <si>
    <t xml:space="preserve">	1st ag_P-SD DONS BLACK</t>
  </si>
  <si>
    <t>8:30am start!</t>
  </si>
  <si>
    <t>3rd ag_U-FOOTHILL RED</t>
  </si>
  <si>
    <t>3rd ag_R-VANGUARD SILVER</t>
  </si>
  <si>
    <t>3rd ag_T-HIELAND</t>
  </si>
  <si>
    <t>3rd ag_S-TITANS GOLD</t>
  </si>
  <si>
    <t xml:space="preserve">2nd ag_U-CT PREMIER	</t>
  </si>
  <si>
    <t>2nd ag_S-ROSE BOWL RED</t>
  </si>
  <si>
    <t>2nd ag_T-LAMORINDA B</t>
  </si>
  <si>
    <t>2nd ag_R-ECA</t>
  </si>
  <si>
    <t>2nd bz_P-SD SHORES GOLD</t>
  </si>
  <si>
    <t>2nd bz_M-CENTRAL VALLEY UNITED</t>
  </si>
  <si>
    <t>2nd bz_O-SAN JOSE EXPRESS BLUE</t>
  </si>
  <si>
    <t>2nd bz_N-CARLSBAD</t>
  </si>
  <si>
    <t>1st bz_N-TEAM VEGAS RED</t>
  </si>
  <si>
    <t>1st bz_O-VEGAS RENEGADES</t>
  </si>
  <si>
    <t>1st bz_M-PRAETORIAN</t>
  </si>
  <si>
    <t>1st bz_P-TROJAN CARDINAL</t>
  </si>
  <si>
    <t>3rd bz_U-INNIS ARDEN</t>
  </si>
  <si>
    <t>3rd bz_R-T HILLS</t>
  </si>
  <si>
    <t>3rd bz_T-BAINBRIDGE</t>
  </si>
  <si>
    <t>3rd bz_S-HONOLULU</t>
  </si>
  <si>
    <t>2nd bz_U-WCAC UNITED</t>
  </si>
  <si>
    <t>2nd bz_S-RAIN CITY</t>
  </si>
  <si>
    <t>2nd bz_T-THIRD COAST</t>
  </si>
  <si>
    <t>2nd bz_R-SAN JOSE FOUNDATION BLACK</t>
  </si>
  <si>
    <t>VANGUARD SILVER</t>
  </si>
  <si>
    <t>HONOLULU</t>
  </si>
  <si>
    <t>FOOTHILL RED</t>
  </si>
  <si>
    <t>INNIS ARDEN</t>
  </si>
  <si>
    <t>TITANS GOLD</t>
  </si>
  <si>
    <t>T HILLS</t>
  </si>
  <si>
    <t>HIELAND</t>
  </si>
  <si>
    <t>BAINBRIDGE</t>
  </si>
  <si>
    <t>GAME ON LIVE STUDIO STREAM LINKS</t>
  </si>
  <si>
    <t>1-CARLSBAD A</t>
  </si>
  <si>
    <t>2-SOUTH COAST RED</t>
  </si>
  <si>
    <t>3-ORWP</t>
  </si>
  <si>
    <t>4-CHAWP WHITE</t>
  </si>
  <si>
    <t>5-SAN CLEMENTE RED</t>
  </si>
  <si>
    <t>6-NORCAL BLACK</t>
  </si>
  <si>
    <t>24-ALAMEDA</t>
  </si>
  <si>
    <t>23-CT PREMIER</t>
  </si>
  <si>
    <t>22-NEWPORT BEACH WHITE</t>
  </si>
  <si>
    <t>21-CENTRAL VALLEY UNITED</t>
  </si>
  <si>
    <t>20-FOOTHILL RED</t>
  </si>
  <si>
    <t>19-VIPER PIGEON</t>
  </si>
  <si>
    <t>25-ASPHALT GREEN</t>
  </si>
  <si>
    <t>26-PRAETORIAN BLACK</t>
  </si>
  <si>
    <t>27-DAVIS WHITE</t>
  </si>
  <si>
    <t>28-99 ALLIANCE</t>
  </si>
  <si>
    <t>29-WEST VALLEY</t>
  </si>
  <si>
    <t>30-LOWPO</t>
  </si>
  <si>
    <t>48-808</t>
  </si>
  <si>
    <t>47-NEW TRIER</t>
  </si>
  <si>
    <t>46-PUNAHOU</t>
  </si>
  <si>
    <t>45-SLAP</t>
  </si>
  <si>
    <t>44-THIRD COAST AQUATICS</t>
  </si>
  <si>
    <t>43-MESA</t>
  </si>
  <si>
    <t>7-ECA A</t>
  </si>
  <si>
    <t>8-SHAQ BLUE</t>
  </si>
  <si>
    <t>9-CORONA DEL MAR</t>
  </si>
  <si>
    <t>10-VANGUARD SILVER</t>
  </si>
  <si>
    <t>11-PALOS VERDES BLACK</t>
  </si>
  <si>
    <t>12-CAL REPUBLIC</t>
  </si>
  <si>
    <t>18-STANFORD BLACK</t>
  </si>
  <si>
    <t>17-COMMERCE</t>
  </si>
  <si>
    <t>16-LA JOLLA UNITED C</t>
  </si>
  <si>
    <t>15-TROJAN GOLD</t>
  </si>
  <si>
    <t>14-SD SHORES GOLD</t>
  </si>
  <si>
    <t>13-DIABLO ALLIANCE</t>
  </si>
  <si>
    <t>31-SHARKS</t>
  </si>
  <si>
    <t>32-GREAT LAKES AQUATICS</t>
  </si>
  <si>
    <t>33-TEXAS THUNDER BLUE</t>
  </si>
  <si>
    <t>34-SAN JOSE EXPRESS BLUE</t>
  </si>
  <si>
    <t>35-VEGAS PATRIOT</t>
  </si>
  <si>
    <t>36-OCWPC</t>
  </si>
  <si>
    <t>42-MAVERICKS</t>
  </si>
  <si>
    <t>41-CIU BLUE</t>
  </si>
  <si>
    <t>40-RISE</t>
  </si>
  <si>
    <t>39-WCAC UNITED A</t>
  </si>
  <si>
    <t>38-PUGET SOUND</t>
  </si>
  <si>
    <t>37-BACK BAY</t>
  </si>
  <si>
    <t>16BX</t>
  </si>
  <si>
    <t>3rd ag_M-COMMERCE</t>
  </si>
  <si>
    <t>1st ag_S-VIPER PIGEON</t>
  </si>
  <si>
    <t xml:space="preserve">3rd ag_N-VANGUARD SILVER	</t>
  </si>
  <si>
    <t>1st ag_R-LOWPO</t>
  </si>
  <si>
    <t>3rd ag_O-ORWP</t>
  </si>
  <si>
    <t>1st ag_U-ALAMEDA</t>
  </si>
  <si>
    <t>3rd ag_P-DIABLO ALLIANCE</t>
  </si>
  <si>
    <t>1st ag_T-SOUTH COAST RED</t>
  </si>
  <si>
    <t>3rd bz_M-TROJAN GOLD</t>
  </si>
  <si>
    <t>1st bz_S-PUNAHOU</t>
  </si>
  <si>
    <t>3rd bz_N-LA JOLLA UNITED C</t>
  </si>
  <si>
    <t>1st bz_R-BACK BAY</t>
  </si>
  <si>
    <t>3rd bz_O-FOOTHILL RED</t>
  </si>
  <si>
    <t>1st bz_U-GREAT LAKES AQUATICS</t>
  </si>
  <si>
    <t>3rd bz_P-WEST VALLEY</t>
  </si>
  <si>
    <t>1st bz_T-WCAC UNITED A</t>
  </si>
  <si>
    <t>2nd ag_P-CHAWP WHITE</t>
  </si>
  <si>
    <t>2nd ag_M-CORONA DEL MAR</t>
  </si>
  <si>
    <t>2nd ag_O-SD SHORES GOLD</t>
  </si>
  <si>
    <t>2nd ag_N-CT PREMIER</t>
  </si>
  <si>
    <t>1st ag_N-ECA A</t>
  </si>
  <si>
    <t>1st ag_O-NORCAL BLACK</t>
  </si>
  <si>
    <t>1st ag_M-CARLSBAD A</t>
  </si>
  <si>
    <t>1st ag_P-SAN CLEMENTE RED</t>
  </si>
  <si>
    <t>3rd bz_T-NEW TRIER</t>
  </si>
  <si>
    <t>3rd bz_S-MESA</t>
  </si>
  <si>
    <t>3rd ag_U-SAN JOSE EXPRESS BLUE</t>
  </si>
  <si>
    <t>3rd ag_R-DAVIS WHITE</t>
  </si>
  <si>
    <t>3rd ag_T-TEXAS THUNDER BLUE</t>
  </si>
  <si>
    <t>3rd ag_S-SLAP</t>
  </si>
  <si>
    <t>2nd ag_U-SHARKS</t>
  </si>
  <si>
    <t>2nd ag_S-PALOS VERDES BLACK</t>
  </si>
  <si>
    <t>2nd ag_T-STANFORD BLACK</t>
  </si>
  <si>
    <t>2nd ag_R-PUGET SOUND</t>
  </si>
  <si>
    <t>3rd bz_U-808</t>
  </si>
  <si>
    <t>3rd bz_R-THIRD COAST AQUATICS</t>
  </si>
  <si>
    <t>2nd bz_P-OCWPC</t>
  </si>
  <si>
    <t>2nd bz_M-CIU BLUE</t>
  </si>
  <si>
    <t>2nd bz_O-CAL REPUBLIC</t>
  </si>
  <si>
    <t>2nd bz_N-SHAQ BLUE</t>
  </si>
  <si>
    <t>1st bz_N-PRAETORIAN BLACK</t>
  </si>
  <si>
    <t>1st bz_O-99 ALLIANCE</t>
  </si>
  <si>
    <t>1st bz_M-ASPHALT GREEN</t>
  </si>
  <si>
    <t>1st bz_P-NEWPORT BEACH WHITE</t>
  </si>
  <si>
    <t>2nd bz_U-RISE</t>
  </si>
  <si>
    <t>2nd bz_S-VEGAS PATRIOT</t>
  </si>
  <si>
    <t>2nd bz_T-MAVERICKS</t>
  </si>
  <si>
    <t>2nd bz_R-CENTRAL VALLEY UNITED</t>
  </si>
  <si>
    <t>SAN JOSE EXPRESS BLUE</t>
  </si>
  <si>
    <t>THIRD COAST AQUATICS</t>
  </si>
  <si>
    <t>SLAP</t>
  </si>
  <si>
    <t>TEXAS THUNDER BLUE</t>
  </si>
  <si>
    <t>NEW TRIER</t>
  </si>
  <si>
    <t>MESA</t>
  </si>
  <si>
    <t>1-SAN JOSE EXPRESS BLUE</t>
  </si>
  <si>
    <t>2-LB SHORE</t>
  </si>
  <si>
    <t>3-SANTA CRUZ</t>
  </si>
  <si>
    <t>4-SOUTH COAST RED</t>
  </si>
  <si>
    <t>5-COMMERCE</t>
  </si>
  <si>
    <t>6-CHAWP WHITE</t>
  </si>
  <si>
    <t>24-LA JOLLA UNITED B</t>
  </si>
  <si>
    <t>23-WEST VALLEY</t>
  </si>
  <si>
    <t>22-CLOVIS RED</t>
  </si>
  <si>
    <t>21-RAIN CITY</t>
  </si>
  <si>
    <t>20-CARLSBAD</t>
  </si>
  <si>
    <t>19-SAN JOSE FOUNDATION</t>
  </si>
  <si>
    <t>25-AMERICAN RIVER GOLD</t>
  </si>
  <si>
    <t>26-VANGUARD SILVER</t>
  </si>
  <si>
    <t>27-ALAMEDA</t>
  </si>
  <si>
    <t>28-CHULA VISTA PREMIER</t>
  </si>
  <si>
    <t>29-ALBUQUERQUE</t>
  </si>
  <si>
    <t>30-CHARGERS BLACK</t>
  </si>
  <si>
    <t>48-ELMHURST</t>
  </si>
  <si>
    <t>47-NORCO</t>
  </si>
  <si>
    <t>46-LV LEGENDS</t>
  </si>
  <si>
    <t>45-MOOSE</t>
  </si>
  <si>
    <t>44-SHAQ WHITE</t>
  </si>
  <si>
    <t>43-CINCINNATI MARLINS</t>
  </si>
  <si>
    <t>7-HIELAND</t>
  </si>
  <si>
    <t>8-ORWP</t>
  </si>
  <si>
    <t>9-KINGSBURG</t>
  </si>
  <si>
    <t>10-SD SHORES GOLD</t>
  </si>
  <si>
    <t>11-SET</t>
  </si>
  <si>
    <t>12-CENTRAL VALLEY UNITED</t>
  </si>
  <si>
    <t>18-ROSE BOWL RED</t>
  </si>
  <si>
    <t>17-SUPREME</t>
  </si>
  <si>
    <t>16-NAVY</t>
  </si>
  <si>
    <t>15-OHANA</t>
  </si>
  <si>
    <t>14-SAND CANYON RED</t>
  </si>
  <si>
    <t>13-TSUNAMI</t>
  </si>
  <si>
    <t>31-THIRD COAST</t>
  </si>
  <si>
    <t>32-MID PEN</t>
  </si>
  <si>
    <t>33-ASPHALT GREEN</t>
  </si>
  <si>
    <t>34-CLOVIS B</t>
  </si>
  <si>
    <t>35-VIPER PIGEON</t>
  </si>
  <si>
    <t>36-AQUATEX</t>
  </si>
  <si>
    <t>42-CC UNITED BLUE</t>
  </si>
  <si>
    <t>41-WCAC UNITED B</t>
  </si>
  <si>
    <t>40-NEWBERG</t>
  </si>
  <si>
    <t>39-TOPAZ TSUNAMI</t>
  </si>
  <si>
    <t>38-FARALLON</t>
  </si>
  <si>
    <t>37-MESA</t>
  </si>
  <si>
    <t>18BX</t>
  </si>
  <si>
    <t>SIlver</t>
  </si>
  <si>
    <t>Bronze</t>
  </si>
  <si>
    <t>3rd ag_M-KINGSBURG</t>
  </si>
  <si>
    <t>1st ag_S-CLOVIS RED</t>
  </si>
  <si>
    <t>3rd ag_N-ROSE BOWL RED</t>
  </si>
  <si>
    <t>1st ag_R-COMMERCE</t>
  </si>
  <si>
    <t>3rd ag_O-CHAWP WHITE</t>
  </si>
  <si>
    <t>1st ag_U-CLOVIS B</t>
  </si>
  <si>
    <t>3rd ag_P-CARLSBAD</t>
  </si>
  <si>
    <t>1st ag_T-HIELAND</t>
  </si>
  <si>
    <t>3rd bz_M-MID PEN</t>
  </si>
  <si>
    <t>1st bz_S-LV LEGENDS</t>
  </si>
  <si>
    <t xml:space="preserve">	3rd bz_N-CC UNITED BLUE</t>
  </si>
  <si>
    <t>1st bz_R-MOOSE</t>
  </si>
  <si>
    <t>3rd bz_O-CHARGERS BLACK</t>
  </si>
  <si>
    <t>1st bz_U-NEWBERG</t>
  </si>
  <si>
    <t>3rd bz_P-MESA</t>
  </si>
  <si>
    <t>1st bz_T-THIRD COAST</t>
  </si>
  <si>
    <t>2nd ag_P-SOUTH COAST RED</t>
  </si>
  <si>
    <t>2nd ag_M-SUPREME</t>
  </si>
  <si>
    <t>2nd ag_O-SANTA CRUZ</t>
  </si>
  <si>
    <t>2nd ag_N-SD SHORES GOLD</t>
  </si>
  <si>
    <t>1st ag_N-LB SHORE</t>
  </si>
  <si>
    <t>1st ag_O-SET</t>
  </si>
  <si>
    <t>1st ag_M-SAN JOSE EXPRESS BLUE</t>
  </si>
  <si>
    <t>1st ag_P-TSUNAMI</t>
  </si>
  <si>
    <t>3rd ag_U-VANGUARD SILVER</t>
  </si>
  <si>
    <t>3rd ag_R-RAIN CITY</t>
  </si>
  <si>
    <t>3rd ag_T-AMERICAN RIVER GOLD</t>
  </si>
  <si>
    <t>3rd ag_S-VIPER PIGEON</t>
  </si>
  <si>
    <t>2nd ag_U-ORWP</t>
  </si>
  <si>
    <t>2nd ag_S-SAN JOSE FOUNDATION</t>
  </si>
  <si>
    <t>2nd ag_T-OHANA</t>
  </si>
  <si>
    <t>2nd ag_R-CENTRAL VALLEY UNITED</t>
  </si>
  <si>
    <t>2nd bz_P-ALBUQUERQUE</t>
  </si>
  <si>
    <t>2nd bz_M-NAVY</t>
  </si>
  <si>
    <t>2nd bz_O-FARALLON</t>
  </si>
  <si>
    <t>2nd bz_N-LA JOLLA UNITED B</t>
  </si>
  <si>
    <t>1st bz_N-ASPHALT GREEN</t>
  </si>
  <si>
    <t>1st bz_O-ALAMEDA</t>
  </si>
  <si>
    <t>1st bz_M-WEST VALLEY</t>
  </si>
  <si>
    <t>1st bz_P-CHULA VISTA PREMIER</t>
  </si>
  <si>
    <t>3rd bz_U-WCAC UNITED B</t>
  </si>
  <si>
    <t>3rd bz_R-SHAQ WHITE</t>
  </si>
  <si>
    <t>3rd bz_T-NORCO</t>
  </si>
  <si>
    <t>3rd bz_S-CINCINNATI MARLINS</t>
  </si>
  <si>
    <t>2nd bz_U-ELMHURST</t>
  </si>
  <si>
    <t>2nd bz_S-SAND CANYON RED</t>
  </si>
  <si>
    <t>2nd bz_T-TOPAZ TSUNAMI</t>
  </si>
  <si>
    <t>2nd bz_R-AQUATEX</t>
  </si>
  <si>
    <t>RAIN CITY</t>
  </si>
  <si>
    <t>SHAQ WHITE</t>
  </si>
  <si>
    <t>WCAC UNITED B</t>
  </si>
  <si>
    <t>VIPER PIGEON</t>
  </si>
  <si>
    <t>CINCINNATI MARLINS</t>
  </si>
  <si>
    <t>AMERICAN RIVER GOLD</t>
  </si>
  <si>
    <t>NORCO</t>
  </si>
  <si>
    <t>A(1)-NSD STARS</t>
  </si>
  <si>
    <t>B(2)-SOUTH COAST WHITE</t>
  </si>
  <si>
    <t>C(3)-SOCAL</t>
  </si>
  <si>
    <t>D(4)-BACK BAY</t>
  </si>
  <si>
    <t>E(5)-VNITED</t>
  </si>
  <si>
    <t>F(6)-PALOS VERDES BLUE</t>
  </si>
  <si>
    <t>A(24)-SOVA</t>
  </si>
  <si>
    <t>B(23)-PAC</t>
  </si>
  <si>
    <t>C(22)-MID PEN</t>
  </si>
  <si>
    <t>D(21)-BURLINGAME</t>
  </si>
  <si>
    <t>E(20)-CAL REPUBLIC</t>
  </si>
  <si>
    <t>F(19)-CDM WHITE</t>
  </si>
  <si>
    <t>A(25)-LA JOLLA C</t>
  </si>
  <si>
    <t>B(26)-BREA OLINDA</t>
  </si>
  <si>
    <t>C(27)-AMERICAN RIVER B</t>
  </si>
  <si>
    <t>D(28)-OCWPC RED</t>
  </si>
  <si>
    <t>E(29)-SAN CLEMENTE BLACK</t>
  </si>
  <si>
    <t>F(30)-TRI VALLEY TRITONS</t>
  </si>
  <si>
    <t>G(7)-CHAWP</t>
  </si>
  <si>
    <t>H(8)-NORCAL TEAL</t>
  </si>
  <si>
    <t>I(9)-SAND CANYON</t>
  </si>
  <si>
    <t>J(10)-908 BLUE</t>
  </si>
  <si>
    <t>K(11)-SANTA CRUZ</t>
  </si>
  <si>
    <t>L(12)-STANFORD WHITE</t>
  </si>
  <si>
    <t>G(18)-CORONADO</t>
  </si>
  <si>
    <t>H(17)-LA CITY UNITED</t>
  </si>
  <si>
    <t>I(16)-CCU WHITE</t>
  </si>
  <si>
    <t>J(15)-NORTH IRVINE RED</t>
  </si>
  <si>
    <t>K(14)-TRILOGY</t>
  </si>
  <si>
    <t>L(13)-LOS ALAMITOS</t>
  </si>
  <si>
    <t>G(31)-CIU COAST</t>
  </si>
  <si>
    <t>H(32)-VALLEY UNITED</t>
  </si>
  <si>
    <t>I(33)-LOYOLA</t>
  </si>
  <si>
    <t>J(34)-NAVY</t>
  </si>
  <si>
    <t>K(35)-ORWP RED</t>
  </si>
  <si>
    <t>L(36)-ROSE BOWL BLACK</t>
  </si>
  <si>
    <t>14BQ</t>
  </si>
  <si>
    <t>2nd A-SOVA</t>
  </si>
  <si>
    <t>3rd B-PAC</t>
  </si>
  <si>
    <t>ni_U3</t>
  </si>
  <si>
    <t>cu_N1</t>
  </si>
  <si>
    <t>2nd B-BREA OLINDA</t>
  </si>
  <si>
    <t>3rd A-LA JOLLA C</t>
  </si>
  <si>
    <t>ni_T3</t>
  </si>
  <si>
    <t>cu_M1</t>
  </si>
  <si>
    <t>2nd C-MID PEN</t>
  </si>
  <si>
    <t>3rd D-BURLINGAME</t>
  </si>
  <si>
    <t>ni_S3</t>
  </si>
  <si>
    <t>cu_P1</t>
  </si>
  <si>
    <t>2nd D-OCWPC RED</t>
  </si>
  <si>
    <t>3rd C-AMERICAN RIVER B</t>
  </si>
  <si>
    <t>ni_R3</t>
  </si>
  <si>
    <t>cu_O1</t>
  </si>
  <si>
    <t>2nd H-NORCAL TEAL</t>
  </si>
  <si>
    <t>3rd G-CORONADO</t>
  </si>
  <si>
    <t>ni_U2</t>
  </si>
  <si>
    <t>cu_N2</t>
  </si>
  <si>
    <t>2nd G-CIU COAST</t>
  </si>
  <si>
    <t>3rd H-VALLEY UNITED</t>
  </si>
  <si>
    <t>ni_T2</t>
  </si>
  <si>
    <t>cu_M2</t>
  </si>
  <si>
    <t>2nd F-PALOS VERDES BLUE</t>
  </si>
  <si>
    <t>3rd E-SAN CLEMENTE BLACK</t>
  </si>
  <si>
    <t>ni_S2</t>
  </si>
  <si>
    <t>cu_P2</t>
  </si>
  <si>
    <t>2nd E-CAL REPUBLIC</t>
  </si>
  <si>
    <t xml:space="preserve">3rd F-TRI VALLEY TRITONS	</t>
  </si>
  <si>
    <t>ni_R2</t>
  </si>
  <si>
    <t>cu_O2</t>
  </si>
  <si>
    <t>2nd I-CCU WHITE</t>
  </si>
  <si>
    <t>3rd J-NAVY</t>
  </si>
  <si>
    <t>ni_U1</t>
  </si>
  <si>
    <t>cu_N3</t>
  </si>
  <si>
    <t>2nd J-908 BLUE</t>
  </si>
  <si>
    <t>3rd I-LOYOLA</t>
  </si>
  <si>
    <t>ni_T1</t>
  </si>
  <si>
    <t>cu_M3</t>
  </si>
  <si>
    <t>2nd K-SANTA CRUZ</t>
  </si>
  <si>
    <t>3rd L-ROSE BOWL BLACK</t>
  </si>
  <si>
    <t>ni_S1</t>
  </si>
  <si>
    <t>cu_P3</t>
  </si>
  <si>
    <t>2nd L-STANFORD WHITE</t>
  </si>
  <si>
    <t>3rd K-ORWP RED</t>
  </si>
  <si>
    <t>ni_R1</t>
  </si>
  <si>
    <t>cu_O3</t>
  </si>
  <si>
    <t>Nickel</t>
  </si>
  <si>
    <t>ni_M</t>
  </si>
  <si>
    <t>ni_N</t>
  </si>
  <si>
    <t>ni_O</t>
  </si>
  <si>
    <t>ni_P</t>
  </si>
  <si>
    <t>ni_M1(1stA)-NSD STARS</t>
  </si>
  <si>
    <t>ni_N1(1stB)-SOUTH COAST WHITE</t>
  </si>
  <si>
    <t>ni_O1(1stC)-SOCAL</t>
  </si>
  <si>
    <t>ni_P1(1stD)-BACK BAY</t>
  </si>
  <si>
    <t>ni_M2(1stH)-LA CITY UNITED</t>
  </si>
  <si>
    <t>ni_N2(1stG)-CHAWP</t>
  </si>
  <si>
    <t>ni_O2(1stF)-CDM WHITE</t>
  </si>
  <si>
    <t>ni_P2(1stE)-VNITED</t>
  </si>
  <si>
    <t>ni_M3(1stI)-SAND CANYON</t>
  </si>
  <si>
    <t>ni_N3(1stJ)-NORTH IRVINE RED</t>
  </si>
  <si>
    <t>ni_O3(1stK)-TRILOGY</t>
  </si>
  <si>
    <t>ni_P3(1stL)-LOS ALAMITOS</t>
  </si>
  <si>
    <t>ni_R</t>
  </si>
  <si>
    <t>ni_S</t>
  </si>
  <si>
    <t>ni_T</t>
  </si>
  <si>
    <t>ni_U</t>
  </si>
  <si>
    <t>3rd ni_O-CDM WHITE</t>
  </si>
  <si>
    <t>1st ni_U-CORONADO</t>
  </si>
  <si>
    <t>3rd ni_M-SAND CANYON</t>
  </si>
  <si>
    <t>1st ni_S-SANTA CRUZ</t>
  </si>
  <si>
    <t>3rd ni_P-VNITED</t>
  </si>
  <si>
    <t>1st ni_T-CIU COAST</t>
  </si>
  <si>
    <t>3rd ni_N-NORTH IRVINE RED</t>
  </si>
  <si>
    <t>1st ni_R-CAL REPUBLIC</t>
  </si>
  <si>
    <t>Copper</t>
  </si>
  <si>
    <t>cu_M</t>
  </si>
  <si>
    <t>cu_N</t>
  </si>
  <si>
    <t>cu_O</t>
  </si>
  <si>
    <t>cu_P</t>
  </si>
  <si>
    <t>ni_</t>
  </si>
  <si>
    <t>cu_</t>
  </si>
  <si>
    <t>2nd ni_P-BACK BAY</t>
  </si>
  <si>
    <t>2nd ni_M-LA CITY UNITED</t>
  </si>
  <si>
    <t>2nd ni_O-TRILOGY</t>
  </si>
  <si>
    <t>2nd ni_N-SOUTH COAST WHITE</t>
  </si>
  <si>
    <t>1st ni_N-CHAWP</t>
  </si>
  <si>
    <t>1st ni_O-SOCAL</t>
  </si>
  <si>
    <t>1st ni_M-NSD STARS</t>
  </si>
  <si>
    <t>1st ni_P-LOS ALAMITOS</t>
  </si>
  <si>
    <t>3rd ni_T-LA JOLLA C</t>
  </si>
  <si>
    <t>3rd ni_S-BURLINGAME</t>
  </si>
  <si>
    <t>3rd ni_U-NAVY</t>
  </si>
  <si>
    <t>3rd ni_R-STANFORD WHITE</t>
  </si>
  <si>
    <t>2nd ni_U-PAC</t>
  </si>
  <si>
    <t>2nd ni_S-PALOS VERDES BLUE</t>
  </si>
  <si>
    <t>2nd ni_T-908 BLUE</t>
  </si>
  <si>
    <t>2nd ni_R-OCWPC RED</t>
  </si>
  <si>
    <t>2nd cu_P-MID PEN</t>
  </si>
  <si>
    <t>3rd cu_O-TRI VALLEY TRITONS</t>
  </si>
  <si>
    <t>2nd cu_O-AMERICAN RIVER B</t>
  </si>
  <si>
    <t>3rd cu_P-ROSE BOWL BLACK</t>
  </si>
  <si>
    <t>2nd cu_M-VALLEY UNITED</t>
  </si>
  <si>
    <t>3rd cu_N-CCU WHITE</t>
  </si>
  <si>
    <t>2nd cu_N-SOVA</t>
  </si>
  <si>
    <t>3rd cu_M-LOYOLA</t>
  </si>
  <si>
    <t>1st cu_N-NORCAL TEAL</t>
  </si>
  <si>
    <t>1st cu_O-ORWP RED</t>
  </si>
  <si>
    <t>1st cu_M-BREA OLINDA</t>
  </si>
  <si>
    <t>1st cu_P-SAN CLEMENTE BLACK</t>
  </si>
  <si>
    <t>ni_7th</t>
  </si>
  <si>
    <t>ni_8th</t>
  </si>
  <si>
    <t>ni_5th</t>
  </si>
  <si>
    <t>ni_6th</t>
  </si>
  <si>
    <t>ni_3rd</t>
  </si>
  <si>
    <t>ni_4th</t>
  </si>
  <si>
    <t>ni_1st</t>
  </si>
  <si>
    <t>ni_2nd</t>
  </si>
  <si>
    <t>ni_17th</t>
  </si>
  <si>
    <t>ni_18th</t>
  </si>
  <si>
    <t>ni_19th</t>
  </si>
  <si>
    <t>ni_20th</t>
  </si>
  <si>
    <t>ni_9th</t>
  </si>
  <si>
    <t>ni_10th</t>
  </si>
  <si>
    <t>ni_11th</t>
  </si>
  <si>
    <t>ni_12th</t>
  </si>
  <si>
    <t>cu_7th</t>
  </si>
  <si>
    <t>cu_8th</t>
  </si>
  <si>
    <t>cu_5th</t>
  </si>
  <si>
    <t>cu_6th</t>
  </si>
  <si>
    <t>cu_3rd</t>
  </si>
  <si>
    <t>cu_4th</t>
  </si>
  <si>
    <t>cu_1st</t>
  </si>
  <si>
    <t>cu_2nd</t>
  </si>
  <si>
    <t>cu_9th</t>
  </si>
  <si>
    <t>cu_10th</t>
  </si>
  <si>
    <t>cu_11th</t>
  </si>
  <si>
    <t>cu_12th</t>
  </si>
  <si>
    <t>ni_13th</t>
  </si>
  <si>
    <t>ni_14th</t>
  </si>
  <si>
    <t>ni_15th</t>
  </si>
  <si>
    <t>ni_16th</t>
  </si>
  <si>
    <t>ni_Place</t>
  </si>
  <si>
    <t>cu_Place</t>
  </si>
  <si>
    <t>STANFORD WHITE</t>
  </si>
  <si>
    <t>NAVY</t>
  </si>
  <si>
    <t>BURLINGAME</t>
  </si>
  <si>
    <t>LA JOLLA C</t>
  </si>
  <si>
    <t>1-SOUTH COAST WHITE</t>
  </si>
  <si>
    <t>2-NSD STARS</t>
  </si>
  <si>
    <t>3-CARMEL</t>
  </si>
  <si>
    <t>4-SUPREME</t>
  </si>
  <si>
    <t>5-TRILOGY</t>
  </si>
  <si>
    <t>6-SAN JOSE FOUNDATION B</t>
  </si>
  <si>
    <t>24-CCU WHITE</t>
  </si>
  <si>
    <t>23-VNITED B</t>
  </si>
  <si>
    <t>22-DAVIS</t>
  </si>
  <si>
    <t>21-PRINCETON</t>
  </si>
  <si>
    <t>20-NAVY</t>
  </si>
  <si>
    <t>19-680 BLUE</t>
  </si>
  <si>
    <t>25-SANTA BARBARA WPC B</t>
  </si>
  <si>
    <t>26-PRAETORIAN WHITE</t>
  </si>
  <si>
    <t>27-ECA B</t>
  </si>
  <si>
    <t>28-SAN JOSE EXPRESS GOLD</t>
  </si>
  <si>
    <t>29-ELITE</t>
  </si>
  <si>
    <t>30-WCAC UNITED B</t>
  </si>
  <si>
    <t>48-BREA OLINDA</t>
  </si>
  <si>
    <t>47-TRILOGY B</t>
  </si>
  <si>
    <t>46-SANTA CRUZ B</t>
  </si>
  <si>
    <t>45-LOKAHI</t>
  </si>
  <si>
    <t>44-INNIS ARDEN</t>
  </si>
  <si>
    <t>43-SOVA</t>
  </si>
  <si>
    <t>7-CMAC</t>
  </si>
  <si>
    <t>8-SMAC</t>
  </si>
  <si>
    <t>9-NORCAL TEAL</t>
  </si>
  <si>
    <t>10-SOCAL</t>
  </si>
  <si>
    <t>11-AMERICAN RIVER GOLD</t>
  </si>
  <si>
    <t>12-VANGUARD WHITE</t>
  </si>
  <si>
    <t>18-DEVILS GATE</t>
  </si>
  <si>
    <t>17-SACRAMENTO BLACK</t>
  </si>
  <si>
    <t>16-CHAWP BLUE</t>
  </si>
  <si>
    <t>15-TEMPLE CITY YELLOW</t>
  </si>
  <si>
    <t>14-HIELAND</t>
  </si>
  <si>
    <t>13-LB SHORE BLACK</t>
  </si>
  <si>
    <t>31-SD SHORES WHITE</t>
  </si>
  <si>
    <t>32-NWC</t>
  </si>
  <si>
    <t>33-BLUE CRUSH</t>
  </si>
  <si>
    <t>34-CC UNITED RED</t>
  </si>
  <si>
    <t>35-CLOVIS B</t>
  </si>
  <si>
    <t>36-LOYOLA</t>
  </si>
  <si>
    <t>42-PALOS VERDES BLUE</t>
  </si>
  <si>
    <t>41-RAIN CITY</t>
  </si>
  <si>
    <t>40-SAND CANYON RED</t>
  </si>
  <si>
    <t>39-CHULA VISTA PREMIER</t>
  </si>
  <si>
    <t>38-NEWBERG</t>
  </si>
  <si>
    <t>37-BROOKLYN HUSTLE</t>
  </si>
  <si>
    <t>16BQ</t>
  </si>
  <si>
    <t>ni_N1</t>
  </si>
  <si>
    <t>ni_O1</t>
  </si>
  <si>
    <t>cu_S3</t>
  </si>
  <si>
    <t>ni_M1</t>
  </si>
  <si>
    <t>cu_U3</t>
  </si>
  <si>
    <t>cu_T3</t>
  </si>
  <si>
    <t>ni_P1</t>
  </si>
  <si>
    <t>cu_R3</t>
  </si>
  <si>
    <t>ni_P2</t>
  </si>
  <si>
    <t>cu_R2</t>
  </si>
  <si>
    <t>ni_O2</t>
  </si>
  <si>
    <t>cu_S2</t>
  </si>
  <si>
    <t>ni_M3</t>
  </si>
  <si>
    <t>cu_U1</t>
  </si>
  <si>
    <t>ni_N2</t>
  </si>
  <si>
    <t>cu_T2</t>
  </si>
  <si>
    <t>ni_M2</t>
  </si>
  <si>
    <t>cu_U2</t>
  </si>
  <si>
    <t>ni_N3</t>
  </si>
  <si>
    <t>cu_T1</t>
  </si>
  <si>
    <t>ni_O3</t>
  </si>
  <si>
    <t>cu_S1</t>
  </si>
  <si>
    <t>ni_P3</t>
  </si>
  <si>
    <t>cu_R1</t>
  </si>
  <si>
    <t>cu_R</t>
  </si>
  <si>
    <t>cu_S</t>
  </si>
  <si>
    <t>cu_T</t>
  </si>
  <si>
    <t>cu_U</t>
  </si>
  <si>
    <t>3rd ni_M-SACRAMENTO BLACK</t>
  </si>
  <si>
    <t>1st ni_S-CLOVIS B</t>
  </si>
  <si>
    <t>3rd ni_N-CMAC</t>
  </si>
  <si>
    <t>1st ni_R-VANGUARD WHITE</t>
  </si>
  <si>
    <t>3rd ni_O-AMERICAN RIVER GOLD</t>
  </si>
  <si>
    <t>1st ni_U-SANTA BARBARA WPC B</t>
  </si>
  <si>
    <t>3rd ni_P-NAVY</t>
  </si>
  <si>
    <t>1st ni_T-SOCAL</t>
  </si>
  <si>
    <t>3rd cu_M-CCU WHITE</t>
  </si>
  <si>
    <t>1st cu_S-ECA B</t>
  </si>
  <si>
    <t>3rd cu_N-NORCAL TEAL</t>
  </si>
  <si>
    <t>1st cu_R-ELITE</t>
  </si>
  <si>
    <t>3rd cu_O-SOVA</t>
  </si>
  <si>
    <t>1st cu_U-BREA OLINDA</t>
  </si>
  <si>
    <t>3rd cu_P-SAN JOSE FOUNDATION B</t>
  </si>
  <si>
    <t>1st cu_T-PALOS VERDES BLUE</t>
  </si>
  <si>
    <t>2nd ni_P-SUPREME</t>
  </si>
  <si>
    <t>2nd ni_M-BLUE CRUSH</t>
  </si>
  <si>
    <t>2nd ni_O-680 BLUE</t>
  </si>
  <si>
    <t>2nd ni_N-TEMPLE CITY YELLOW</t>
  </si>
  <si>
    <t>1st ni_N-NSD STARS</t>
  </si>
  <si>
    <t>1st ni_O-DAVIS</t>
  </si>
  <si>
    <t>1st ni_M-SOUTH COAST WHITE</t>
  </si>
  <si>
    <t>1st ni_P-LB SHORE BLACK</t>
  </si>
  <si>
    <t xml:space="preserve">3rd ni_U-CHULA VISTA PREMIER	</t>
  </si>
  <si>
    <t>3rd ni_R-TRILOGY</t>
  </si>
  <si>
    <t>3rd ni_T-VNITED B</t>
  </si>
  <si>
    <t>3rd ni_S-INNIS ARDEN</t>
  </si>
  <si>
    <t>2nd ni_U-SMAC</t>
  </si>
  <si>
    <t>2nd ni_S-CARMEL</t>
  </si>
  <si>
    <t>2nd ni_T-DEVILS GATE</t>
  </si>
  <si>
    <t>2nd ni_R-PRINCETON</t>
  </si>
  <si>
    <t>2nd cu_P-LOYOLA</t>
  </si>
  <si>
    <t>2nd cu_M-RAIN CITY</t>
  </si>
  <si>
    <t>2nd cu_O-HIELAND</t>
  </si>
  <si>
    <t xml:space="preserve">	2nd cu_N-SD SHORES WHITE</t>
  </si>
  <si>
    <t xml:space="preserve">	1st cu_N-PRAETORIAN WHITE</t>
  </si>
  <si>
    <t>1st cu_O-SANTA CRUZ B</t>
  </si>
  <si>
    <t>1st cu_M-CHAWP BLUE</t>
  </si>
  <si>
    <t>1st cu_P-LOKAHI</t>
  </si>
  <si>
    <t>3rd cu_U-NWC</t>
  </si>
  <si>
    <t>3rd cu_R-SAN JOSE EXPRESS GOLD</t>
  </si>
  <si>
    <t>3rd cu_T-CC UNITED RED</t>
  </si>
  <si>
    <t>3rd cu_S-WCAC UNITED B</t>
  </si>
  <si>
    <t>2nd cu_U-SAND CANYON RED</t>
  </si>
  <si>
    <t>2nd cu_S-NEWBERG</t>
  </si>
  <si>
    <t>2nd cu_T-TRILOGY B</t>
  </si>
  <si>
    <t>2nd cu_R-BROOKLYN HUSTLE</t>
  </si>
  <si>
    <t>cu_13th</t>
  </si>
  <si>
    <t>cu_14th</t>
  </si>
  <si>
    <t>cu_15th</t>
  </si>
  <si>
    <t>cu_16th</t>
  </si>
  <si>
    <t>cu_19th</t>
  </si>
  <si>
    <t>cu_20th</t>
  </si>
  <si>
    <t>cu_17th</t>
  </si>
  <si>
    <t>cu_18th</t>
  </si>
  <si>
    <t>TRILOGY</t>
  </si>
  <si>
    <t>SAN JOSE EXPRESS GOLD</t>
  </si>
  <si>
    <t>VNITED B</t>
  </si>
  <si>
    <t>CC UNITED RED</t>
  </si>
  <si>
    <t>CHULA VISTA PREMIER</t>
  </si>
  <si>
    <t>NWC</t>
  </si>
  <si>
    <t>A1(1)-CHAWP BLUE</t>
  </si>
  <si>
    <t>B1(2)-TROJAN GOLD</t>
  </si>
  <si>
    <t>C1(3)-TEAM SANTA MONICA</t>
  </si>
  <si>
    <t>D1(4)-NSD STARS</t>
  </si>
  <si>
    <t>A2(16)-NGEN</t>
  </si>
  <si>
    <t>B2(15)-KERN PREMIER</t>
  </si>
  <si>
    <t>C2(14)-LAMORINDA BRENTWOOD</t>
  </si>
  <si>
    <t>D2(13)-SOVA</t>
  </si>
  <si>
    <t>A3(17)-TRI VALLEY TRITONS</t>
  </si>
  <si>
    <t>B3(18)-AMP</t>
  </si>
  <si>
    <t>C3(19)-SAN JOSE ALMADEN</t>
  </si>
  <si>
    <t>D3(20)-TRILOGY</t>
  </si>
  <si>
    <t>E1(5)-FOOTHILL BLACK B</t>
  </si>
  <si>
    <t>F1(6)-YETI</t>
  </si>
  <si>
    <t>G1(7)-SACRAMENTO</t>
  </si>
  <si>
    <t>H1(8)-SOUTH COUNTY</t>
  </si>
  <si>
    <t>E2(12)-TRI VALLEY</t>
  </si>
  <si>
    <t>F2(11)-PAC ORANGE</t>
  </si>
  <si>
    <t>G2(10)-BIG VALLEY</t>
  </si>
  <si>
    <t>H2(9)-ROUTE 66</t>
  </si>
  <si>
    <t>E3(21)-TUALATIN HILLS</t>
  </si>
  <si>
    <t>F3(22)-ECA</t>
  </si>
  <si>
    <t>G3(23)-SFV</t>
  </si>
  <si>
    <t>H3(24)-VALLEY UNITED</t>
  </si>
  <si>
    <t>18BQ</t>
  </si>
  <si>
    <t>custom times</t>
  </si>
  <si>
    <t>SADDLEBACK COLLEGE</t>
  </si>
  <si>
    <t>Cross</t>
  </si>
  <si>
    <t>2ndA-</t>
  </si>
  <si>
    <t>2ndH-</t>
  </si>
  <si>
    <t>ni_C3</t>
  </si>
  <si>
    <t>cu_D1</t>
  </si>
  <si>
    <t>2ndB-</t>
  </si>
  <si>
    <t>2ndG-</t>
  </si>
  <si>
    <t>ni_D3</t>
  </si>
  <si>
    <t>cu_C1</t>
  </si>
  <si>
    <t>2ndC-</t>
  </si>
  <si>
    <t>2ndF-</t>
  </si>
  <si>
    <t>ni_A3</t>
  </si>
  <si>
    <t>cu_B1</t>
  </si>
  <si>
    <t>2ndD-</t>
  </si>
  <si>
    <t>2ndE-</t>
  </si>
  <si>
    <t>ni_B3</t>
  </si>
  <si>
    <t>cu_A1</t>
  </si>
  <si>
    <t>ni_A</t>
  </si>
  <si>
    <t>ni_B</t>
  </si>
  <si>
    <t>ni_C</t>
  </si>
  <si>
    <t>ni_D</t>
  </si>
  <si>
    <t>1stA-</t>
  </si>
  <si>
    <t>1stB -</t>
  </si>
  <si>
    <t>1stC-</t>
  </si>
  <si>
    <t>1stD-</t>
  </si>
  <si>
    <t>1stH-</t>
  </si>
  <si>
    <t>1stG-</t>
  </si>
  <si>
    <t>1stF-</t>
  </si>
  <si>
    <t>1stE-</t>
  </si>
  <si>
    <t>cu_A</t>
  </si>
  <si>
    <t>cu_B</t>
  </si>
  <si>
    <t>cu_C</t>
  </si>
  <si>
    <t>cu_D</t>
  </si>
  <si>
    <t>3rdB-</t>
  </si>
  <si>
    <t>3rdA-</t>
  </si>
  <si>
    <t>3rdD-</t>
  </si>
  <si>
    <t>3rdC-</t>
  </si>
  <si>
    <t>3rdG-</t>
  </si>
  <si>
    <t>3rdH-</t>
  </si>
  <si>
    <t>3rdE-</t>
  </si>
  <si>
    <t>3rdF-</t>
  </si>
  <si>
    <t>ni_A1-</t>
  </si>
  <si>
    <t>ni_A2-</t>
  </si>
  <si>
    <t>ni_D1-</t>
  </si>
  <si>
    <t>ni_D2-</t>
  </si>
  <si>
    <t>ni_B1-</t>
  </si>
  <si>
    <t>ni_B2-</t>
  </si>
  <si>
    <t>ni_C1-</t>
  </si>
  <si>
    <t>ni_C2-</t>
  </si>
  <si>
    <t>cu_A2-</t>
  </si>
  <si>
    <t>cu_A3-</t>
  </si>
  <si>
    <t>cu_D2-</t>
  </si>
  <si>
    <t>cu_D3-</t>
  </si>
  <si>
    <t>cu_B2-</t>
  </si>
  <si>
    <t>cu_B3-</t>
  </si>
  <si>
    <t>cu_C2-</t>
  </si>
  <si>
    <t>cu_C3-</t>
  </si>
  <si>
    <t>2nd ni_D-</t>
  </si>
  <si>
    <t>3rd ni_C-</t>
  </si>
  <si>
    <t>2nd ni_A-</t>
  </si>
  <si>
    <t>3rd ni_B-</t>
  </si>
  <si>
    <t>2nd ni_C-</t>
  </si>
  <si>
    <t>3rd ni_D-</t>
  </si>
  <si>
    <t>2nd ni_B-</t>
  </si>
  <si>
    <t>3rd ni_A-</t>
  </si>
  <si>
    <t>1st ni_B-</t>
  </si>
  <si>
    <t>1st ni_C-</t>
  </si>
  <si>
    <t>1st ni_A-</t>
  </si>
  <si>
    <t>1st ni_D-</t>
  </si>
  <si>
    <t>2nd cu_D-</t>
  </si>
  <si>
    <t>3rd cu_C-</t>
  </si>
  <si>
    <t>2nd cu_A-</t>
  </si>
  <si>
    <t>3rd cu_B-</t>
  </si>
  <si>
    <t>2nd cu_C-</t>
  </si>
  <si>
    <t>3rd cu_D-</t>
  </si>
  <si>
    <t>2nd cu_B-</t>
  </si>
  <si>
    <t>3rd cu_A-</t>
  </si>
  <si>
    <t>1st cu_B-</t>
  </si>
  <si>
    <t>1st cu_C-</t>
  </si>
  <si>
    <t>1st cu_A-</t>
  </si>
  <si>
    <t>1st cu_D-</t>
  </si>
  <si>
    <t>23 teams</t>
  </si>
  <si>
    <t>A1-CHAWP BLUE</t>
  </si>
  <si>
    <t>B1-TROJAN GOLD</t>
  </si>
  <si>
    <t>C1-TEAM SANTA MONICA</t>
  </si>
  <si>
    <t>D1-NSD STARS</t>
  </si>
  <si>
    <t>A2-TRI VALLEY</t>
  </si>
  <si>
    <t>B2-PAC ORANGE</t>
  </si>
  <si>
    <t>C2-BIG VALLEY</t>
  </si>
  <si>
    <t>D2-ROUTE 66</t>
  </si>
  <si>
    <t>A3-SOVA</t>
  </si>
  <si>
    <t>B3-LAMORINDA BRENTWOOD</t>
  </si>
  <si>
    <t>C3-KERN PREMIER</t>
  </si>
  <si>
    <t>D3-TRI VALLEY TRITONS</t>
  </si>
  <si>
    <t>B4-VALLEY UNITED</t>
  </si>
  <si>
    <t>C4-SFV</t>
  </si>
  <si>
    <t>D4-ECA</t>
  </si>
  <si>
    <t>E1-FOOTHILL BLACK B</t>
  </si>
  <si>
    <t>F1-YETI</t>
  </si>
  <si>
    <t>E2-NGEN</t>
  </si>
  <si>
    <t>F2-SACRAMENTO</t>
  </si>
  <si>
    <t>E3-AMP</t>
  </si>
  <si>
    <t>F3-SAN JOSE ALMADEN</t>
  </si>
  <si>
    <t>E4-TUALATIN HILLS</t>
  </si>
  <si>
    <t>F4-TRILOGY</t>
  </si>
  <si>
    <t>ni_C1</t>
  </si>
  <si>
    <t>cu_A5</t>
  </si>
  <si>
    <t>ni_D1</t>
  </si>
  <si>
    <t>cu_B5</t>
  </si>
  <si>
    <t>ni_D2</t>
  </si>
  <si>
    <t>cu_A4</t>
  </si>
  <si>
    <t>cu_B2</t>
  </si>
  <si>
    <t>cu_A2</t>
  </si>
  <si>
    <t>ni_A2</t>
  </si>
  <si>
    <t>cu_A3</t>
  </si>
  <si>
    <t>ni_B2</t>
  </si>
  <si>
    <t>cu_B3</t>
  </si>
  <si>
    <t>cu_B4</t>
  </si>
  <si>
    <t>ni_C2</t>
  </si>
  <si>
    <t>ni_B1</t>
  </si>
  <si>
    <t>cu_B6</t>
  </si>
  <si>
    <t>3rd A-TRI VALLEY</t>
  </si>
  <si>
    <t>2nd A-CHAWP BLUE</t>
  </si>
  <si>
    <t>ni_A1(1stA)-SOVA</t>
  </si>
  <si>
    <t>2nd ni_D-NGEN</t>
  </si>
  <si>
    <t>3rd ni_C-PAC ORANGE</t>
  </si>
  <si>
    <t>2nd ni_A-TUALATIN HILLS</t>
  </si>
  <si>
    <t>3rd ni_B-ECA</t>
  </si>
  <si>
    <t>2nd ni_C-TRILOGY</t>
  </si>
  <si>
    <t>3rd ni_D-CHAWP BLUE</t>
  </si>
  <si>
    <t>2nd ni_B-FOOTHILL BLACK B</t>
  </si>
  <si>
    <t>3rd ni_A-SOVA</t>
  </si>
  <si>
    <t>1st ni_B-TROJAN GOLD</t>
  </si>
  <si>
    <t>1st ni_C-BIG VALLEY</t>
  </si>
  <si>
    <t>1st ni_A-ROUTE 66</t>
  </si>
  <si>
    <t>1st ni_D-NSD STARS</t>
  </si>
  <si>
    <t>9th-11th</t>
  </si>
  <si>
    <t>5th cu_A-KERN PREMIER</t>
  </si>
  <si>
    <t>6th cu_B-SAN JOSE ALMADEN</t>
  </si>
  <si>
    <t>4th cu_A-AMP</t>
  </si>
  <si>
    <t>4th cu_B-LAMORINDA BRENTWOOD</t>
  </si>
  <si>
    <t>3rd cu_A-VALLEY UNITED</t>
  </si>
  <si>
    <t>3rd cu_B-TRI VALLEY TRITONS</t>
  </si>
  <si>
    <t>5th cu_B-TRI VALLEY</t>
  </si>
  <si>
    <t>Semi</t>
  </si>
  <si>
    <t>1st cu_A-TEAM SANTA MONICA</t>
  </si>
  <si>
    <t>2nd cu_B-SFV</t>
  </si>
  <si>
    <t>1st cu_B-SACRAMENTO</t>
  </si>
  <si>
    <t xml:space="preserve">2nd cu_A-YETI </t>
  </si>
  <si>
    <t>KERN PREMIER</t>
  </si>
  <si>
    <t>TRI VALLEY</t>
  </si>
  <si>
    <t>SAN JOSE ALMADEN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</si>
</sst>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\,\ mmmm\ d"/>
    <numFmt numFmtId="165" formatCode="0.0"/>
    <numFmt numFmtId="166" formatCode="[$-409]d\-mmm;@"/>
    <numFmt numFmtId="167" formatCode="[$-409]h:mm\ AM/PM;@"/>
  </numFmts>
  <fonts count="4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b/>
      <sz val="9"/>
      <color theme="0"/>
      <name val="Arial Narrow"/>
      <family val="2"/>
    </font>
    <font>
      <sz val="9"/>
      <color theme="0"/>
      <name val="Arial Narrow"/>
      <family val="2"/>
    </font>
    <font>
      <sz val="9"/>
      <color indexed="8"/>
      <name val="Arial Narrow"/>
      <family val="2"/>
    </font>
    <font>
      <sz val="9"/>
      <color rgb="FF444444"/>
      <name val="Arial Narrow"/>
      <family val="2"/>
    </font>
    <font>
      <b/>
      <sz val="9"/>
      <color rgb="FF009933"/>
      <name val="Arial Narrow"/>
      <family val="2"/>
    </font>
    <font>
      <b/>
      <sz val="9"/>
      <color indexed="8"/>
      <name val="Arial Narrow"/>
      <family val="2"/>
    </font>
    <font>
      <sz val="8"/>
      <name val="Arial Narrow"/>
      <family val="2"/>
    </font>
    <font>
      <sz val="9"/>
      <color rgb="FFFF0000"/>
      <name val="Arial Narrow"/>
      <family val="2"/>
    </font>
    <font>
      <u/>
      <sz val="9"/>
      <color theme="10"/>
      <name val="Arial Narrow"/>
      <family val="2"/>
    </font>
    <font>
      <b/>
      <sz val="9"/>
      <color rgb="FF4472C4"/>
      <name val="Arial Narrow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10"/>
      <color theme="1"/>
      <name val="Arial Narrow"/>
      <family val="2"/>
    </font>
    <font>
      <b/>
      <sz val="10"/>
      <color rgb="FFFF0000"/>
      <name val="Arial Narrow"/>
      <family val="2"/>
    </font>
    <font>
      <sz val="11"/>
      <color theme="1"/>
      <name val="Aptos Narrow"/>
      <family val="2"/>
      <scheme val="minor"/>
    </font>
    <font>
      <b/>
      <sz val="8"/>
      <name val="Arial Narrow"/>
      <family val="2"/>
    </font>
    <font>
      <sz val="8"/>
      <name val="Aptos Narrow"/>
      <family val="2"/>
      <scheme val="minor"/>
    </font>
    <font>
      <b/>
      <sz val="10"/>
      <name val="Arial Narrow"/>
      <family val="2"/>
    </font>
    <font>
      <b/>
      <sz val="10"/>
      <color theme="9"/>
      <name val="Arial Narrow"/>
      <family val="2"/>
    </font>
    <font>
      <b/>
      <u/>
      <sz val="11"/>
      <name val="Aptos Narrow"/>
      <family val="2"/>
      <scheme val="minor"/>
    </font>
    <font>
      <b/>
      <sz val="10"/>
      <color theme="0"/>
      <name val="Arial Narrow"/>
      <family val="2"/>
    </font>
    <font>
      <b/>
      <sz val="11"/>
      <color theme="1"/>
      <name val="Arial Narrow"/>
      <family val="2"/>
    </font>
    <font>
      <b/>
      <sz val="11"/>
      <color rgb="FF4472C4"/>
      <name val="Arial Narrow"/>
      <family val="2"/>
    </font>
    <font>
      <b/>
      <sz val="11"/>
      <name val="Arial Narrow"/>
      <family val="2"/>
    </font>
    <font>
      <b/>
      <sz val="11"/>
      <color indexed="8"/>
      <name val="Arial Narrow"/>
      <family val="2"/>
    </font>
    <font>
      <b/>
      <sz val="11"/>
      <color rgb="FF009933"/>
      <name val="Arial Narrow"/>
      <family val="2"/>
    </font>
    <font>
      <b/>
      <sz val="11"/>
      <color theme="0"/>
      <name val="Arial Narrow"/>
      <family val="2"/>
    </font>
    <font>
      <b/>
      <sz val="11"/>
      <color rgb="FFFFFFFF"/>
      <name val="Arial Narrow"/>
      <family val="2"/>
    </font>
    <font>
      <b/>
      <sz val="11"/>
      <color rgb="FF000000"/>
      <name val="Arial Narrow"/>
      <family val="2"/>
    </font>
    <font>
      <b/>
      <sz val="11"/>
      <color rgb="FFFF0000"/>
      <name val="Arial Narrow"/>
      <family val="2"/>
    </font>
    <font>
      <b/>
      <sz val="11"/>
      <color rgb="FF444444"/>
      <name val="Arial Narrow"/>
      <family val="2"/>
    </font>
    <font>
      <sz val="11"/>
      <name val="Arial Narrow"/>
      <family val="2"/>
    </font>
    <font>
      <b/>
      <sz val="11"/>
      <color theme="8" tint="0.39997558519241921"/>
      <name val="Arial Narrow"/>
      <family val="2"/>
    </font>
    <font>
      <b/>
      <sz val="11"/>
      <color rgb="FF38D4D6"/>
      <name val="Arial Narrow"/>
      <family val="2"/>
    </font>
    <font>
      <b/>
      <sz val="11"/>
      <color theme="7" tint="-0.249977111117893"/>
      <name val="Arial Narrow"/>
      <family val="2"/>
    </font>
    <font>
      <b/>
      <u/>
      <sz val="11"/>
      <color indexed="8"/>
      <name val="Arial Narrow"/>
      <family val="2"/>
    </font>
    <font>
      <b/>
      <sz val="11"/>
      <color theme="9"/>
      <name val="Arial Narrow"/>
      <family val="2"/>
    </font>
    <font>
      <b/>
      <sz val="11"/>
      <color indexed="9"/>
      <name val="Arial Narrow"/>
      <family val="2"/>
    </font>
    <font>
      <b/>
      <sz val="11"/>
      <color indexed="10"/>
      <name val="Arial Narrow"/>
      <family val="2"/>
    </font>
    <font>
      <b/>
      <sz val="11"/>
      <color rgb="FFC00000"/>
      <name val="Arial Narrow"/>
      <family val="2"/>
    </font>
    <font>
      <b/>
      <u/>
      <sz val="11"/>
      <color rgb="FF00B0F0"/>
      <name val="Arial Narrow"/>
      <family val="2"/>
    </font>
    <font>
      <b/>
      <sz val="11"/>
      <color rgb="FF00CC66"/>
      <name val="Arial Narrow"/>
      <family val="2"/>
    </font>
    <font>
      <b/>
      <sz val="10"/>
      <color rgb="FFC00000"/>
      <name val="Arial Narrow"/>
      <family val="2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C3333"/>
      </patternFill>
    </fill>
    <fill>
      <patternFill patternType="solid">
        <fgColor indexed="10"/>
        <bgColor indexed="64"/>
      </patternFill>
    </fill>
    <fill>
      <patternFill patternType="solid">
        <fgColor rgb="FFCC3333"/>
        <bgColor theme="0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FFCC33"/>
      </patternFill>
    </fill>
    <fill>
      <patternFill patternType="solid">
        <fgColor rgb="FFCCCCCC"/>
      </patternFill>
    </fill>
    <fill>
      <patternFill patternType="solid">
        <fgColor rgb="FFFF6600"/>
      </patternFill>
    </fill>
    <fill>
      <patternFill patternType="solid">
        <fgColor rgb="FFFF0000"/>
        <bgColor rgb="FF000000"/>
      </patternFill>
    </fill>
    <fill>
      <patternFill patternType="solid">
        <fgColor rgb="FFFFCC33"/>
        <bgColor indexed="64"/>
      </patternFill>
    </fill>
    <fill>
      <patternFill patternType="solid">
        <fgColor rgb="FFFFFF00"/>
      </patternFill>
    </fill>
    <fill>
      <patternFill patternType="solid">
        <fgColor rgb="FF009933"/>
      </patternFill>
    </fill>
    <fill>
      <patternFill patternType="solid">
        <fgColor rgb="FFB4F2BB"/>
        <bgColor indexed="64"/>
      </patternFill>
    </fill>
    <fill>
      <patternFill patternType="solid">
        <fgColor rgb="FFCC9966"/>
      </patternFill>
    </fill>
    <fill>
      <patternFill patternType="solid">
        <fgColor rgb="FF0066FF"/>
        <bgColor indexed="64"/>
      </patternFill>
    </fill>
    <fill>
      <patternFill patternType="solid">
        <fgColor rgb="FFCCCC00"/>
      </patternFill>
    </fill>
    <fill>
      <patternFill patternType="solid">
        <fgColor rgb="FFFF9933"/>
      </patternFill>
    </fill>
    <fill>
      <patternFill patternType="solid">
        <fgColor rgb="FFCC6666"/>
      </patternFill>
    </fill>
    <fill>
      <patternFill patternType="solid">
        <fgColor rgb="FFCC66CC"/>
      </patternFill>
    </fill>
    <fill>
      <patternFill patternType="solid">
        <fgColor rgb="FFFFABAB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333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66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CC66"/>
      </patternFill>
    </fill>
    <fill>
      <patternFill patternType="solid">
        <fgColor rgb="FF00CC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9966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7">
    <xf numFmtId="0" fontId="0" fillId="0" borderId="0"/>
    <xf numFmtId="0" fontId="2" fillId="0" borderId="1" applyNumberFormat="0">
      <alignment horizontal="center" vertical="center"/>
    </xf>
    <xf numFmtId="0" fontId="1" fillId="0" borderId="0" applyNumberFormat="0" applyFill="0" applyBorder="0" applyAlignment="0" applyProtection="0"/>
    <xf numFmtId="0" fontId="2" fillId="0" borderId="3" applyNumberFormat="0">
      <alignment horizontal="center" vertical="center"/>
    </xf>
    <xf numFmtId="0" fontId="4" fillId="0" borderId="0">
      <alignment horizontal="center" vertical="center"/>
    </xf>
    <xf numFmtId="0" fontId="5" fillId="0" borderId="4" applyProtection="0">
      <alignment horizontal="center" vertical="center" wrapText="1"/>
    </xf>
    <xf numFmtId="18" fontId="6" fillId="3" borderId="2" applyNumberFormat="0">
      <alignment horizontal="center" vertical="center"/>
    </xf>
    <xf numFmtId="18" fontId="6" fillId="4" borderId="2" applyNumberFormat="0">
      <alignment horizontal="center" vertical="center"/>
    </xf>
    <xf numFmtId="0" fontId="3" fillId="0" borderId="2">
      <alignment horizontal="center" vertical="center"/>
    </xf>
    <xf numFmtId="18" fontId="6" fillId="5" borderId="2" applyNumberFormat="0">
      <alignment horizontal="center" vertical="center"/>
    </xf>
    <xf numFmtId="0" fontId="4" fillId="0" borderId="2" applyNumberFormat="0">
      <alignment horizontal="center" vertical="center"/>
    </xf>
    <xf numFmtId="18" fontId="5" fillId="6" borderId="2" applyNumberFormat="0">
      <alignment horizontal="center" vertical="center"/>
    </xf>
    <xf numFmtId="18" fontId="5" fillId="7" borderId="2" applyNumberFormat="0">
      <alignment horizontal="center" vertical="center"/>
    </xf>
    <xf numFmtId="18" fontId="4" fillId="8" borderId="2" applyNumberFormat="0">
      <alignment horizontal="center" vertical="center"/>
    </xf>
    <xf numFmtId="18" fontId="4" fillId="7" borderId="2" applyNumberFormat="0">
      <alignment horizontal="center" vertical="center"/>
    </xf>
    <xf numFmtId="18" fontId="6" fillId="9" borderId="2" applyNumberFormat="0">
      <alignment horizontal="center" vertical="center"/>
    </xf>
    <xf numFmtId="18" fontId="6" fillId="9" borderId="2" applyNumberFormat="0">
      <alignment horizontal="center" vertical="center"/>
    </xf>
    <xf numFmtId="0" fontId="12" fillId="0" borderId="2" applyNumberFormat="0">
      <alignment horizontal="center"/>
    </xf>
    <xf numFmtId="18" fontId="5" fillId="12" borderId="2" applyNumberFormat="0">
      <alignment horizontal="center" vertical="center"/>
    </xf>
    <xf numFmtId="18" fontId="5" fillId="12" borderId="2" applyNumberFormat="0">
      <alignment horizontal="center" vertical="center"/>
    </xf>
    <xf numFmtId="0" fontId="14" fillId="0" borderId="0" applyNumberFormat="0" applyFill="0" applyBorder="0" applyAlignment="0" applyProtection="0">
      <alignment horizontal="center" vertical="center"/>
    </xf>
    <xf numFmtId="18" fontId="6" fillId="13" borderId="2">
      <alignment horizontal="center" vertical="center"/>
    </xf>
    <xf numFmtId="18" fontId="6" fillId="13" borderId="2">
      <alignment horizontal="center" vertical="center"/>
    </xf>
    <xf numFmtId="0" fontId="16" fillId="14" borderId="20">
      <alignment horizontal="center" vertical="center"/>
    </xf>
    <xf numFmtId="18" fontId="7" fillId="15" borderId="2" applyNumberFormat="0">
      <alignment horizontal="center" vertical="center"/>
    </xf>
    <xf numFmtId="0" fontId="4" fillId="0" borderId="0">
      <alignment horizontal="center" vertical="center"/>
    </xf>
    <xf numFmtId="0" fontId="17" fillId="17" borderId="2">
      <alignment horizontal="center" vertical="center"/>
    </xf>
    <xf numFmtId="18" fontId="6" fillId="15" borderId="2" applyNumberFormat="0">
      <alignment horizontal="center" vertical="center"/>
    </xf>
    <xf numFmtId="18" fontId="5" fillId="18" borderId="2">
      <alignment horizontal="center" vertical="center"/>
    </xf>
    <xf numFmtId="0" fontId="5" fillId="18" borderId="2">
      <alignment horizontal="center" vertical="center"/>
    </xf>
    <xf numFmtId="18" fontId="6" fillId="19" borderId="2" applyNumberFormat="0">
      <alignment horizontal="center" vertical="center"/>
    </xf>
    <xf numFmtId="18" fontId="6" fillId="19" borderId="2" applyNumberFormat="0">
      <alignment horizontal="center" vertical="center"/>
    </xf>
    <xf numFmtId="18" fontId="6" fillId="20" borderId="2">
      <alignment horizontal="center" vertical="center"/>
    </xf>
    <xf numFmtId="18" fontId="6" fillId="20" borderId="2">
      <alignment horizontal="center" vertical="center"/>
    </xf>
    <xf numFmtId="18" fontId="7" fillId="15" borderId="2" applyNumberFormat="0">
      <alignment horizontal="center" vertical="center"/>
    </xf>
    <xf numFmtId="0" fontId="20" fillId="0" borderId="0"/>
    <xf numFmtId="18" fontId="5" fillId="31" borderId="2">
      <alignment horizontal="center" vertical="center"/>
    </xf>
    <xf numFmtId="0" fontId="20" fillId="0" borderId="0"/>
    <xf numFmtId="18" fontId="21" fillId="35" borderId="2" applyNumberFormat="0">
      <alignment horizontal="center"/>
    </xf>
    <xf numFmtId="0" fontId="1" fillId="0" borderId="0" applyNumberFormat="0" applyFill="0" applyBorder="0" applyAlignment="0" applyProtection="0"/>
    <xf numFmtId="0" fontId="20" fillId="0" borderId="0"/>
    <xf numFmtId="0" fontId="4" fillId="0" borderId="0">
      <alignment horizontal="center" vertical="center"/>
    </xf>
    <xf numFmtId="0" fontId="5" fillId="0" borderId="4">
      <alignment horizontal="center" vertical="center"/>
    </xf>
    <xf numFmtId="0" fontId="11" fillId="0" borderId="3" applyNumberFormat="0">
      <alignment horizontal="center" vertical="center"/>
    </xf>
    <xf numFmtId="0" fontId="11" fillId="0" borderId="1" applyNumberFormat="0">
      <alignment horizontal="center" vertical="center"/>
    </xf>
    <xf numFmtId="0" fontId="8" fillId="0" borderId="2">
      <alignment horizontal="center" vertical="center"/>
    </xf>
    <xf numFmtId="18" fontId="5" fillId="39" borderId="2" applyNumberFormat="0">
      <alignment horizontal="center" vertical="center"/>
    </xf>
  </cellStyleXfs>
  <cellXfs count="375">
    <xf numFmtId="0" fontId="0" fillId="0" borderId="0" xfId="0"/>
    <xf numFmtId="0" fontId="4" fillId="0" borderId="0" xfId="4">
      <alignment horizontal="center" vertical="center"/>
    </xf>
    <xf numFmtId="164" fontId="4" fillId="0" borderId="0" xfId="4" applyNumberFormat="1">
      <alignment horizontal="center" vertical="center"/>
    </xf>
    <xf numFmtId="0" fontId="3" fillId="0" borderId="2" xfId="8">
      <alignment horizontal="center" vertical="center"/>
    </xf>
    <xf numFmtId="16" fontId="4" fillId="0" borderId="2" xfId="10" applyNumberFormat="1">
      <alignment horizontal="center" vertical="center"/>
    </xf>
    <xf numFmtId="18" fontId="4" fillId="0" borderId="2" xfId="10" applyNumberFormat="1">
      <alignment horizontal="center" vertical="center"/>
    </xf>
    <xf numFmtId="0" fontId="4" fillId="0" borderId="2" xfId="10">
      <alignment horizontal="center" vertical="center"/>
    </xf>
    <xf numFmtId="0" fontId="3" fillId="0" borderId="2" xfId="10" applyFont="1">
      <alignment horizontal="center" vertical="center"/>
    </xf>
    <xf numFmtId="1" fontId="4" fillId="0" borderId="2" xfId="10" applyNumberFormat="1">
      <alignment horizontal="center" vertical="center"/>
    </xf>
    <xf numFmtId="16" fontId="4" fillId="0" borderId="0" xfId="4" applyNumberFormat="1">
      <alignment horizontal="center" vertical="center"/>
    </xf>
    <xf numFmtId="18" fontId="4" fillId="0" borderId="0" xfId="4" applyNumberFormat="1">
      <alignment horizontal="center" vertical="center"/>
    </xf>
    <xf numFmtId="0" fontId="4" fillId="0" borderId="5" xfId="10" applyBorder="1">
      <alignment horizontal="center" vertical="center"/>
    </xf>
    <xf numFmtId="165" fontId="4" fillId="0" borderId="2" xfId="10" applyNumberFormat="1">
      <alignment horizontal="center" vertical="center"/>
    </xf>
    <xf numFmtId="0" fontId="4" fillId="8" borderId="2" xfId="13" applyNumberFormat="1">
      <alignment horizontal="center" vertical="center"/>
    </xf>
    <xf numFmtId="0" fontId="9" fillId="0" borderId="9" xfId="4" quotePrefix="1" applyFont="1" applyBorder="1">
      <alignment horizontal="center" vertical="center"/>
    </xf>
    <xf numFmtId="0" fontId="9" fillId="0" borderId="15" xfId="4" quotePrefix="1" applyFont="1" applyBorder="1">
      <alignment horizontal="center" vertical="center"/>
    </xf>
    <xf numFmtId="0" fontId="9" fillId="0" borderId="0" xfId="4" quotePrefix="1" applyFont="1">
      <alignment horizontal="center" vertical="center"/>
    </xf>
    <xf numFmtId="0" fontId="9" fillId="0" borderId="17" xfId="4" quotePrefix="1" applyFont="1" applyBorder="1">
      <alignment horizontal="center" vertical="center"/>
    </xf>
    <xf numFmtId="0" fontId="4" fillId="8" borderId="5" xfId="13" applyNumberFormat="1" applyBorder="1">
      <alignment horizontal="center" vertical="center"/>
    </xf>
    <xf numFmtId="0" fontId="2" fillId="0" borderId="1" xfId="1">
      <alignment horizontal="center" vertical="center"/>
    </xf>
    <xf numFmtId="0" fontId="2" fillId="0" borderId="3" xfId="3">
      <alignment horizontal="center" vertical="center"/>
    </xf>
    <xf numFmtId="0" fontId="10" fillId="0" borderId="0" xfId="4" applyFont="1">
      <alignment horizontal="center" vertical="center"/>
    </xf>
    <xf numFmtId="0" fontId="5" fillId="0" borderId="4" xfId="5">
      <alignment horizontal="center" vertical="center" wrapText="1"/>
    </xf>
    <xf numFmtId="0" fontId="4" fillId="0" borderId="2" xfId="10" applyNumberFormat="1">
      <alignment horizontal="center" vertical="center"/>
    </xf>
    <xf numFmtId="0" fontId="5" fillId="6" borderId="2" xfId="11" applyNumberFormat="1">
      <alignment horizontal="center" vertical="center"/>
    </xf>
    <xf numFmtId="0" fontId="4" fillId="8" borderId="9" xfId="13" applyNumberFormat="1" applyBorder="1">
      <alignment horizontal="center" vertical="center"/>
    </xf>
    <xf numFmtId="1" fontId="4" fillId="8" borderId="6" xfId="13" applyNumberFormat="1" applyBorder="1">
      <alignment horizontal="center" vertical="center"/>
    </xf>
    <xf numFmtId="0" fontId="13" fillId="0" borderId="0" xfId="4" applyFont="1">
      <alignment horizontal="center" vertical="center"/>
    </xf>
    <xf numFmtId="0" fontId="4" fillId="8" borderId="7" xfId="13" applyNumberFormat="1" applyBorder="1">
      <alignment horizontal="center" vertical="center"/>
    </xf>
    <xf numFmtId="0" fontId="15" fillId="0" borderId="15" xfId="3" applyFont="1" applyBorder="1">
      <alignment horizontal="center" vertical="center"/>
    </xf>
    <xf numFmtId="0" fontId="5" fillId="0" borderId="0" xfId="4" applyFont="1">
      <alignment horizontal="center" vertical="center"/>
    </xf>
    <xf numFmtId="0" fontId="7" fillId="15" borderId="2" xfId="24" applyNumberFormat="1">
      <alignment horizontal="center" vertical="center"/>
    </xf>
    <xf numFmtId="0" fontId="6" fillId="15" borderId="2" xfId="27" applyNumberFormat="1">
      <alignment horizontal="center" vertical="center"/>
    </xf>
    <xf numFmtId="18" fontId="13" fillId="0" borderId="2" xfId="10" applyNumberFormat="1" applyFont="1">
      <alignment horizontal="center" vertical="center"/>
    </xf>
    <xf numFmtId="0" fontId="7" fillId="15" borderId="7" xfId="24" applyNumberFormat="1" applyBorder="1">
      <alignment horizontal="center" vertical="center"/>
    </xf>
    <xf numFmtId="18" fontId="5" fillId="21" borderId="2" xfId="32" applyFont="1" applyFill="1">
      <alignment horizontal="center" vertical="center"/>
    </xf>
    <xf numFmtId="18" fontId="5" fillId="21" borderId="2" xfId="33" applyFont="1" applyFill="1">
      <alignment horizontal="center" vertical="center"/>
    </xf>
    <xf numFmtId="2" fontId="4" fillId="0" borderId="2" xfId="10" applyNumberFormat="1">
      <alignment horizontal="center" vertical="center"/>
    </xf>
    <xf numFmtId="0" fontId="4" fillId="8" borderId="6" xfId="13" applyNumberFormat="1" applyBorder="1">
      <alignment horizontal="center" vertical="center"/>
    </xf>
    <xf numFmtId="0" fontId="4" fillId="8" borderId="10" xfId="13" applyNumberFormat="1" applyBorder="1">
      <alignment horizontal="center" vertical="center"/>
    </xf>
    <xf numFmtId="1" fontId="4" fillId="8" borderId="9" xfId="13" applyNumberFormat="1" applyBorder="1">
      <alignment horizontal="center" vertical="center"/>
    </xf>
    <xf numFmtId="0" fontId="7" fillId="15" borderId="2" xfId="34" applyNumberFormat="1">
      <alignment horizontal="center" vertical="center"/>
    </xf>
    <xf numFmtId="0" fontId="9" fillId="0" borderId="24" xfId="4" quotePrefix="1" applyFont="1" applyBorder="1">
      <alignment horizontal="center" vertical="center"/>
    </xf>
    <xf numFmtId="0" fontId="9" fillId="0" borderId="25" xfId="4" quotePrefix="1" applyFont="1" applyBorder="1">
      <alignment horizontal="center" vertical="center"/>
    </xf>
    <xf numFmtId="0" fontId="18" fillId="0" borderId="2" xfId="0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5" fontId="18" fillId="0" borderId="2" xfId="0" applyNumberFormat="1" applyFont="1" applyBorder="1" applyAlignment="1">
      <alignment horizontal="center" vertical="center"/>
    </xf>
    <xf numFmtId="15" fontId="19" fillId="0" borderId="2" xfId="0" applyNumberFormat="1" applyFont="1" applyBorder="1" applyAlignment="1">
      <alignment horizontal="center" vertical="center"/>
    </xf>
    <xf numFmtId="0" fontId="18" fillId="27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22" borderId="3" xfId="39" applyFont="1" applyFill="1" applyBorder="1" applyAlignment="1">
      <alignment horizontal="center" vertical="center"/>
    </xf>
    <xf numFmtId="0" fontId="25" fillId="34" borderId="3" xfId="39" applyFont="1" applyFill="1" applyBorder="1" applyAlignment="1">
      <alignment horizontal="center" vertical="center"/>
    </xf>
    <xf numFmtId="0" fontId="25" fillId="26" borderId="3" xfId="39" applyFont="1" applyFill="1" applyBorder="1" applyAlignment="1">
      <alignment horizontal="center" vertical="center"/>
    </xf>
    <xf numFmtId="0" fontId="26" fillId="16" borderId="20" xfId="23" applyFont="1" applyFill="1">
      <alignment horizontal="center" vertical="center"/>
    </xf>
    <xf numFmtId="18" fontId="26" fillId="13" borderId="7" xfId="22" applyFont="1" applyBorder="1">
      <alignment horizontal="center" vertical="center"/>
    </xf>
    <xf numFmtId="0" fontId="27" fillId="0" borderId="1" xfId="1" applyFont="1">
      <alignment horizontal="center" vertical="center"/>
    </xf>
    <xf numFmtId="0" fontId="28" fillId="0" borderId="15" xfId="3" applyFont="1" applyBorder="1">
      <alignment horizontal="center" vertical="center"/>
    </xf>
    <xf numFmtId="0" fontId="27" fillId="0" borderId="3" xfId="3" applyFont="1">
      <alignment horizontal="center" vertical="center"/>
    </xf>
    <xf numFmtId="0" fontId="29" fillId="0" borderId="0" xfId="4" applyFont="1">
      <alignment horizontal="center" vertical="center"/>
    </xf>
    <xf numFmtId="164" fontId="29" fillId="0" borderId="0" xfId="4" applyNumberFormat="1" applyFont="1">
      <alignment horizontal="center" vertical="center"/>
    </xf>
    <xf numFmtId="0" fontId="30" fillId="0" borderId="0" xfId="4" applyFont="1">
      <alignment horizontal="center" vertical="center"/>
    </xf>
    <xf numFmtId="0" fontId="31" fillId="0" borderId="0" xfId="4" applyFont="1">
      <alignment horizontal="center" vertical="center"/>
    </xf>
    <xf numFmtId="1" fontId="29" fillId="0" borderId="0" xfId="4" applyNumberFormat="1" applyFont="1">
      <alignment horizontal="center" vertical="center"/>
    </xf>
    <xf numFmtId="0" fontId="29" fillId="0" borderId="4" xfId="5" applyFont="1">
      <alignment horizontal="center" vertical="center" wrapText="1"/>
    </xf>
    <xf numFmtId="0" fontId="32" fillId="4" borderId="2" xfId="7" applyNumberFormat="1" applyFont="1">
      <alignment horizontal="center" vertical="center"/>
    </xf>
    <xf numFmtId="0" fontId="27" fillId="0" borderId="2" xfId="8" applyFont="1">
      <alignment horizontal="center" vertical="center"/>
    </xf>
    <xf numFmtId="0" fontId="30" fillId="0" borderId="4" xfId="1" applyFont="1" applyBorder="1">
      <alignment horizontal="center" vertical="center"/>
    </xf>
    <xf numFmtId="16" fontId="29" fillId="0" borderId="2" xfId="10" applyNumberFormat="1" applyFont="1">
      <alignment horizontal="center" vertical="center"/>
    </xf>
    <xf numFmtId="18" fontId="29" fillId="0" borderId="2" xfId="10" applyNumberFormat="1" applyFont="1">
      <alignment horizontal="center" vertical="center"/>
    </xf>
    <xf numFmtId="0" fontId="29" fillId="0" borderId="2" xfId="10" applyFont="1">
      <alignment horizontal="center" vertical="center"/>
    </xf>
    <xf numFmtId="0" fontId="29" fillId="0" borderId="2" xfId="4" applyFont="1" applyBorder="1">
      <alignment horizontal="center" vertical="center"/>
    </xf>
    <xf numFmtId="1" fontId="29" fillId="0" borderId="2" xfId="10" applyNumberFormat="1" applyFont="1">
      <alignment horizontal="center" vertical="center"/>
    </xf>
    <xf numFmtId="165" fontId="29" fillId="0" borderId="2" xfId="10" applyNumberFormat="1" applyFont="1">
      <alignment horizontal="center" vertical="center"/>
    </xf>
    <xf numFmtId="16" fontId="29" fillId="0" borderId="0" xfId="10" applyNumberFormat="1" applyFont="1" applyBorder="1">
      <alignment horizontal="center" vertical="center"/>
    </xf>
    <xf numFmtId="18" fontId="33" fillId="10" borderId="2" xfId="7" applyNumberFormat="1" applyFont="1" applyFill="1" applyAlignment="1">
      <alignment horizontal="center"/>
    </xf>
    <xf numFmtId="18" fontId="29" fillId="0" borderId="2" xfId="17" applyNumberFormat="1" applyFont="1">
      <alignment horizontal="center"/>
    </xf>
    <xf numFmtId="16" fontId="30" fillId="0" borderId="0" xfId="4" applyNumberFormat="1" applyFont="1">
      <alignment horizontal="center" vertical="center"/>
    </xf>
    <xf numFmtId="18" fontId="29" fillId="0" borderId="0" xfId="4" applyNumberFormat="1" applyFont="1">
      <alignment horizontal="center" vertical="center"/>
    </xf>
    <xf numFmtId="1" fontId="30" fillId="0" borderId="0" xfId="4" applyNumberFormat="1" applyFont="1">
      <alignment horizontal="center" vertical="center"/>
    </xf>
    <xf numFmtId="0" fontId="29" fillId="0" borderId="2" xfId="10" applyNumberFormat="1" applyFont="1">
      <alignment horizontal="center" vertical="center"/>
    </xf>
    <xf numFmtId="0" fontId="30" fillId="0" borderId="3" xfId="3" applyFont="1">
      <alignment horizontal="center" vertical="center"/>
    </xf>
    <xf numFmtId="1" fontId="30" fillId="0" borderId="3" xfId="3" applyNumberFormat="1" applyFont="1">
      <alignment horizontal="center" vertical="center"/>
    </xf>
    <xf numFmtId="0" fontId="30" fillId="0" borderId="0" xfId="1" applyFont="1" applyBorder="1">
      <alignment horizontal="center" vertical="center"/>
    </xf>
    <xf numFmtId="0" fontId="29" fillId="6" borderId="2" xfId="11" applyNumberFormat="1" applyFont="1">
      <alignment horizontal="center" vertical="center"/>
    </xf>
    <xf numFmtId="0" fontId="30" fillId="0" borderId="2" xfId="8" applyFont="1">
      <alignment horizontal="center" vertical="center"/>
    </xf>
    <xf numFmtId="0" fontId="34" fillId="0" borderId="2" xfId="8" applyFont="1" applyAlignment="1">
      <alignment horizontal="center"/>
    </xf>
    <xf numFmtId="0" fontId="32" fillId="15" borderId="2" xfId="27" applyNumberFormat="1" applyFont="1">
      <alignment horizontal="center" vertical="center"/>
    </xf>
    <xf numFmtId="16" fontId="29" fillId="0" borderId="2" xfId="4" applyNumberFormat="1" applyFont="1" applyBorder="1">
      <alignment horizontal="center" vertical="center"/>
    </xf>
    <xf numFmtId="0" fontId="29" fillId="8" borderId="2" xfId="13" applyNumberFormat="1" applyFont="1">
      <alignment horizontal="center" vertical="center"/>
    </xf>
    <xf numFmtId="0" fontId="32" fillId="15" borderId="2" xfId="24" applyNumberFormat="1" applyFont="1">
      <alignment horizontal="center" vertical="center"/>
    </xf>
    <xf numFmtId="1" fontId="32" fillId="15" borderId="2" xfId="24" applyNumberFormat="1" applyFont="1">
      <alignment horizontal="center" vertical="center"/>
    </xf>
    <xf numFmtId="1" fontId="29" fillId="8" borderId="2" xfId="13" applyNumberFormat="1" applyFont="1">
      <alignment horizontal="center" vertical="center"/>
    </xf>
    <xf numFmtId="0" fontId="29" fillId="0" borderId="5" xfId="10" applyFont="1" applyBorder="1">
      <alignment horizontal="center" vertical="center"/>
    </xf>
    <xf numFmtId="0" fontId="35" fillId="0" borderId="0" xfId="4" applyFont="1">
      <alignment horizontal="center" vertical="center"/>
    </xf>
    <xf numFmtId="18" fontId="29" fillId="0" borderId="10" xfId="4" applyNumberFormat="1" applyFont="1" applyBorder="1">
      <alignment horizontal="center" vertical="center"/>
    </xf>
    <xf numFmtId="165" fontId="29" fillId="8" borderId="2" xfId="13" applyNumberFormat="1" applyFont="1">
      <alignment horizontal="center" vertical="center"/>
    </xf>
    <xf numFmtId="16" fontId="29" fillId="0" borderId="0" xfId="4" applyNumberFormat="1" applyFont="1">
      <alignment horizontal="center" vertical="center"/>
    </xf>
    <xf numFmtId="0" fontId="29" fillId="0" borderId="2" xfId="9" applyNumberFormat="1" applyFont="1" applyFill="1">
      <alignment horizontal="center" vertical="center"/>
    </xf>
    <xf numFmtId="0" fontId="29" fillId="0" borderId="2" xfId="13" applyNumberFormat="1" applyFont="1" applyFill="1">
      <alignment horizontal="center" vertical="center"/>
    </xf>
    <xf numFmtId="0" fontId="32" fillId="15" borderId="5" xfId="24" applyNumberFormat="1" applyFont="1" applyBorder="1">
      <alignment horizontal="center" vertical="center"/>
    </xf>
    <xf numFmtId="0" fontId="29" fillId="8" borderId="5" xfId="13" applyNumberFormat="1" applyFont="1" applyBorder="1">
      <alignment horizontal="center" vertical="center"/>
    </xf>
    <xf numFmtId="0" fontId="29" fillId="0" borderId="2" xfId="0" applyFont="1" applyBorder="1" applyAlignment="1">
      <alignment horizontal="center"/>
    </xf>
    <xf numFmtId="0" fontId="32" fillId="15" borderId="13" xfId="24" applyNumberFormat="1" applyFont="1" applyBorder="1">
      <alignment horizontal="center" vertical="center"/>
    </xf>
    <xf numFmtId="0" fontId="34" fillId="0" borderId="2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29" fillId="17" borderId="2" xfId="26" applyFont="1">
      <alignment horizontal="center" vertical="center"/>
    </xf>
    <xf numFmtId="0" fontId="29" fillId="30" borderId="2" xfId="26" applyFont="1" applyFill="1">
      <alignment horizontal="center" vertical="center"/>
    </xf>
    <xf numFmtId="0" fontId="34" fillId="0" borderId="2" xfId="24" applyNumberFormat="1" applyFont="1" applyFill="1">
      <alignment horizontal="center" vertical="center"/>
    </xf>
    <xf numFmtId="18" fontId="33" fillId="10" borderId="2" xfId="7" applyNumberFormat="1" applyFont="1" applyFill="1">
      <alignment horizontal="center" vertical="center"/>
    </xf>
    <xf numFmtId="18" fontId="29" fillId="0" borderId="2" xfId="17" applyNumberFormat="1" applyFont="1" applyAlignment="1">
      <alignment horizontal="center" vertical="center"/>
    </xf>
    <xf numFmtId="0" fontId="34" fillId="0" borderId="2" xfId="8" applyFo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0" fillId="0" borderId="2" xfId="4" applyFont="1" applyBorder="1">
      <alignment horizontal="center" vertical="center"/>
    </xf>
    <xf numFmtId="0" fontId="27" fillId="0" borderId="2" xfId="10" applyFont="1">
      <alignment horizontal="center" vertical="center"/>
    </xf>
    <xf numFmtId="16" fontId="27" fillId="0" borderId="0" xfId="10" applyNumberFormat="1" applyFont="1" applyBorder="1">
      <alignment horizontal="center" vertical="center"/>
    </xf>
    <xf numFmtId="165" fontId="32" fillId="15" borderId="2" xfId="24" applyNumberFormat="1" applyFont="1">
      <alignment horizontal="center" vertical="center"/>
    </xf>
    <xf numFmtId="0" fontId="29" fillId="8" borderId="9" xfId="13" applyNumberFormat="1" applyFont="1" applyBorder="1">
      <alignment horizontal="center" vertical="center"/>
    </xf>
    <xf numFmtId="1" fontId="29" fillId="8" borderId="6" xfId="13" applyNumberFormat="1" applyFont="1" applyBorder="1">
      <alignment horizontal="center" vertical="center"/>
    </xf>
    <xf numFmtId="0" fontId="32" fillId="15" borderId="9" xfId="24" applyNumberFormat="1" applyFont="1" applyBorder="1">
      <alignment horizontal="center" vertical="center"/>
    </xf>
    <xf numFmtId="1" fontId="32" fillId="15" borderId="8" xfId="24" applyNumberFormat="1" applyFont="1" applyBorder="1">
      <alignment horizontal="center" vertical="center"/>
    </xf>
    <xf numFmtId="1" fontId="32" fillId="15" borderId="6" xfId="24" applyNumberFormat="1" applyFont="1" applyBorder="1">
      <alignment horizontal="center" vertical="center"/>
    </xf>
    <xf numFmtId="0" fontId="29" fillId="8" borderId="7" xfId="13" applyNumberFormat="1" applyFont="1" applyBorder="1">
      <alignment horizontal="center" vertical="center"/>
    </xf>
    <xf numFmtId="0" fontId="32" fillId="15" borderId="10" xfId="24" applyNumberFormat="1" applyFont="1" applyBorder="1">
      <alignment horizontal="center" vertical="center"/>
    </xf>
    <xf numFmtId="1" fontId="32" fillId="15" borderId="10" xfId="24" applyNumberFormat="1" applyFont="1" applyBorder="1">
      <alignment horizontal="center" vertical="center"/>
    </xf>
    <xf numFmtId="18" fontId="29" fillId="0" borderId="2" xfId="4" applyNumberFormat="1" applyFont="1" applyBorder="1">
      <alignment horizontal="center" vertical="center"/>
    </xf>
    <xf numFmtId="0" fontId="36" fillId="0" borderId="9" xfId="4" quotePrefix="1" applyFont="1" applyBorder="1">
      <alignment horizontal="center" vertical="center"/>
    </xf>
    <xf numFmtId="0" fontId="36" fillId="0" borderId="15" xfId="4" quotePrefix="1" applyFont="1" applyBorder="1">
      <alignment horizontal="center" vertical="center"/>
    </xf>
    <xf numFmtId="0" fontId="36" fillId="0" borderId="0" xfId="4" quotePrefix="1" applyFont="1">
      <alignment horizontal="center" vertical="center"/>
    </xf>
    <xf numFmtId="0" fontId="36" fillId="0" borderId="16" xfId="4" quotePrefix="1" applyFont="1" applyBorder="1">
      <alignment horizontal="center" vertical="center"/>
    </xf>
    <xf numFmtId="0" fontId="36" fillId="0" borderId="17" xfId="4" quotePrefix="1" applyFont="1" applyBorder="1">
      <alignment horizontal="center" vertical="center"/>
    </xf>
    <xf numFmtId="165" fontId="37" fillId="0" borderId="2" xfId="10" applyNumberFormat="1" applyFont="1">
      <alignment horizontal="center" vertical="center"/>
    </xf>
    <xf numFmtId="18" fontId="29" fillId="18" borderId="2" xfId="28" applyFont="1">
      <alignment horizontal="center" vertical="center"/>
    </xf>
    <xf numFmtId="18" fontId="29" fillId="29" borderId="2" xfId="28" applyFont="1" applyFill="1">
      <alignment horizontal="center" vertical="center"/>
    </xf>
    <xf numFmtId="0" fontId="29" fillId="18" borderId="2" xfId="29" applyFont="1">
      <alignment horizontal="center" vertical="center"/>
    </xf>
    <xf numFmtId="2" fontId="29" fillId="0" borderId="2" xfId="10" applyNumberFormat="1" applyFont="1">
      <alignment horizontal="center" vertical="center"/>
    </xf>
    <xf numFmtId="0" fontId="29" fillId="18" borderId="7" xfId="29" applyFont="1" applyBorder="1">
      <alignment horizontal="center" vertical="center"/>
    </xf>
    <xf numFmtId="18" fontId="32" fillId="19" borderId="2" xfId="30" applyFont="1">
      <alignment horizontal="center" vertical="center"/>
    </xf>
    <xf numFmtId="18" fontId="32" fillId="28" borderId="2" xfId="30" applyFont="1" applyFill="1">
      <alignment horizontal="center" vertical="center"/>
    </xf>
    <xf numFmtId="18" fontId="32" fillId="19" borderId="2" xfId="31" applyFont="1">
      <alignment horizontal="center" vertical="center"/>
    </xf>
    <xf numFmtId="0" fontId="32" fillId="19" borderId="2" xfId="31" applyNumberFormat="1" applyFont="1">
      <alignment horizontal="center" vertical="center"/>
    </xf>
    <xf numFmtId="0" fontId="32" fillId="15" borderId="7" xfId="24" applyNumberFormat="1" applyFont="1" applyBorder="1">
      <alignment horizontal="center" vertical="center"/>
    </xf>
    <xf numFmtId="0" fontId="29" fillId="0" borderId="3" xfId="3" applyFont="1">
      <alignment horizontal="center" vertical="center"/>
    </xf>
    <xf numFmtId="18" fontId="32" fillId="9" borderId="2" xfId="15" applyFont="1">
      <alignment horizontal="center" vertical="center"/>
    </xf>
    <xf numFmtId="18" fontId="32" fillId="25" borderId="2" xfId="15" applyFont="1" applyFill="1">
      <alignment horizontal="center" vertical="center"/>
    </xf>
    <xf numFmtId="18" fontId="32" fillId="9" borderId="2" xfId="16" applyFont="1">
      <alignment horizontal="center" vertical="center"/>
    </xf>
    <xf numFmtId="0" fontId="32" fillId="9" borderId="2" xfId="16" applyNumberFormat="1" applyFont="1">
      <alignment horizontal="center" vertical="center"/>
    </xf>
    <xf numFmtId="0" fontId="29" fillId="0" borderId="4" xfId="1" applyFont="1" applyBorder="1">
      <alignment horizontal="center" vertical="center"/>
    </xf>
    <xf numFmtId="0" fontId="29" fillId="7" borderId="2" xfId="12" applyNumberFormat="1" applyFont="1">
      <alignment horizontal="center" vertical="center"/>
    </xf>
    <xf numFmtId="0" fontId="32" fillId="9" borderId="7" xfId="16" applyNumberFormat="1" applyFont="1" applyBorder="1">
      <alignment horizontal="center" vertical="center"/>
    </xf>
    <xf numFmtId="0" fontId="29" fillId="7" borderId="2" xfId="14" applyNumberFormat="1" applyFont="1">
      <alignment horizontal="center" vertical="center"/>
    </xf>
    <xf numFmtId="1" fontId="29" fillId="7" borderId="2" xfId="14" applyNumberFormat="1" applyFont="1">
      <alignment horizontal="center" vertical="center"/>
    </xf>
    <xf numFmtId="165" fontId="29" fillId="7" borderId="2" xfId="14" applyNumberFormat="1" applyFont="1">
      <alignment horizontal="center" vertical="center"/>
    </xf>
    <xf numFmtId="0" fontId="29" fillId="7" borderId="9" xfId="14" applyNumberFormat="1" applyFont="1" applyBorder="1">
      <alignment horizontal="center" vertical="center"/>
    </xf>
    <xf numFmtId="0" fontId="29" fillId="7" borderId="6" xfId="14" applyNumberFormat="1" applyFont="1" applyBorder="1">
      <alignment horizontal="center" vertical="center"/>
    </xf>
    <xf numFmtId="0" fontId="29" fillId="7" borderId="10" xfId="14" applyNumberFormat="1" applyFont="1" applyBorder="1">
      <alignment horizontal="center" vertical="center"/>
    </xf>
    <xf numFmtId="0" fontId="29" fillId="8" borderId="11" xfId="13" applyNumberFormat="1" applyFont="1" applyBorder="1">
      <alignment horizontal="center" vertical="center"/>
    </xf>
    <xf numFmtId="18" fontId="35" fillId="0" borderId="2" xfId="10" applyNumberFormat="1" applyFont="1">
      <alignment horizontal="center" vertical="center"/>
    </xf>
    <xf numFmtId="1" fontId="29" fillId="7" borderId="5" xfId="14" applyNumberFormat="1" applyFont="1" applyBorder="1">
      <alignment horizontal="center" vertical="center"/>
    </xf>
    <xf numFmtId="1" fontId="29" fillId="7" borderId="6" xfId="14" applyNumberFormat="1" applyFont="1" applyBorder="1">
      <alignment horizontal="center" vertical="center"/>
    </xf>
    <xf numFmtId="0" fontId="29" fillId="7" borderId="7" xfId="14" applyNumberFormat="1" applyFont="1" applyBorder="1">
      <alignment horizontal="center" vertical="center"/>
    </xf>
    <xf numFmtId="0" fontId="36" fillId="11" borderId="9" xfId="4" quotePrefix="1" applyFont="1" applyFill="1" applyBorder="1">
      <alignment horizontal="center" vertical="center"/>
    </xf>
    <xf numFmtId="167" fontId="29" fillId="0" borderId="2" xfId="10" applyNumberFormat="1" applyFont="1">
      <alignment horizontal="center" vertical="center"/>
    </xf>
    <xf numFmtId="16" fontId="29" fillId="0" borderId="5" xfId="10" applyNumberFormat="1" applyFont="1" applyBorder="1">
      <alignment horizontal="center" vertical="center"/>
    </xf>
    <xf numFmtId="0" fontId="29" fillId="0" borderId="6" xfId="10" applyFont="1" applyBorder="1">
      <alignment horizontal="center" vertical="center"/>
    </xf>
    <xf numFmtId="0" fontId="29" fillId="7" borderId="13" xfId="14" applyNumberFormat="1" applyFont="1" applyBorder="1">
      <alignment horizontal="center" vertical="center"/>
    </xf>
    <xf numFmtId="1" fontId="27" fillId="0" borderId="3" xfId="3" applyNumberFormat="1" applyFont="1">
      <alignment horizontal="center" vertical="center"/>
    </xf>
    <xf numFmtId="0" fontId="31" fillId="0" borderId="3" xfId="3" applyFont="1">
      <alignment horizontal="center" vertical="center"/>
    </xf>
    <xf numFmtId="0" fontId="32" fillId="3" borderId="2" xfId="6" applyNumberFormat="1" applyFont="1">
      <alignment horizontal="center" vertical="center"/>
    </xf>
    <xf numFmtId="0" fontId="32" fillId="5" borderId="2" xfId="9" applyNumberFormat="1" applyFont="1">
      <alignment horizontal="center" vertical="center"/>
    </xf>
    <xf numFmtId="1" fontId="32" fillId="5" borderId="2" xfId="9" applyNumberFormat="1" applyFont="1">
      <alignment horizontal="center" vertical="center"/>
    </xf>
    <xf numFmtId="1" fontId="29" fillId="0" borderId="7" xfId="10" applyNumberFormat="1" applyFont="1" applyBorder="1">
      <alignment horizontal="center" vertical="center"/>
    </xf>
    <xf numFmtId="0" fontId="29" fillId="0" borderId="7" xfId="10" applyFont="1" applyBorder="1">
      <alignment horizontal="center" vertical="center"/>
    </xf>
    <xf numFmtId="1" fontId="29" fillId="0" borderId="8" xfId="10" applyNumberFormat="1" applyFont="1" applyBorder="1">
      <alignment horizontal="center" vertical="center"/>
    </xf>
    <xf numFmtId="0" fontId="29" fillId="0" borderId="9" xfId="10" applyFont="1" applyBorder="1">
      <alignment horizontal="center" vertical="center"/>
    </xf>
    <xf numFmtId="1" fontId="29" fillId="0" borderId="6" xfId="10" applyNumberFormat="1" applyFont="1" applyBorder="1">
      <alignment horizontal="center" vertical="center"/>
    </xf>
    <xf numFmtId="1" fontId="29" fillId="0" borderId="10" xfId="10" applyNumberFormat="1" applyFont="1" applyBorder="1">
      <alignment horizontal="center" vertical="center"/>
    </xf>
    <xf numFmtId="0" fontId="29" fillId="0" borderId="10" xfId="10" applyFont="1" applyBorder="1">
      <alignment horizontal="center" vertical="center"/>
    </xf>
    <xf numFmtId="0" fontId="27" fillId="0" borderId="0" xfId="40" applyFont="1" applyAlignment="1">
      <alignment horizontal="center" vertical="center"/>
    </xf>
    <xf numFmtId="166" fontId="29" fillId="0" borderId="2" xfId="4" applyNumberFormat="1" applyFont="1" applyBorder="1">
      <alignment horizontal="center" vertical="center"/>
    </xf>
    <xf numFmtId="0" fontId="27" fillId="0" borderId="11" xfId="10" applyFont="1" applyBorder="1">
      <alignment horizontal="center" vertical="center"/>
    </xf>
    <xf numFmtId="0" fontId="27" fillId="0" borderId="0" xfId="10" applyFont="1" applyBorder="1">
      <alignment horizontal="center" vertical="center"/>
    </xf>
    <xf numFmtId="0" fontId="27" fillId="0" borderId="12" xfId="10" applyFont="1" applyBorder="1">
      <alignment horizontal="center" vertical="center"/>
    </xf>
    <xf numFmtId="0" fontId="27" fillId="0" borderId="10" xfId="10" applyFont="1" applyBorder="1">
      <alignment horizontal="center" vertical="center"/>
    </xf>
    <xf numFmtId="166" fontId="29" fillId="0" borderId="13" xfId="4" applyNumberFormat="1" applyFont="1" applyBorder="1">
      <alignment horizontal="center" vertical="center"/>
    </xf>
    <xf numFmtId="0" fontId="27" fillId="0" borderId="13" xfId="10" applyFont="1" applyBorder="1">
      <alignment horizontal="center" vertical="center"/>
    </xf>
    <xf numFmtId="0" fontId="29" fillId="0" borderId="11" xfId="10" applyFont="1" applyBorder="1">
      <alignment horizontal="center" vertical="center"/>
    </xf>
    <xf numFmtId="0" fontId="27" fillId="0" borderId="14" xfId="10" applyFont="1" applyBorder="1">
      <alignment horizontal="center" vertical="center"/>
    </xf>
    <xf numFmtId="0" fontId="32" fillId="2" borderId="2" xfId="13" applyNumberFormat="1" applyFont="1" applyFill="1">
      <alignment horizontal="center" vertical="center"/>
    </xf>
    <xf numFmtId="0" fontId="32" fillId="5" borderId="7" xfId="9" applyNumberFormat="1" applyFont="1" applyBorder="1">
      <alignment horizontal="center" vertical="center"/>
    </xf>
    <xf numFmtId="1" fontId="32" fillId="5" borderId="7" xfId="9" applyNumberFormat="1" applyFont="1" applyBorder="1">
      <alignment horizontal="center" vertical="center"/>
    </xf>
    <xf numFmtId="1" fontId="29" fillId="7" borderId="9" xfId="14" applyNumberFormat="1" applyFont="1" applyBorder="1">
      <alignment horizontal="center" vertical="center"/>
    </xf>
    <xf numFmtId="0" fontId="29" fillId="7" borderId="11" xfId="14" applyNumberFormat="1" applyFont="1" applyBorder="1">
      <alignment horizontal="center" vertical="center"/>
    </xf>
    <xf numFmtId="1" fontId="29" fillId="7" borderId="10" xfId="14" applyNumberFormat="1" applyFont="1" applyBorder="1">
      <alignment horizontal="center" vertical="center"/>
    </xf>
    <xf numFmtId="0" fontId="29" fillId="0" borderId="0" xfId="35" applyFont="1" applyAlignment="1">
      <alignment horizontal="center" vertical="center"/>
    </xf>
    <xf numFmtId="0" fontId="30" fillId="0" borderId="0" xfId="35" applyFont="1" applyAlignment="1">
      <alignment horizontal="center" vertical="center"/>
    </xf>
    <xf numFmtId="0" fontId="28" fillId="0" borderId="19" xfId="3" applyFont="1" applyBorder="1">
      <alignment horizontal="center" vertical="center"/>
    </xf>
    <xf numFmtId="18" fontId="32" fillId="31" borderId="2" xfId="36" applyFont="1">
      <alignment horizontal="center" vertical="center"/>
    </xf>
    <xf numFmtId="18" fontId="32" fillId="32" borderId="2" xfId="36" applyFont="1" applyFill="1">
      <alignment horizontal="center" vertical="center"/>
    </xf>
    <xf numFmtId="0" fontId="29" fillId="0" borderId="2" xfId="37" applyFont="1" applyBorder="1" applyAlignment="1">
      <alignment horizontal="center" vertical="center"/>
    </xf>
    <xf numFmtId="0" fontId="35" fillId="0" borderId="2" xfId="8" applyFont="1">
      <alignment horizontal="center" vertical="center"/>
    </xf>
    <xf numFmtId="0" fontId="30" fillId="0" borderId="2" xfId="37" applyFont="1" applyBorder="1" applyAlignment="1">
      <alignment horizontal="center" vertical="center"/>
    </xf>
    <xf numFmtId="1" fontId="30" fillId="0" borderId="2" xfId="37" applyNumberFormat="1" applyFont="1" applyBorder="1" applyAlignment="1">
      <alignment horizontal="center" vertical="center"/>
    </xf>
    <xf numFmtId="0" fontId="38" fillId="34" borderId="2" xfId="37" applyFont="1" applyFill="1" applyBorder="1" applyAlignment="1">
      <alignment horizontal="center" vertical="center"/>
    </xf>
    <xf numFmtId="0" fontId="27" fillId="33" borderId="2" xfId="8" applyFont="1" applyFill="1">
      <alignment horizontal="center" vertical="center"/>
    </xf>
    <xf numFmtId="16" fontId="30" fillId="0" borderId="0" xfId="35" applyNumberFormat="1" applyFont="1" applyAlignment="1">
      <alignment horizontal="center" vertical="center"/>
    </xf>
    <xf numFmtId="18" fontId="29" fillId="0" borderId="0" xfId="35" applyNumberFormat="1" applyFont="1" applyAlignment="1">
      <alignment horizontal="center" vertical="center"/>
    </xf>
    <xf numFmtId="0" fontId="29" fillId="0" borderId="4" xfId="5" applyFont="1" applyAlignment="1">
      <alignment horizontal="center" vertical="center"/>
    </xf>
    <xf numFmtId="1" fontId="30" fillId="0" borderId="0" xfId="35" applyNumberFormat="1" applyFont="1" applyAlignment="1">
      <alignment horizontal="center" vertical="center"/>
    </xf>
    <xf numFmtId="0" fontId="32" fillId="32" borderId="20" xfId="23" applyFont="1" applyFill="1">
      <alignment horizontal="center" vertical="center"/>
    </xf>
    <xf numFmtId="0" fontId="38" fillId="34" borderId="2" xfId="8" applyFont="1" applyFill="1">
      <alignment horizontal="center" vertical="center"/>
    </xf>
    <xf numFmtId="0" fontId="34" fillId="0" borderId="2" xfId="10" applyFont="1">
      <alignment horizontal="center" vertical="center"/>
    </xf>
    <xf numFmtId="0" fontId="34" fillId="0" borderId="2" xfId="37" applyFont="1" applyBorder="1" applyAlignment="1">
      <alignment horizontal="center" vertical="center"/>
    </xf>
    <xf numFmtId="0" fontId="27" fillId="22" borderId="2" xfId="8" applyFont="1" applyFill="1">
      <alignment horizontal="center" vertical="center"/>
    </xf>
    <xf numFmtId="0" fontId="29" fillId="22" borderId="2" xfId="10" applyFont="1" applyFill="1">
      <alignment horizontal="center" vertical="center"/>
    </xf>
    <xf numFmtId="0" fontId="35" fillId="0" borderId="0" xfId="35" applyFont="1" applyAlignment="1">
      <alignment horizontal="center" vertical="center"/>
    </xf>
    <xf numFmtId="0" fontId="34" fillId="0" borderId="0" xfId="35" applyFont="1" applyAlignment="1">
      <alignment horizontal="center" vertical="center"/>
    </xf>
    <xf numFmtId="165" fontId="34" fillId="0" borderId="2" xfId="37" applyNumberFormat="1" applyFont="1" applyBorder="1" applyAlignment="1">
      <alignment horizontal="center" vertical="center"/>
    </xf>
    <xf numFmtId="1" fontId="30" fillId="0" borderId="0" xfId="37" applyNumberFormat="1" applyFont="1" applyAlignment="1">
      <alignment horizontal="center" vertical="center"/>
    </xf>
    <xf numFmtId="0" fontId="30" fillId="0" borderId="0" xfId="37" applyFont="1" applyAlignment="1">
      <alignment horizontal="center" vertical="center"/>
    </xf>
    <xf numFmtId="0" fontId="29" fillId="0" borderId="0" xfId="37" applyFont="1" applyAlignment="1">
      <alignment horizontal="center" vertical="center"/>
    </xf>
    <xf numFmtId="0" fontId="29" fillId="33" borderId="2" xfId="10" applyFont="1" applyFill="1">
      <alignment horizontal="center" vertical="center"/>
    </xf>
    <xf numFmtId="0" fontId="35" fillId="0" borderId="2" xfId="10" applyFont="1">
      <alignment horizontal="center" vertical="center"/>
    </xf>
    <xf numFmtId="0" fontId="29" fillId="35" borderId="2" xfId="38" applyNumberFormat="1" applyFont="1">
      <alignment horizontal="center"/>
    </xf>
    <xf numFmtId="0" fontId="34" fillId="22" borderId="2" xfId="10" applyNumberFormat="1" applyFont="1" applyFill="1">
      <alignment horizontal="center" vertical="center"/>
    </xf>
    <xf numFmtId="0" fontId="29" fillId="22" borderId="2" xfId="10" applyNumberFormat="1" applyFont="1" applyFill="1">
      <alignment horizontal="center" vertical="center"/>
    </xf>
    <xf numFmtId="0" fontId="34" fillId="0" borderId="2" xfId="10" applyNumberFormat="1" applyFont="1">
      <alignment horizontal="center" vertical="center"/>
    </xf>
    <xf numFmtId="0" fontId="30" fillId="33" borderId="0" xfId="35" applyFont="1" applyFill="1" applyAlignment="1">
      <alignment horizontal="center" vertical="center"/>
    </xf>
    <xf numFmtId="0" fontId="35" fillId="0" borderId="2" xfId="37" applyFont="1" applyBorder="1" applyAlignment="1">
      <alignment horizontal="center" vertical="center"/>
    </xf>
    <xf numFmtId="0" fontId="30" fillId="36" borderId="0" xfId="35" applyFont="1" applyFill="1" applyAlignment="1">
      <alignment horizontal="center" vertical="center"/>
    </xf>
    <xf numFmtId="0" fontId="30" fillId="37" borderId="0" xfId="35" applyFont="1" applyFill="1" applyAlignment="1">
      <alignment horizontal="center" vertical="center"/>
    </xf>
    <xf numFmtId="0" fontId="34" fillId="8" borderId="2" xfId="13" applyNumberFormat="1" applyFont="1">
      <alignment horizontal="center" vertical="center"/>
    </xf>
    <xf numFmtId="0" fontId="39" fillId="0" borderId="2" xfId="10" applyFont="1">
      <alignment horizontal="center" vertical="center"/>
    </xf>
    <xf numFmtId="0" fontId="39" fillId="38" borderId="2" xfId="14" applyNumberFormat="1" applyFont="1" applyFill="1">
      <alignment horizontal="center" vertical="center"/>
    </xf>
    <xf numFmtId="0" fontId="34" fillId="38" borderId="2" xfId="14" applyNumberFormat="1" applyFont="1" applyFill="1">
      <alignment horizontal="center" vertical="center"/>
    </xf>
    <xf numFmtId="1" fontId="34" fillId="38" borderId="2" xfId="14" applyNumberFormat="1" applyFont="1" applyFill="1">
      <alignment horizontal="center" vertical="center"/>
    </xf>
    <xf numFmtId="0" fontId="29" fillId="38" borderId="2" xfId="14" applyNumberFormat="1" applyFont="1" applyFill="1">
      <alignment horizontal="center" vertical="center"/>
    </xf>
    <xf numFmtId="0" fontId="35" fillId="0" borderId="2" xfId="4" applyFont="1" applyBorder="1">
      <alignment horizontal="center" vertical="center"/>
    </xf>
    <xf numFmtId="0" fontId="35" fillId="38" borderId="2" xfId="14" applyNumberFormat="1" applyFont="1" applyFill="1">
      <alignment horizontal="center" vertical="center"/>
    </xf>
    <xf numFmtId="0" fontId="29" fillId="33" borderId="2" xfId="14" applyNumberFormat="1" applyFont="1" applyFill="1">
      <alignment horizontal="center" vertical="center"/>
    </xf>
    <xf numFmtId="0" fontId="34" fillId="33" borderId="2" xfId="14" applyNumberFormat="1" applyFont="1" applyFill="1">
      <alignment horizontal="center" vertical="center"/>
    </xf>
    <xf numFmtId="0" fontId="30" fillId="33" borderId="0" xfId="4" applyFont="1" applyFill="1">
      <alignment horizontal="center" vertical="center"/>
    </xf>
    <xf numFmtId="0" fontId="40" fillId="0" borderId="2" xfId="10" applyFont="1">
      <alignment horizontal="center" vertical="center"/>
    </xf>
    <xf numFmtId="0" fontId="40" fillId="38" borderId="2" xfId="14" applyNumberFormat="1" applyFont="1" applyFill="1">
      <alignment horizontal="center" vertical="center"/>
    </xf>
    <xf numFmtId="0" fontId="41" fillId="33" borderId="0" xfId="4" applyFont="1" applyFill="1">
      <alignment horizontal="center" vertical="center"/>
    </xf>
    <xf numFmtId="0" fontId="41" fillId="33" borderId="2" xfId="4" applyFont="1" applyFill="1" applyBorder="1">
      <alignment horizontal="center" vertical="center"/>
    </xf>
    <xf numFmtId="0" fontId="41" fillId="33" borderId="2" xfId="35" applyFont="1" applyFill="1" applyBorder="1" applyAlignment="1">
      <alignment horizontal="center" vertical="center"/>
    </xf>
    <xf numFmtId="0" fontId="30" fillId="33" borderId="2" xfId="35" applyFont="1" applyFill="1" applyBorder="1" applyAlignment="1">
      <alignment horizontal="center" vertical="center"/>
    </xf>
    <xf numFmtId="0" fontId="30" fillId="33" borderId="2" xfId="4" applyFont="1" applyFill="1" applyBorder="1">
      <alignment horizontal="center" vertical="center"/>
    </xf>
    <xf numFmtId="0" fontId="34" fillId="0" borderId="2" xfId="4" applyFont="1" applyBorder="1">
      <alignment horizontal="center" vertical="center"/>
    </xf>
    <xf numFmtId="1" fontId="34" fillId="8" borderId="2" xfId="13" applyNumberFormat="1" applyFont="1">
      <alignment horizontal="center" vertical="center"/>
    </xf>
    <xf numFmtId="0" fontId="29" fillId="8" borderId="10" xfId="13" applyNumberFormat="1" applyFont="1" applyBorder="1">
      <alignment horizontal="center" vertical="center"/>
    </xf>
    <xf numFmtId="0" fontId="32" fillId="2" borderId="10" xfId="13" applyNumberFormat="1" applyFont="1" applyFill="1" applyBorder="1">
      <alignment horizontal="center" vertical="center"/>
    </xf>
    <xf numFmtId="1" fontId="35" fillId="0" borderId="0" xfId="4" applyNumberFormat="1" applyFont="1">
      <alignment horizontal="center" vertical="center"/>
    </xf>
    <xf numFmtId="0" fontId="34" fillId="0" borderId="12" xfId="4" applyFont="1" applyBorder="1">
      <alignment horizontal="center" vertical="center"/>
    </xf>
    <xf numFmtId="0" fontId="34" fillId="0" borderId="0" xfId="4" applyFont="1">
      <alignment horizontal="center" vertical="center"/>
    </xf>
    <xf numFmtId="0" fontId="34" fillId="38" borderId="11" xfId="14" applyNumberFormat="1" applyFont="1" applyFill="1" applyBorder="1">
      <alignment horizontal="center" vertical="center"/>
    </xf>
    <xf numFmtId="0" fontId="32" fillId="32" borderId="26" xfId="23" applyFont="1" applyFill="1" applyBorder="1">
      <alignment horizontal="center" vertical="center"/>
    </xf>
    <xf numFmtId="18" fontId="35" fillId="0" borderId="2" xfId="4" applyNumberFormat="1" applyFont="1" applyBorder="1">
      <alignment horizontal="center" vertical="center"/>
    </xf>
    <xf numFmtId="0" fontId="30" fillId="0" borderId="9" xfId="35" applyFont="1" applyBorder="1" applyAlignment="1">
      <alignment horizontal="center" vertical="center"/>
    </xf>
    <xf numFmtId="0" fontId="30" fillId="0" borderId="2" xfId="35" applyFont="1" applyBorder="1" applyAlignment="1">
      <alignment horizontal="center" vertical="center"/>
    </xf>
    <xf numFmtId="1" fontId="30" fillId="33" borderId="2" xfId="35" applyNumberFormat="1" applyFont="1" applyFill="1" applyBorder="1" applyAlignment="1">
      <alignment horizontal="center" vertical="center"/>
    </xf>
    <xf numFmtId="0" fontId="35" fillId="33" borderId="2" xfId="14" applyNumberFormat="1" applyFont="1" applyFill="1">
      <alignment horizontal="center" vertical="center"/>
    </xf>
    <xf numFmtId="0" fontId="29" fillId="0" borderId="0" xfId="10" applyFont="1" applyBorder="1">
      <alignment horizontal="center" vertical="center"/>
    </xf>
    <xf numFmtId="0" fontId="35" fillId="33" borderId="2" xfId="4" applyFont="1" applyFill="1" applyBorder="1">
      <alignment horizontal="center" vertical="center"/>
    </xf>
    <xf numFmtId="0" fontId="29" fillId="0" borderId="13" xfId="10" applyFont="1" applyBorder="1">
      <alignment horizontal="center" vertical="center"/>
    </xf>
    <xf numFmtId="0" fontId="35" fillId="0" borderId="3" xfId="3" applyFont="1">
      <alignment horizontal="center" vertical="center"/>
    </xf>
    <xf numFmtId="1" fontId="35" fillId="0" borderId="3" xfId="3" applyNumberFormat="1" applyFont="1">
      <alignment horizontal="center" vertical="center"/>
    </xf>
    <xf numFmtId="1" fontId="29" fillId="33" borderId="2" xfId="14" applyNumberFormat="1" applyFont="1" applyFill="1">
      <alignment horizontal="center" vertical="center"/>
    </xf>
    <xf numFmtId="0" fontId="29" fillId="8" borderId="8" xfId="13" applyNumberFormat="1" applyFont="1" applyBorder="1">
      <alignment horizontal="center" vertical="center"/>
    </xf>
    <xf numFmtId="0" fontId="29" fillId="8" borderId="18" xfId="13" applyNumberFormat="1" applyFont="1" applyBorder="1">
      <alignment horizontal="center" vertical="center"/>
    </xf>
    <xf numFmtId="167" fontId="29" fillId="0" borderId="6" xfId="10" applyNumberFormat="1" applyFont="1" applyBorder="1">
      <alignment horizontal="center" vertical="center"/>
    </xf>
    <xf numFmtId="0" fontId="32" fillId="38" borderId="2" xfId="34" applyNumberFormat="1" applyFont="1" applyFill="1">
      <alignment horizontal="center" vertical="center"/>
    </xf>
    <xf numFmtId="0" fontId="32" fillId="15" borderId="2" xfId="34" applyNumberFormat="1" applyFont="1">
      <alignment horizontal="center" vertical="center"/>
    </xf>
    <xf numFmtId="1" fontId="32" fillId="15" borderId="2" xfId="34" applyNumberFormat="1" applyFont="1">
      <alignment horizontal="center" vertical="center"/>
    </xf>
    <xf numFmtId="0" fontId="29" fillId="0" borderId="1" xfId="1" applyFont="1">
      <alignment horizontal="center" vertical="center"/>
    </xf>
    <xf numFmtId="0" fontId="29" fillId="22" borderId="20" xfId="23" applyFont="1" applyFill="1">
      <alignment horizontal="center" vertical="center"/>
    </xf>
    <xf numFmtId="1" fontId="29" fillId="0" borderId="3" xfId="3" applyNumberFormat="1" applyFont="1">
      <alignment horizontal="center" vertical="center"/>
    </xf>
    <xf numFmtId="0" fontId="29" fillId="0" borderId="2" xfId="8" applyFont="1">
      <alignment horizontal="center" vertical="center"/>
    </xf>
    <xf numFmtId="1" fontId="34" fillId="0" borderId="2" xfId="10" applyNumberFormat="1" applyFont="1">
      <alignment horizontal="center" vertical="center"/>
    </xf>
    <xf numFmtId="0" fontId="42" fillId="0" borderId="2" xfId="8" applyFont="1">
      <alignment horizontal="center" vertical="center"/>
    </xf>
    <xf numFmtId="0" fontId="29" fillId="0" borderId="7" xfId="8" applyFont="1" applyBorder="1">
      <alignment horizontal="center" vertical="center"/>
    </xf>
    <xf numFmtId="0" fontId="29" fillId="0" borderId="8" xfId="8" applyFont="1" applyBorder="1">
      <alignment horizontal="center" vertical="center"/>
    </xf>
    <xf numFmtId="0" fontId="29" fillId="0" borderId="9" xfId="8" applyFont="1" applyBorder="1">
      <alignment horizontal="center" vertical="center"/>
    </xf>
    <xf numFmtId="0" fontId="29" fillId="0" borderId="21" xfId="8" applyFont="1" applyBorder="1">
      <alignment horizontal="center" vertical="center"/>
    </xf>
    <xf numFmtId="0" fontId="29" fillId="0" borderId="17" xfId="8" applyFont="1" applyBorder="1">
      <alignment horizontal="center" vertical="center"/>
    </xf>
    <xf numFmtId="0" fontId="29" fillId="0" borderId="10" xfId="8" applyFont="1" applyBorder="1">
      <alignment horizontal="center" vertical="center"/>
    </xf>
    <xf numFmtId="0" fontId="27" fillId="8" borderId="2" xfId="13" applyNumberFormat="1" applyFont="1">
      <alignment horizontal="center" vertical="center"/>
    </xf>
    <xf numFmtId="18" fontId="27" fillId="0" borderId="2" xfId="10" applyNumberFormat="1" applyFont="1">
      <alignment horizontal="center" vertical="center"/>
    </xf>
    <xf numFmtId="16" fontId="27" fillId="0" borderId="2" xfId="10" applyNumberFormat="1" applyFont="1">
      <alignment horizontal="center" vertical="center"/>
    </xf>
    <xf numFmtId="1" fontId="27" fillId="8" borderId="2" xfId="13" applyNumberFormat="1" applyFont="1">
      <alignment horizontal="center" vertical="center"/>
    </xf>
    <xf numFmtId="18" fontId="29" fillId="0" borderId="2" xfId="25" applyNumberFormat="1" applyFont="1" applyBorder="1">
      <alignment horizontal="center" vertical="center"/>
    </xf>
    <xf numFmtId="18" fontId="29" fillId="0" borderId="7" xfId="25" applyNumberFormat="1" applyFont="1" applyBorder="1">
      <alignment horizontal="center" vertical="center"/>
    </xf>
    <xf numFmtId="18" fontId="29" fillId="0" borderId="22" xfId="25" applyNumberFormat="1" applyFont="1" applyBorder="1">
      <alignment horizontal="center" vertical="center"/>
    </xf>
    <xf numFmtId="18" fontId="29" fillId="0" borderId="9" xfId="25" applyNumberFormat="1" applyFont="1" applyBorder="1">
      <alignment horizontal="center" vertical="center"/>
    </xf>
    <xf numFmtId="0" fontId="29" fillId="0" borderId="0" xfId="14" applyNumberFormat="1" applyFont="1" applyFill="1" applyBorder="1">
      <alignment horizontal="center" vertical="center"/>
    </xf>
    <xf numFmtId="18" fontId="29" fillId="0" borderId="0" xfId="25" applyNumberFormat="1" applyFont="1">
      <alignment horizontal="center" vertical="center"/>
    </xf>
    <xf numFmtId="0" fontId="29" fillId="8" borderId="22" xfId="13" applyNumberFormat="1" applyFont="1" applyBorder="1">
      <alignment horizontal="center" vertical="center"/>
    </xf>
    <xf numFmtId="0" fontId="29" fillId="8" borderId="23" xfId="13" applyNumberFormat="1" applyFont="1" applyBorder="1">
      <alignment horizontal="center" vertical="center"/>
    </xf>
    <xf numFmtId="18" fontId="29" fillId="0" borderId="17" xfId="25" applyNumberFormat="1" applyFont="1" applyBorder="1">
      <alignment horizontal="center" vertical="center"/>
    </xf>
    <xf numFmtId="18" fontId="29" fillId="23" borderId="2" xfId="28" applyFont="1" applyFill="1">
      <alignment horizontal="center" vertical="center"/>
    </xf>
    <xf numFmtId="0" fontId="29" fillId="23" borderId="2" xfId="29" applyFont="1" applyFill="1">
      <alignment horizontal="center" vertical="center"/>
    </xf>
    <xf numFmtId="165" fontId="34" fillId="38" borderId="2" xfId="14" applyNumberFormat="1" applyFont="1" applyFill="1">
      <alignment horizontal="center" vertical="center"/>
    </xf>
    <xf numFmtId="0" fontId="30" fillId="0" borderId="1" xfId="44" applyFont="1">
      <alignment horizontal="center" vertical="center"/>
    </xf>
    <xf numFmtId="0" fontId="30" fillId="0" borderId="3" xfId="43" applyFont="1">
      <alignment horizontal="center" vertical="center"/>
    </xf>
    <xf numFmtId="0" fontId="29" fillId="0" borderId="4" xfId="42" applyFont="1">
      <alignment horizontal="center" vertical="center"/>
    </xf>
    <xf numFmtId="18" fontId="29" fillId="21" borderId="2" xfId="32" applyFont="1" applyFill="1">
      <alignment horizontal="center" vertical="center"/>
    </xf>
    <xf numFmtId="0" fontId="30" fillId="0" borderId="2" xfId="45" applyFont="1">
      <alignment horizontal="center" vertical="center"/>
    </xf>
    <xf numFmtId="0" fontId="43" fillId="4" borderId="2" xfId="10" applyFont="1" applyFill="1">
      <alignment horizontal="center" vertical="center"/>
    </xf>
    <xf numFmtId="0" fontId="43" fillId="4" borderId="2" xfId="7" applyNumberFormat="1" applyFont="1">
      <alignment horizontal="center" vertical="center"/>
    </xf>
    <xf numFmtId="0" fontId="29" fillId="39" borderId="2" xfId="46" applyNumberFormat="1" applyFont="1">
      <alignment horizontal="center" vertical="center"/>
    </xf>
    <xf numFmtId="16" fontId="29" fillId="0" borderId="7" xfId="10" applyNumberFormat="1" applyFont="1" applyBorder="1">
      <alignment horizontal="center" vertical="center"/>
    </xf>
    <xf numFmtId="16" fontId="29" fillId="0" borderId="10" xfId="10" applyNumberFormat="1" applyFont="1" applyBorder="1">
      <alignment horizontal="center" vertical="center"/>
    </xf>
    <xf numFmtId="16" fontId="44" fillId="0" borderId="2" xfId="10" applyNumberFormat="1" applyFont="1">
      <alignment horizontal="center" vertical="center"/>
    </xf>
    <xf numFmtId="0" fontId="44" fillId="0" borderId="2" xfId="10" applyFont="1">
      <alignment horizontal="center" vertical="center"/>
    </xf>
    <xf numFmtId="0" fontId="32" fillId="15" borderId="10" xfId="34" applyNumberFormat="1" applyFont="1" applyBorder="1">
      <alignment horizontal="center" vertical="center"/>
    </xf>
    <xf numFmtId="18" fontId="29" fillId="0" borderId="0" xfId="10" applyNumberFormat="1" applyFont="1" applyBorder="1">
      <alignment horizontal="center" vertical="center"/>
    </xf>
    <xf numFmtId="0" fontId="29" fillId="0" borderId="0" xfId="13" applyNumberFormat="1" applyFont="1" applyFill="1" applyBorder="1">
      <alignment horizontal="center" vertical="center"/>
    </xf>
    <xf numFmtId="167" fontId="29" fillId="0" borderId="2" xfId="41" applyNumberFormat="1" applyFont="1" applyBorder="1">
      <alignment horizontal="center" vertical="center"/>
    </xf>
    <xf numFmtId="18" fontId="29" fillId="12" borderId="2" xfId="18" applyFont="1">
      <alignment horizontal="center" vertical="center"/>
    </xf>
    <xf numFmtId="18" fontId="29" fillId="12" borderId="2" xfId="19" applyFont="1">
      <alignment horizontal="center" vertical="center"/>
    </xf>
    <xf numFmtId="0" fontId="29" fillId="26" borderId="2" xfId="19" applyNumberFormat="1" applyFont="1" applyFill="1">
      <alignment horizontal="center" vertical="center"/>
    </xf>
    <xf numFmtId="0" fontId="29" fillId="12" borderId="2" xfId="19" applyNumberFormat="1" applyFont="1">
      <alignment horizontal="center" vertical="center"/>
    </xf>
    <xf numFmtId="0" fontId="34" fillId="0" borderId="4" xfId="1" applyFont="1" applyBorder="1">
      <alignment horizontal="center" vertical="center"/>
    </xf>
    <xf numFmtId="16" fontId="35" fillId="0" borderId="0" xfId="4" applyNumberFormat="1" applyFont="1">
      <alignment horizontal="center" vertical="center"/>
    </xf>
    <xf numFmtId="0" fontId="29" fillId="7" borderId="5" xfId="14" applyNumberFormat="1" applyFont="1" applyBorder="1">
      <alignment horizontal="center" vertical="center"/>
    </xf>
    <xf numFmtId="0" fontId="35" fillId="8" borderId="2" xfId="13" applyNumberFormat="1" applyFont="1">
      <alignment horizontal="center" vertical="center"/>
    </xf>
    <xf numFmtId="0" fontId="29" fillId="8" borderId="2" xfId="13" applyNumberFormat="1" applyFont="1" applyAlignment="1">
      <alignment horizontal="center" vertical="center" wrapText="1"/>
    </xf>
    <xf numFmtId="18" fontId="45" fillId="0" borderId="0" xfId="4" applyNumberFormat="1" applyFont="1">
      <alignment horizontal="center" vertical="center"/>
    </xf>
    <xf numFmtId="18" fontId="45" fillId="0" borderId="2" xfId="10" applyNumberFormat="1" applyFont="1">
      <alignment horizontal="center" vertical="center"/>
    </xf>
    <xf numFmtId="0" fontId="46" fillId="0" borderId="3" xfId="20" applyFont="1" applyBorder="1">
      <alignment horizontal="center" vertical="center"/>
    </xf>
    <xf numFmtId="18" fontId="32" fillId="13" borderId="2" xfId="21" applyFont="1">
      <alignment horizontal="center" vertical="center"/>
    </xf>
    <xf numFmtId="18" fontId="32" fillId="13" borderId="7" xfId="22" applyFont="1" applyBorder="1">
      <alignment horizontal="center" vertical="center"/>
    </xf>
    <xf numFmtId="0" fontId="32" fillId="13" borderId="7" xfId="22" applyNumberFormat="1" applyFont="1" applyBorder="1">
      <alignment horizontal="center" vertical="center"/>
    </xf>
    <xf numFmtId="16" fontId="29" fillId="0" borderId="4" xfId="5" applyNumberFormat="1" applyFont="1">
      <alignment horizontal="center" vertical="center" wrapText="1"/>
    </xf>
    <xf numFmtId="16" fontId="29" fillId="0" borderId="2" xfId="9" applyNumberFormat="1" applyFont="1" applyFill="1">
      <alignment horizontal="center" vertical="center"/>
    </xf>
    <xf numFmtId="0" fontId="29" fillId="0" borderId="2" xfId="14" applyNumberFormat="1" applyFont="1" applyFill="1">
      <alignment horizontal="center" vertical="center"/>
    </xf>
    <xf numFmtId="0" fontId="32" fillId="16" borderId="20" xfId="23" applyFont="1" applyFill="1">
      <alignment horizontal="center" vertical="center"/>
    </xf>
    <xf numFmtId="0" fontId="47" fillId="0" borderId="2" xfId="10" applyFont="1">
      <alignment horizontal="center" vertical="center"/>
    </xf>
    <xf numFmtId="0" fontId="47" fillId="0" borderId="0" xfId="4" applyFont="1">
      <alignment horizontal="center" vertical="center"/>
    </xf>
    <xf numFmtId="0" fontId="47" fillId="0" borderId="2" xfId="8" applyFont="1">
      <alignment horizontal="center" vertical="center"/>
    </xf>
    <xf numFmtId="0" fontId="47" fillId="0" borderId="7" xfId="8" applyFont="1" applyBorder="1">
      <alignment horizontal="center" vertical="center"/>
    </xf>
    <xf numFmtId="0" fontId="27" fillId="0" borderId="0" xfId="4" applyFont="1">
      <alignment horizontal="center" vertical="center"/>
    </xf>
    <xf numFmtId="0" fontId="34" fillId="0" borderId="10" xfId="4" applyFont="1" applyBorder="1">
      <alignment horizontal="center" vertical="center"/>
    </xf>
    <xf numFmtId="0" fontId="27" fillId="0" borderId="0" xfId="14" applyNumberFormat="1" applyFont="1" applyFill="1" applyBorder="1">
      <alignment horizontal="center" vertical="center"/>
    </xf>
    <xf numFmtId="18" fontId="27" fillId="0" borderId="0" xfId="25" applyNumberFormat="1" applyFont="1">
      <alignment horizontal="center" vertical="center"/>
    </xf>
    <xf numFmtId="0" fontId="29" fillId="0" borderId="10" xfId="4" applyFont="1" applyBorder="1">
      <alignment horizontal="center" vertical="center"/>
    </xf>
    <xf numFmtId="0" fontId="19" fillId="21" borderId="2" xfId="0" applyFont="1" applyFill="1" applyBorder="1" applyAlignment="1">
      <alignment horizontal="center" vertical="center"/>
    </xf>
    <xf numFmtId="18" fontId="18" fillId="0" borderId="2" xfId="0" applyNumberFormat="1" applyFont="1" applyBorder="1" applyAlignment="1">
      <alignment horizontal="center" vertical="center"/>
    </xf>
    <xf numFmtId="0" fontId="26" fillId="32" borderId="2" xfId="0" applyFont="1" applyFill="1" applyBorder="1" applyAlignment="1">
      <alignment horizontal="center" vertical="center"/>
    </xf>
    <xf numFmtId="18" fontId="18" fillId="26" borderId="2" xfId="0" applyNumberFormat="1" applyFont="1" applyFill="1" applyBorder="1" applyAlignment="1">
      <alignment horizontal="center" vertical="center"/>
    </xf>
    <xf numFmtId="18" fontId="18" fillId="22" borderId="2" xfId="0" applyNumberFormat="1" applyFont="1" applyFill="1" applyBorder="1" applyAlignment="1">
      <alignment horizontal="center" vertical="center"/>
    </xf>
    <xf numFmtId="0" fontId="18" fillId="23" borderId="2" xfId="0" applyFont="1" applyFill="1" applyBorder="1" applyAlignment="1">
      <alignment horizontal="center" vertical="center"/>
    </xf>
    <xf numFmtId="0" fontId="18" fillId="30" borderId="2" xfId="0" applyFont="1" applyFill="1" applyBorder="1" applyAlignment="1">
      <alignment horizontal="center" vertical="center"/>
    </xf>
    <xf numFmtId="18" fontId="26" fillId="28" borderId="2" xfId="0" applyNumberFormat="1" applyFont="1" applyFill="1" applyBorder="1" applyAlignment="1">
      <alignment horizontal="center" vertical="center"/>
    </xf>
    <xf numFmtId="0" fontId="18" fillId="29" borderId="2" xfId="0" applyFont="1" applyFill="1" applyBorder="1" applyAlignment="1">
      <alignment horizontal="center" vertical="center"/>
    </xf>
    <xf numFmtId="0" fontId="18" fillId="21" borderId="2" xfId="0" applyFont="1" applyFill="1" applyBorder="1" applyAlignment="1">
      <alignment horizontal="center" vertical="center"/>
    </xf>
    <xf numFmtId="0" fontId="26" fillId="25" borderId="2" xfId="0" applyFont="1" applyFill="1" applyBorder="1" applyAlignment="1">
      <alignment horizontal="center" vertical="center"/>
    </xf>
    <xf numFmtId="18" fontId="26" fillId="24" borderId="2" xfId="0" applyNumberFormat="1" applyFont="1" applyFill="1" applyBorder="1" applyAlignment="1">
      <alignment horizontal="center" vertical="center"/>
    </xf>
    <xf numFmtId="18" fontId="18" fillId="27" borderId="2" xfId="0" applyNumberFormat="1" applyFont="1" applyFill="1" applyBorder="1" applyAlignment="1">
      <alignment horizontal="center" vertical="center"/>
    </xf>
    <xf numFmtId="18" fontId="19" fillId="0" borderId="2" xfId="0" applyNumberFormat="1" applyFont="1" applyBorder="1" applyAlignment="1">
      <alignment horizontal="center" vertical="center"/>
    </xf>
    <xf numFmtId="0" fontId="48" fillId="30" borderId="2" xfId="0" applyFont="1" applyFill="1" applyBorder="1" applyAlignment="1">
      <alignment horizontal="center" vertical="center"/>
    </xf>
    <xf numFmtId="18" fontId="45" fillId="0" borderId="2" xfId="4" applyNumberFormat="1" applyFont="1" applyBorder="1">
      <alignment horizontal="center" vertical="center"/>
    </xf>
    <xf numFmtId="0" fontId="45" fillId="0" borderId="13" xfId="10" applyFont="1" applyBorder="1">
      <alignment horizontal="center" vertical="center"/>
    </xf>
    <xf numFmtId="165" fontId="30" fillId="33" borderId="2" xfId="35" applyNumberFormat="1" applyFont="1" applyFill="1" applyBorder="1" applyAlignment="1">
      <alignment horizontal="center" vertical="center"/>
    </xf>
    <xf numFmtId="0" fontId="36" fillId="0" borderId="23" xfId="4" quotePrefix="1" applyFont="1" applyBorder="1">
      <alignment horizontal="center" vertical="center"/>
    </xf>
    <xf numFmtId="0" fontId="32" fillId="40" borderId="0" xfId="24" applyNumberFormat="1" applyFont="1" applyFill="1" applyBorder="1">
      <alignment horizontal="center" vertical="center"/>
    </xf>
    <xf numFmtId="0" fontId="36" fillId="40" borderId="0" xfId="4" quotePrefix="1" applyFont="1" applyFill="1">
      <alignment horizontal="center" vertical="center"/>
    </xf>
    <xf numFmtId="165" fontId="32" fillId="15" borderId="2" xfId="34" applyNumberFormat="1" applyFont="1">
      <alignment horizontal="center" vertical="center"/>
    </xf>
    <xf numFmtId="165" fontId="32" fillId="15" borderId="10" xfId="24" applyNumberFormat="1" applyFont="1" applyBorder="1">
      <alignment horizontal="center" vertical="center"/>
    </xf>
  </cellXfs>
  <cellStyles count="47">
    <cellStyle name="_12U_DayHead" xfId="22" xr:uid="{50205738-C4A2-4EFE-A8FD-3F2A77161893}"/>
    <cellStyle name="_12U_SeedsHead" xfId="21" xr:uid="{BCFD7EE5-B906-483F-97B9-A38C899875A6}"/>
    <cellStyle name="_12Uc_Chics_Head" xfId="23" xr:uid="{A28FC506-3E3A-4B0B-848F-36F9DF96BC98}"/>
    <cellStyle name="_12Ux_SeedsHead" xfId="36" xr:uid="{1CDC26C9-CFEF-49EB-9AD0-DC7D23FFC9C7}"/>
    <cellStyle name="_14U_DayHead" xfId="19" xr:uid="{4BEC0189-6F6A-43CC-8807-FE3A0AB49281}"/>
    <cellStyle name="_14U_SeedsHead" xfId="18" xr:uid="{53AC606C-509F-469B-A76B-F6E0BCAC7662}"/>
    <cellStyle name="_14x_Chics_Head" xfId="26" xr:uid="{96BBB420-8F43-46CB-9ABA-959F3EE8B5D7}"/>
    <cellStyle name="_16U_DayHead" xfId="16" xr:uid="{9CA61E54-AFD4-43A3-A3A2-3210E9677F7A}"/>
    <cellStyle name="_16U_SeedsHead" xfId="15" xr:uid="{D8D101E5-0F64-42CF-886B-67266651E616}"/>
    <cellStyle name="_16UQ_DayHead" xfId="33" xr:uid="{8700AA5D-698E-4805-A39A-736445B6BB3D}"/>
    <cellStyle name="_16UQ_SeedsHead" xfId="32" xr:uid="{5E4CDEF9-6632-40A2-B22B-D583CA49D4B0}"/>
    <cellStyle name="_16Ux_DayHead" xfId="29" xr:uid="{FCEE66F8-DC0B-40EA-ADC0-933E5F3E7B9A}"/>
    <cellStyle name="_16Ux_SeedsHead" xfId="28" xr:uid="{71E6B87D-14CA-4694-8796-6C53B0764942}"/>
    <cellStyle name="_18U_DayHead" xfId="9" xr:uid="{76840A80-C69E-4016-B95C-02DCE25266B9}"/>
    <cellStyle name="_18U_SeedHead" xfId="6" xr:uid="{45E25F7C-F2F7-48E1-9B2D-1F266CBDE6D0}"/>
    <cellStyle name="_18Ux_DayHead" xfId="31" xr:uid="{70D28B43-CDF4-416E-BB6A-C6CAA6BF1FE9}"/>
    <cellStyle name="_18Ux_SeedHead" xfId="30" xr:uid="{AD460FAE-BED7-41E1-8D04-731788E165E0}"/>
    <cellStyle name="_AU_GmFill" xfId="14" xr:uid="{0E4C54BC-F7D6-49D5-AEA7-F4873B3AF81C}"/>
    <cellStyle name="_AU_SeedHead" xfId="12" xr:uid="{0A09F47C-5E0B-4F19-98C9-5F5EC0DB88F2}"/>
    <cellStyle name="_BreakDay" xfId="3" xr:uid="{84341A34-C882-4291-A314-774493E5794D}"/>
    <cellStyle name="_BreakDay 2 2_2014_NJO_Master-Sched_Session1_7-19-14_SEEDED-1" xfId="43" xr:uid="{6F8C9F1B-D445-4EC5-8137-1B11E10C5006}"/>
    <cellStyle name="_BreakDay Box" xfId="1" xr:uid="{0A5759E2-A347-465C-AA5B-F40C8A79DF93}"/>
    <cellStyle name="_BreakDay Box 2 2_2014_NJO_Master-Sched_Session1_7-19-14_SEEDED-1" xfId="44" xr:uid="{849B511F-19B4-4CC1-95C4-99105DAA9D56}"/>
    <cellStyle name="_BZ_GmFill" xfId="24" xr:uid="{E4F931F2-8ABF-47A3-8AAD-4EA7AB7599A5}"/>
    <cellStyle name="_BZ_GmFill 2 2" xfId="34" xr:uid="{FCD0E359-B894-4D8E-BDAF-BB5C77AF0C6C}"/>
    <cellStyle name="_BZ_SeedHead 2 2" xfId="27" xr:uid="{F62E0A5E-5F7E-4FC1-AE0A-91E95BFA24AF}"/>
    <cellStyle name="_GmBox Clear 2 2" xfId="10" xr:uid="{8B91970B-92D2-4BA7-AEA3-347BD9174FC2}"/>
    <cellStyle name="_PT_AG_GmFill 2 2" xfId="13" xr:uid="{D2B11120-46C4-45E9-89B2-714A72D6B88C}"/>
    <cellStyle name="_PT_AG_SeedsHead" xfId="11" xr:uid="{8CD85D3E-8B54-44CD-BD24-CBBFD03A79DD}"/>
    <cellStyle name="_PT_AG_SeedsHead 2" xfId="38" xr:uid="{70624131-B632-47D9-9393-253FF5097EC5}"/>
    <cellStyle name="_PT_AG_SeedsHead 2 2" xfId="46" xr:uid="{7C89E14A-8EA6-45F6-B0E7-FEEC6AEA9C43}"/>
    <cellStyle name="_SeedTeams" xfId="8" xr:uid="{1010C9F1-9D1A-4DC1-B192-02E1FEA0DE32}"/>
    <cellStyle name="_SeedTeams 2 2_2014_NJO_Master-Sched_Session1_7-19-14_SEEDED-1" xfId="45" xr:uid="{3565FAA9-068A-4897-B1ED-A33AD96D73BC}"/>
    <cellStyle name="_TeamTravel" xfId="7" xr:uid="{45CF44FD-6BD3-41AC-A1F5-F976EAED7A0D}"/>
    <cellStyle name="Course_Box" xfId="5" xr:uid="{14DDA09E-7BC0-48B7-AC42-74A76894B9D3}"/>
    <cellStyle name="Course_Box 2 2 2" xfId="42" xr:uid="{4C32702E-ACED-4566-9E86-7EAAE6FBBE6B}"/>
    <cellStyle name="GmBox Clear" xfId="17" xr:uid="{10EB527F-8E78-4D1F-A879-649EEDD73406}"/>
    <cellStyle name="Hyperlink" xfId="39" builtinId="8"/>
    <cellStyle name="Hyperlink 2" xfId="2" xr:uid="{564953DB-4046-4BD2-8945-6222E0C63301}"/>
    <cellStyle name="Hyperlink 2 2" xfId="20" xr:uid="{E908F37A-3AD8-4EA2-A7E3-4F11DE7F3B57}"/>
    <cellStyle name="Normal" xfId="0" builtinId="0"/>
    <cellStyle name="Normal 2" xfId="40" xr:uid="{808C016F-B8B7-47F5-A7A4-F46375331D61}"/>
    <cellStyle name="Normal 2 2" xfId="4" xr:uid="{4BC2F4C7-51B5-4460-92FF-6C3CA2D89F56}"/>
    <cellStyle name="Normal 5" xfId="41" xr:uid="{690F242A-9E6F-4CAA-8339-95F0C6CAD49C}"/>
    <cellStyle name="Normal 6" xfId="25" xr:uid="{519C3FC0-C56F-4E46-9603-CCA679716C83}"/>
    <cellStyle name="Normal 6 3 2 2" xfId="37" xr:uid="{B18FE2CD-AEF7-42D3-8BA3-EF659CECAEC7}"/>
    <cellStyle name="Normal 6 3 3" xfId="35" xr:uid="{F62B4291-07D1-4C49-8C7F-71D724B55754}"/>
  </cellStyles>
  <dxfs count="0"/>
  <tableStyles count="0" defaultTableStyle="TableStyleMedium2" defaultPivotStyle="PivotStyleLight16"/>
  <colors>
    <mruColors>
      <color rgb="FFCC6666"/>
      <color rgb="FFFF6600"/>
      <color rgb="FFFFCC99"/>
      <color rgb="FF00CC66"/>
      <color rgb="FFCC9966"/>
      <color rgb="FFCCCC00"/>
      <color rgb="FFFF9933"/>
      <color rgb="FFFFABAB"/>
      <color rgb="FFCC3333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7be80ab7076e48ea/Documents/OCJO_2015_PUBLIC/2014_NJO_Master_Session1_New23team.xlsx" TargetMode="External"/><Relationship Id="rId1" Type="http://schemas.openxmlformats.org/officeDocument/2006/relationships/externalLinkPath" Target="/7be80ab7076e48ea/Documents/OCJO_2015_PUBLIC/2014_NJO_Master_Session1_New23team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/6f253ef3afcfe1c8/2018%20EVENTS/2018%20NJO/2014_NJO_Master_Session1_New23team.xlsx" TargetMode="External"/><Relationship Id="rId2" Type="http://schemas.openxmlformats.org/officeDocument/2006/relationships/externalLinkPath" Target="https://d.docs.live.net/6f253ef3afcfe1c8/2018%20EVENTS/2018%20NJO/2014_NJO_Master_Session1_New23team.xlsx" TargetMode="External"/><Relationship Id="rId1" Type="http://schemas.openxmlformats.org/officeDocument/2006/relationships/externalLinkPath" Target="/6f253ef3afcfe1c8/2018%20EVENTS/2018%20NJO/2014_NJO_Master_Session1_New23tea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ick/AppData/Local/Microsoft/Windows/Temporary%20Internet%20Files/Content.Outlook/UOFFHLQK/36%20team%20generic%20with%20advancement.xlsx" TargetMode="External"/><Relationship Id="rId1" Type="http://schemas.openxmlformats.org/officeDocument/2006/relationships/externalLinkPath" Target="/Users/Nick/AppData/Local/Microsoft/Windows/Temporary%20Internet%20Files/Content.Outlook/UOFFHLQK/36%20team%20generic%20with%20advancemen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aipalch/Library/Mail%20Downloads/48%20team%205%20pool%20with%20advancement.xlsx" TargetMode="External"/><Relationship Id="rId1" Type="http://schemas.openxmlformats.org/officeDocument/2006/relationships/externalLinkPath" Target="/Users/kaipalch/Library/Mail%20Downloads/48%20team%205%20pool%20with%20advanceme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aipalch/Library/Mail%20Downloads/24%20team%20generic%20-%20like%2048%20generic%20with%20advancement.xlsx" TargetMode="External"/><Relationship Id="rId1" Type="http://schemas.openxmlformats.org/officeDocument/2006/relationships/externalLinkPath" Target="/Users/kaipalch/Library/Mail%20Downloads/24%20team%20generic%20-%20like%2048%20generic%20with%20advanceme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6f253ef3afcfe1c8/Desktop/JO%20SCHEDULE%20TEMPLATES/46%20team%20-%20first%20draft.xls" TargetMode="External"/><Relationship Id="rId1" Type="http://schemas.openxmlformats.org/officeDocument/2006/relationships/externalLinkPath" Target="/6f253ef3afcfe1c8/Desktop/JO%20SCHEDULE%20TEMPLATES/46%20team%20-%20first%20draf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ratch Sheet"/>
      <sheetName val="Master_S1"/>
      <sheetName val="OLD_10F_CHAMP 6 teams"/>
      <sheetName val="OLD2_10F_CHAMP"/>
      <sheetName val="OLD 10U_F_Champ"/>
      <sheetName val="10F_CHAMP"/>
      <sheetName val="12U_M_Champ"/>
      <sheetName val="14U_M_Champ"/>
      <sheetName val="16U_M_Champ"/>
      <sheetName val="18U_M_Champ"/>
      <sheetName val="12bx_advance"/>
      <sheetName val="New 12U_M_Classic"/>
      <sheetName val="12U_M_Classic"/>
      <sheetName val="OLD_12U_M_Classic_24"/>
      <sheetName val="OLD 12U_M_Classic"/>
      <sheetName val="14U_M_Classic"/>
      <sheetName val="16U_M_Classic"/>
      <sheetName val="NEW-18U_M_Classic"/>
      <sheetName val="OLD 18U_M_Classic"/>
      <sheetName val="Site_Codes"/>
      <sheetName val="16U_M_Invite"/>
      <sheetName val="ChampionshipDay"/>
      <sheetName val="MASTER_SCHED"/>
      <sheetName val="Master by Location"/>
      <sheetName val="Sheet1"/>
      <sheetName val="POO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_S1"/>
      <sheetName val="OLD_10F_CHAMP 6 teams"/>
      <sheetName val="OLD2_10F_CHAMP"/>
      <sheetName val="OLD 10U_F_Champ"/>
      <sheetName val="10F_CHAMP"/>
      <sheetName val="12U_M_Champ"/>
      <sheetName val="14U_M_Champ"/>
      <sheetName val="16U_M_Champ"/>
      <sheetName val="18U_M_Champ"/>
      <sheetName val="12bx_advance"/>
      <sheetName val="Scratch Sheet"/>
      <sheetName val="New 12U_M_Classic 23"/>
      <sheetName val="12U_M_Classic"/>
      <sheetName val="OLD_12U_M_Classic_24"/>
      <sheetName val="OLD 12U_M_Classic"/>
      <sheetName val="14U_M_Classic"/>
      <sheetName val="16U_M_Classic"/>
      <sheetName val="NEW-18U_M_Classic"/>
      <sheetName val="OLD 18U_M_Classic"/>
      <sheetName val="Site_Codes"/>
      <sheetName val="16U_M_Invite"/>
      <sheetName val="ChampionshipDay"/>
      <sheetName val="MASTER_SCHED"/>
      <sheetName val="Master by Location"/>
      <sheetName val="Sheet1"/>
      <sheetName val="POO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JO 36 team"/>
      <sheetName val="NJO 36 team - revised"/>
      <sheetName val="Advancement Table"/>
      <sheetName val="Sheet2"/>
      <sheetName val="Sheet1"/>
      <sheetName val="Advance - formul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urrent Schedule"/>
      <sheetName val="Old version"/>
      <sheetName val="Necessary quarter times"/>
      <sheetName val="schedule sorted"/>
      <sheetName val="Advancement Table"/>
      <sheetName val="Sheet3"/>
      <sheetName val="Checking shee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4 team"/>
      <sheetName val="24 team - revised"/>
      <sheetName val="Lookup page"/>
      <sheetName val="Advancement table"/>
      <sheetName val="Advance - formula"/>
      <sheetName val="Sheet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16X_v4"/>
      <sheetName val="Sheet2"/>
      <sheetName val="M12_v6"/>
      <sheetName val="advancement"/>
      <sheetName val="Advance - 46 team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NJO_2026/BracketBreaker.htm" TargetMode="External"/><Relationship Id="rId2" Type="http://schemas.openxmlformats.org/officeDocument/2006/relationships/hyperlink" Target="https://www.kahunaevents.org/cgi-bin/start.cgi/NJO_2026/ScorerLogin.htm" TargetMode="External"/><Relationship Id="rId1" Type="http://schemas.openxmlformats.org/officeDocument/2006/relationships/hyperlink" Target="https://www.kahunaevents.org/cgi-bin/start.cgi/NJO_2026/2026_NJO_DivSelect.htm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NJO_2026/BracketBreaker.htm" TargetMode="External"/><Relationship Id="rId2" Type="http://schemas.openxmlformats.org/officeDocument/2006/relationships/hyperlink" Target="https://www.kahunaevents.org/cgi-bin/start.cgi/NJO_2026/ScorerLogin.htm" TargetMode="External"/><Relationship Id="rId1" Type="http://schemas.openxmlformats.org/officeDocument/2006/relationships/hyperlink" Target="https://www.kahunaevents.org/cgi-bin/start.cgi/NJO_2026/2026_NJO_DivSelect.htm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NJO_2026/BracketBreaker.htm" TargetMode="External"/><Relationship Id="rId2" Type="http://schemas.openxmlformats.org/officeDocument/2006/relationships/hyperlink" Target="https://www.kahunaevents.org/cgi-bin/start.cgi/NJO_2026/ScorerLogin.htm" TargetMode="External"/><Relationship Id="rId1" Type="http://schemas.openxmlformats.org/officeDocument/2006/relationships/hyperlink" Target="https://www.kahunaevents.org/cgi-bin/start.cgi/NJO_2026/2026_NJO_DivSelect.htm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NJO_2026/BracketBreaker.htm" TargetMode="External"/><Relationship Id="rId2" Type="http://schemas.openxmlformats.org/officeDocument/2006/relationships/hyperlink" Target="https://www.kahunaevents.org/cgi-bin/start.cgi/NJO_2026/ScorerLogin.htm" TargetMode="External"/><Relationship Id="rId1" Type="http://schemas.openxmlformats.org/officeDocument/2006/relationships/hyperlink" Target="https://www.kahunaevents.org/cgi-bin/start.cgi/NJO_2026/2026_NJO_DivSelect.htm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NJO_2026/BracketBreaker.htm" TargetMode="External"/><Relationship Id="rId2" Type="http://schemas.openxmlformats.org/officeDocument/2006/relationships/hyperlink" Target="https://www.kahunaevents.org/cgi-bin/start.cgi/NJO_2026/ScorerLogin.htm" TargetMode="External"/><Relationship Id="rId1" Type="http://schemas.openxmlformats.org/officeDocument/2006/relationships/hyperlink" Target="https://www.kahunaevents.org/cgi-bin/start.cgi/NJO_2026/2026_NJO_DivSelect.htm" TargetMode="Externa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NJO_2026/BracketBreaker.htm" TargetMode="External"/><Relationship Id="rId2" Type="http://schemas.openxmlformats.org/officeDocument/2006/relationships/hyperlink" Target="https://www.kahunaevents.org/cgi-bin/start.cgi/NJO_2026/2026_NJO_DivSelect.htm" TargetMode="External"/><Relationship Id="rId1" Type="http://schemas.openxmlformats.org/officeDocument/2006/relationships/hyperlink" Target="https://www.kahunaevents.org/cgi-bin/start.cgi/NJO_2026/ScorerLogin.htm" TargetMode="Externa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NJO_2026/BracketBreaker.htm" TargetMode="External"/><Relationship Id="rId2" Type="http://schemas.openxmlformats.org/officeDocument/2006/relationships/hyperlink" Target="https://www.kahunaevents.org/cgi-bin/start.cgi/NJO_2026/ScorerLogin.htm" TargetMode="External"/><Relationship Id="rId1" Type="http://schemas.openxmlformats.org/officeDocument/2006/relationships/hyperlink" Target="https://www.kahunaevents.org/cgi-bin/start.cgi/NJO_2026/2026_NJO_DivSelect.htm" TargetMode="External"/><Relationship Id="rId4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NJO_2026/BracketBreaker.htm" TargetMode="External"/><Relationship Id="rId2" Type="http://schemas.openxmlformats.org/officeDocument/2006/relationships/hyperlink" Target="https://www.kahunaevents.org/cgi-bin/start.cgi/NJO_2026/ScorerLogin.htm" TargetMode="External"/><Relationship Id="rId1" Type="http://schemas.openxmlformats.org/officeDocument/2006/relationships/hyperlink" Target="https://www.kahunaevents.org/cgi-bin/start.cgi/NJO_2026/2026_NJO_DivSelect.htm" TargetMode="External"/><Relationship Id="rId4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NJO_2026/BracketBreaker.htm" TargetMode="External"/><Relationship Id="rId2" Type="http://schemas.openxmlformats.org/officeDocument/2006/relationships/hyperlink" Target="https://www.kahunaevents.org/cgi-bin/start.cgi/NJO_2026/ScorerLogin.htm" TargetMode="External"/><Relationship Id="rId1" Type="http://schemas.openxmlformats.org/officeDocument/2006/relationships/hyperlink" Target="https://www.kahunaevents.org/cgi-bin/start.cgi/NJO_2026/2026_NJO_DivSelect.htm" TargetMode="External"/><Relationship Id="rId4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NJO_2026/BracketBreaker.htm" TargetMode="External"/><Relationship Id="rId2" Type="http://schemas.openxmlformats.org/officeDocument/2006/relationships/hyperlink" Target="https://www.kahunaevents.org/cgi-bin/start.cgi/NJO_2026/ScorerLogin.htm" TargetMode="External"/><Relationship Id="rId1" Type="http://schemas.openxmlformats.org/officeDocument/2006/relationships/hyperlink" Target="https://www.kahunaevents.org/cgi-bin/start.cgi/NJO_2026/2026_NJO_DivSelect.htm" TargetMode="External"/><Relationship Id="rId4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NJO_2026/BracketBreaker.htm" TargetMode="External"/><Relationship Id="rId2" Type="http://schemas.openxmlformats.org/officeDocument/2006/relationships/hyperlink" Target="https://www.kahunaevents.org/cgi-bin/start.cgi/NJO_2026/ScorerLogin.htm" TargetMode="External"/><Relationship Id="rId1" Type="http://schemas.openxmlformats.org/officeDocument/2006/relationships/hyperlink" Target="https://www.kahunaevents.org/cgi-bin/start.cgi/NJO_2026/2026_NJO_DivSelect.htm" TargetMode="External"/><Relationship Id="rId4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NJO_2026/BracketBreaker.htm" TargetMode="External"/><Relationship Id="rId2" Type="http://schemas.openxmlformats.org/officeDocument/2006/relationships/hyperlink" Target="https://www.kahunaevents.org/cgi-bin/start.cgi/NJO_2026/ScorerLogin.htm" TargetMode="External"/><Relationship Id="rId1" Type="http://schemas.openxmlformats.org/officeDocument/2006/relationships/hyperlink" Target="https://www.kahunaevents.org/cgi-bin/start.cgi/NJO_2026/2026_NJO_DivSelect.htm" TargetMode="External"/><Relationship Id="rId4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95093-9323-4BE0-9D9D-040EEC7D0AA2}">
  <dimension ref="A1:BI94"/>
  <sheetViews>
    <sheetView topLeftCell="AG4" zoomScale="110" zoomScaleNormal="110" workbookViewId="0">
      <selection activeCell="AI44" sqref="AI44"/>
    </sheetView>
  </sheetViews>
  <sheetFormatPr defaultColWidth="9.140625" defaultRowHeight="12.75"/>
  <cols>
    <col min="1" max="1" width="16.7109375" style="44" bestFit="1" customWidth="1"/>
    <col min="2" max="2" width="25" style="44" bestFit="1" customWidth="1"/>
    <col min="3" max="4" width="25.42578125" style="44" bestFit="1" customWidth="1"/>
    <col min="5" max="5" width="27.85546875" style="44" bestFit="1" customWidth="1"/>
    <col min="6" max="6" width="29.42578125" style="44" bestFit="1" customWidth="1"/>
    <col min="7" max="7" width="40.42578125" style="44" bestFit="1" customWidth="1"/>
    <col min="8" max="8" width="29.42578125" style="44" bestFit="1" customWidth="1"/>
    <col min="9" max="9" width="16.7109375" style="44" bestFit="1" customWidth="1"/>
    <col min="10" max="10" width="37" style="44" bestFit="1" customWidth="1"/>
    <col min="11" max="11" width="16.7109375" style="44" bestFit="1" customWidth="1"/>
    <col min="12" max="12" width="26.7109375" style="44" bestFit="1" customWidth="1"/>
    <col min="13" max="13" width="27.140625" style="44" bestFit="1" customWidth="1"/>
    <col min="14" max="15" width="25.42578125" style="44" bestFit="1" customWidth="1"/>
    <col min="16" max="16" width="16.7109375" style="44" bestFit="1" customWidth="1"/>
    <col min="17" max="17" width="26.7109375" style="44" bestFit="1" customWidth="1"/>
    <col min="18" max="18" width="25.42578125" style="44" bestFit="1" customWidth="1"/>
    <col min="19" max="19" width="25.85546875" style="44" bestFit="1" customWidth="1"/>
    <col min="20" max="20" width="24.5703125" style="44" bestFit="1" customWidth="1"/>
    <col min="21" max="21" width="25.85546875" style="44" bestFit="1" customWidth="1"/>
    <col min="22" max="22" width="26.85546875" style="44" bestFit="1" customWidth="1"/>
    <col min="23" max="23" width="27.28515625" style="44" bestFit="1" customWidth="1"/>
    <col min="24" max="24" width="16.7109375" style="44" bestFit="1" customWidth="1"/>
    <col min="25" max="25" width="25.42578125" style="44" bestFit="1" customWidth="1"/>
    <col min="26" max="26" width="23.140625" style="44" bestFit="1" customWidth="1"/>
    <col min="27" max="27" width="25.140625" style="44" bestFit="1" customWidth="1"/>
    <col min="28" max="28" width="23.5703125" style="44" bestFit="1" customWidth="1"/>
    <col min="29" max="29" width="24" style="44" bestFit="1" customWidth="1"/>
    <col min="30" max="30" width="25.42578125" style="44" bestFit="1" customWidth="1"/>
    <col min="31" max="31" width="27" style="44" bestFit="1" customWidth="1"/>
    <col min="32" max="32" width="26.85546875" style="44" bestFit="1" customWidth="1"/>
    <col min="33" max="33" width="28" style="44" bestFit="1" customWidth="1"/>
    <col min="34" max="34" width="24.7109375" style="44" bestFit="1" customWidth="1"/>
    <col min="35" max="35" width="26.85546875" style="44" bestFit="1" customWidth="1"/>
    <col min="36" max="36" width="24.7109375" style="44" bestFit="1" customWidth="1"/>
    <col min="37" max="37" width="27.28515625" style="44" bestFit="1" customWidth="1"/>
    <col min="38" max="38" width="28.42578125" style="44" bestFit="1" customWidth="1"/>
    <col min="39" max="39" width="26.85546875" style="44" bestFit="1" customWidth="1"/>
    <col min="40" max="40" width="28.140625" style="44" bestFit="1" customWidth="1"/>
    <col min="41" max="41" width="27.140625" style="44" bestFit="1" customWidth="1"/>
    <col min="42" max="42" width="28" style="44" bestFit="1" customWidth="1"/>
    <col min="43" max="43" width="26.85546875" style="44" bestFit="1" customWidth="1"/>
    <col min="44" max="44" width="28" style="44" bestFit="1" customWidth="1"/>
    <col min="45" max="45" width="26.85546875" style="44" bestFit="1" customWidth="1"/>
    <col min="46" max="46" width="26.42578125" style="44" bestFit="1" customWidth="1"/>
    <col min="47" max="47" width="16.7109375" style="44" bestFit="1" customWidth="1"/>
    <col min="48" max="48" width="26.7109375" style="44" bestFit="1" customWidth="1"/>
    <col min="49" max="49" width="27.140625" style="44" bestFit="1" customWidth="1"/>
    <col min="50" max="50" width="25.42578125" style="44" bestFit="1" customWidth="1"/>
    <col min="51" max="51" width="25.85546875" style="44" bestFit="1" customWidth="1"/>
    <col min="52" max="52" width="28.140625" style="44" bestFit="1" customWidth="1"/>
    <col min="53" max="53" width="16.7109375" style="44" bestFit="1" customWidth="1"/>
    <col min="54" max="54" width="25.140625" style="44" bestFit="1" customWidth="1"/>
    <col min="55" max="55" width="25.42578125" style="44" bestFit="1" customWidth="1"/>
    <col min="56" max="57" width="25.85546875" style="44" bestFit="1" customWidth="1"/>
    <col min="58" max="58" width="27" style="44" bestFit="1" customWidth="1"/>
    <col min="59" max="59" width="10.7109375" style="44" customWidth="1"/>
    <col min="60" max="60" width="11.140625" style="44" customWidth="1"/>
    <col min="61" max="61" width="2.7109375" style="44" bestFit="1" customWidth="1"/>
    <col min="62" max="16384" width="9.140625" style="44"/>
  </cols>
  <sheetData>
    <row r="1" spans="1:61">
      <c r="A1" s="44" t="s">
        <v>0</v>
      </c>
      <c r="I1" s="44" t="s">
        <v>0</v>
      </c>
      <c r="K1" s="44" t="s">
        <v>0</v>
      </c>
      <c r="P1" s="44" t="s">
        <v>0</v>
      </c>
      <c r="X1" s="44" t="s">
        <v>0</v>
      </c>
      <c r="AE1" s="51"/>
      <c r="AR1" s="352" t="s">
        <v>1</v>
      </c>
      <c r="AU1" s="44" t="s">
        <v>0</v>
      </c>
      <c r="BA1" s="44" t="s">
        <v>0</v>
      </c>
    </row>
    <row r="2" spans="1:61">
      <c r="A2" s="47" t="s">
        <v>2</v>
      </c>
      <c r="I2" s="47" t="s">
        <v>2</v>
      </c>
      <c r="K2" s="47" t="s">
        <v>2</v>
      </c>
      <c r="L2" s="47"/>
      <c r="M2" s="47"/>
      <c r="N2" s="47"/>
      <c r="O2" s="47"/>
      <c r="P2" s="47" t="s">
        <v>2</v>
      </c>
      <c r="V2" s="47"/>
      <c r="X2" s="47" t="s">
        <v>2</v>
      </c>
      <c r="AA2" s="47"/>
      <c r="AB2" s="47"/>
      <c r="AC2" s="46" t="s">
        <v>3</v>
      </c>
      <c r="AD2" s="48" t="s">
        <v>4</v>
      </c>
      <c r="AE2" s="48" t="s">
        <v>5</v>
      </c>
      <c r="AF2" s="46" t="s">
        <v>6</v>
      </c>
      <c r="AH2" s="47"/>
      <c r="AI2" s="47"/>
      <c r="AJ2" s="47"/>
      <c r="AL2" s="47"/>
      <c r="AR2" s="44" t="s">
        <v>7</v>
      </c>
      <c r="AS2" s="44" t="s">
        <v>8</v>
      </c>
      <c r="AU2" s="47" t="s">
        <v>2</v>
      </c>
      <c r="BA2" s="47" t="s">
        <v>2</v>
      </c>
      <c r="BB2" s="47"/>
      <c r="BC2" s="47"/>
    </row>
    <row r="3" spans="1:61">
      <c r="B3" s="44" t="s">
        <v>9</v>
      </c>
      <c r="C3" s="44" t="s">
        <v>10</v>
      </c>
      <c r="D3" s="44" t="s">
        <v>11</v>
      </c>
      <c r="E3" s="44" t="s">
        <v>12</v>
      </c>
      <c r="F3" s="44" t="s">
        <v>13</v>
      </c>
      <c r="G3" s="44" t="s">
        <v>14</v>
      </c>
      <c r="H3" s="44" t="s">
        <v>15</v>
      </c>
      <c r="J3" s="44" t="s">
        <v>16</v>
      </c>
      <c r="L3" s="44" t="s">
        <v>17</v>
      </c>
      <c r="M3" s="44" t="s">
        <v>18</v>
      </c>
      <c r="N3" s="44" t="s">
        <v>19</v>
      </c>
      <c r="O3" s="44" t="s">
        <v>20</v>
      </c>
      <c r="Q3" s="44" t="s">
        <v>21</v>
      </c>
      <c r="R3" s="44" t="s">
        <v>22</v>
      </c>
      <c r="S3" s="44" t="s">
        <v>23</v>
      </c>
      <c r="T3" s="44" t="s">
        <v>24</v>
      </c>
      <c r="U3" s="44" t="s">
        <v>25</v>
      </c>
      <c r="V3" s="44" t="s">
        <v>26</v>
      </c>
      <c r="W3" s="44" t="s">
        <v>27</v>
      </c>
      <c r="Y3" s="44" t="s">
        <v>28</v>
      </c>
      <c r="Z3" s="44" t="s">
        <v>29</v>
      </c>
      <c r="AA3" s="44" t="s">
        <v>30</v>
      </c>
      <c r="AB3" s="44" t="s">
        <v>31</v>
      </c>
      <c r="AC3" s="44" t="s">
        <v>32</v>
      </c>
      <c r="AD3" s="44" t="s">
        <v>33</v>
      </c>
      <c r="AE3" s="44" t="s">
        <v>34</v>
      </c>
      <c r="AF3" s="44" t="s">
        <v>35</v>
      </c>
      <c r="AG3" s="44" t="s">
        <v>36</v>
      </c>
      <c r="AH3" s="44" t="s">
        <v>37</v>
      </c>
      <c r="AI3" s="44" t="s">
        <v>38</v>
      </c>
      <c r="AJ3" s="44" t="s">
        <v>39</v>
      </c>
      <c r="AK3" s="44" t="s">
        <v>40</v>
      </c>
      <c r="AL3" s="44" t="s">
        <v>41</v>
      </c>
      <c r="AM3" s="44" t="s">
        <v>42</v>
      </c>
      <c r="AN3" s="44" t="s">
        <v>43</v>
      </c>
      <c r="AO3" s="44" t="s">
        <v>44</v>
      </c>
      <c r="AP3" s="44" t="s">
        <v>45</v>
      </c>
      <c r="AQ3" s="44" t="s">
        <v>46</v>
      </c>
      <c r="AR3" s="44" t="s">
        <v>47</v>
      </c>
      <c r="AS3" s="44" t="s">
        <v>48</v>
      </c>
      <c r="AT3" s="44" t="s">
        <v>49</v>
      </c>
      <c r="AV3" s="44" t="s">
        <v>50</v>
      </c>
      <c r="AW3" s="44" t="s">
        <v>51</v>
      </c>
      <c r="AX3" s="44" t="s">
        <v>52</v>
      </c>
      <c r="AY3" s="44" t="s">
        <v>53</v>
      </c>
      <c r="AZ3" s="44" t="s">
        <v>54</v>
      </c>
      <c r="BB3" s="44" t="s">
        <v>55</v>
      </c>
      <c r="BC3" s="44" t="s">
        <v>56</v>
      </c>
      <c r="BD3" s="44" t="s">
        <v>57</v>
      </c>
      <c r="BE3" s="44" t="s">
        <v>58</v>
      </c>
      <c r="BF3" s="44" t="s">
        <v>59</v>
      </c>
      <c r="BI3" s="44">
        <f>COUNTA(B3:BG3)</f>
        <v>51</v>
      </c>
    </row>
    <row r="4" spans="1:61">
      <c r="A4" s="353">
        <v>0.29166666666666669</v>
      </c>
      <c r="B4" s="55" t="str">
        <f>'10U_M_Champ_35'!L56&amp;"-"&amp;'10U_M_Champ_35'!C56&amp;"-"&amp;TEXT('10U_M_Champ_35'!B56,"h:mm am/pm")</f>
        <v>10B-003-Group I-7:00 AM</v>
      </c>
      <c r="C4" s="55" t="str">
        <f>'10U_M_Champ_35'!L16&amp;"-"&amp;'10U_M_Champ_35'!C16&amp;"-"&amp;TEXT('10U_M_Champ_35'!B16,"h:mm am/pm")</f>
        <v>10B-001-Group A-7:00 AM</v>
      </c>
      <c r="D4" s="55" t="str">
        <f>'10U_M_Champ_35'!L36&amp;"-"&amp;'10U_M_Champ_35'!C36&amp;"-"&amp;TEXT('10U_M_Champ_35'!B36,"h:mm am/pm")</f>
        <v>10B-002-Group H-7:00 AM</v>
      </c>
      <c r="E4" s="354" t="str">
        <f>'12U_M_Classic_53'!L68&amp;"-"&amp;'12U_M_Classic_53'!C68&amp;"-"&amp;TEXT('12U_M_Classic_53'!B68,"h:mm am/pm")</f>
        <v>12BX-002-Group-7:00 AM</v>
      </c>
      <c r="F4" s="354" t="str">
        <f>'12U_M_Classic_53'!L88&amp;"-"&amp;'12U_M_Classic_53'!C88&amp;"-"&amp;TEXT('12U_M_Classic_53'!B88,"h:mm am/pm")</f>
        <v>12BX-003-Group-7:00 AM</v>
      </c>
      <c r="G4" s="354" t="str">
        <f>'12U_M_Classic_53'!L108&amp;"-"&amp;'12U_M_Classic_53'!C108&amp;"-"&amp;TEXT('12U_M_Classic_53'!B108,"h:mm am/pm")</f>
        <v>12BX-013-Group-7:00 AM</v>
      </c>
      <c r="H4" s="354" t="str">
        <f>'12U_M_Classic_53'!L29&amp;"-"&amp;'12U_M_Classic_53'!C29&amp;"-"&amp;TEXT('12U_M_Classic_53'!B29,"h:mm am/pm")</f>
        <v>12BX-005-Group-7:00 AM</v>
      </c>
      <c r="I4" s="353">
        <v>0.29166666666666669</v>
      </c>
      <c r="J4" s="354" t="str">
        <f>'12U_M_Classic_53'!L48&amp;"-"&amp;'12U_M_Classic_53'!C48&amp;"-"&amp;TEXT('12U_M_Classic_53'!B48,"h:mm am/pm")</f>
        <v>12BX-001-Group-7:00 AM</v>
      </c>
      <c r="K4" s="353">
        <v>0.29166666666666669</v>
      </c>
      <c r="L4" s="56" t="str">
        <f>'12U_M_Champ'!L18&amp;"-"&amp;'12U_M_Champ'!C18&amp;"-"&amp;TEXT('12U_M_Champ'!B18,"h:mm am/pm")</f>
        <v>12B-001-Group-7:00 AM</v>
      </c>
      <c r="M4" s="56" t="str">
        <f>'12U_M_Champ'!L37&amp;"-"&amp;'12U_M_Champ'!C37&amp;"-"&amp;TEXT('12U_M_Champ'!B37,"h:mm am/pm")</f>
        <v>12B-002-Group-7:00 AM</v>
      </c>
      <c r="N4" s="56" t="str">
        <f>'12U_M_Champ'!L56&amp;"-"&amp;'12U_M_Champ'!C56&amp;"-"&amp;TEXT('12U_M_Champ'!B56,"h:mm am/pm")</f>
        <v>12B-003-Group-7:00 AM</v>
      </c>
      <c r="O4" s="56" t="str">
        <f>'12U_M_Champ'!L75&amp;"-"&amp;'12U_M_Champ'!C75&amp;"-"&amp;TEXT('12U_M_Champ'!B75,"h:mm am/pm")</f>
        <v>12B-004-Group-7:00 AM</v>
      </c>
      <c r="P4" s="353">
        <v>0.29166666666666669</v>
      </c>
      <c r="Q4" s="355" t="str">
        <f>'14U_M_Champ'!L18&amp;"-"&amp;'14U_M_Champ'!C18&amp;"-"&amp;TEXT('14U_M_Champ'!B18,"h:mm am/pm")</f>
        <v>14B-001-Group-7:00 AM</v>
      </c>
      <c r="R4" s="355" t="str">
        <f>'14U_M_Champ'!L37&amp;"-"&amp;'14U_M_Champ'!C37&amp;"-"&amp;TEXT('14U_M_Champ'!B37,"h:mm am/pm")</f>
        <v>14B-002-Group-7:00 AM</v>
      </c>
      <c r="S4" s="355" t="str">
        <f>'14U_M_Champ'!L56&amp;"-"&amp;'14U_M_Champ'!C56&amp;"-"&amp;TEXT('14U_M_Champ'!B56,"h:mm am/pm")</f>
        <v>14B-003-Group-7:00 AM</v>
      </c>
      <c r="T4" s="355" t="str">
        <f>'14U_M_Champ'!L75&amp;"-"&amp;'14U_M_Champ'!C75&amp;"-"&amp;TEXT('14U_M_Champ'!B75,"h:mm am/pm")</f>
        <v>14B-004-Group-7:00 AM</v>
      </c>
      <c r="U4" s="356" t="str">
        <f>'14U_M_Invite_36'!L56&amp;"-"&amp;'14U_M_Invite_36'!C56&amp;"-"&amp;TEXT('14U_M_Invite_36'!B56,"h:mm am/pm")</f>
        <v>14BQ-003-Group I-7:00 AM</v>
      </c>
      <c r="V4" s="356" t="str">
        <f>'14U_M_Invite_36'!L36&amp;"-"&amp;'14U_M_Invite_36'!C36&amp;"-"&amp;TEXT('14U_M_Invite_36'!B36,"h:mm am/pm")</f>
        <v>14BQ-002-Group H-7:00 AM</v>
      </c>
      <c r="W4" s="356" t="str">
        <f>'14U_M_Invite_36'!L16&amp;"-"&amp;'14U_M_Invite_36'!C16&amp;"-"&amp;TEXT('14U_M_Invite_36'!B16,"h:mm am/pm")</f>
        <v>14BQ-001-Group A-7:00 AM</v>
      </c>
      <c r="X4" s="353">
        <v>0.29166666666666669</v>
      </c>
      <c r="Y4" s="49"/>
      <c r="Z4" s="357" t="str">
        <f>'16U_M_Invite'!L83&amp;"-"&amp;'16U_M_Invite'!C83&amp;"-"&amp;TEXT('16U_M_Invite'!B83,"h:mm am/pm")</f>
        <v>16BQ-004-Group-7:00 AM</v>
      </c>
      <c r="AA4" s="358" t="str">
        <f>'14U_M_Classic'!L18&amp;"-"&amp;'14U_M_Classic'!C18&amp;"-"&amp;TEXT('14U_M_Classic'!B18,"h:mm am/pm")</f>
        <v>14BX-004-Group-7:00 AM</v>
      </c>
      <c r="AB4" s="358" t="str">
        <f>'14U_M_Classic'!L56&amp;"-"&amp;'14U_M_Classic'!C56&amp;"-"&amp;TEXT('14U_M_Classic'!B56,"h:mm am/pm")</f>
        <v>14BX-002-Group-7:00 AM</v>
      </c>
      <c r="AC4" s="358" t="str">
        <f>'14U_M_Classic'!L78&amp;"-"&amp;'14U_M_Classic'!C78&amp;"-"&amp;TEXT('14U_M_Classic'!B78,"h:mm am/pm")</f>
        <v>14BX-001-Group-7:00 AM</v>
      </c>
      <c r="AD4" s="49"/>
      <c r="AE4" s="49"/>
      <c r="AF4" s="357" t="str">
        <f>'16U_M_Invite'!L18&amp;"-"&amp;'16U_M_Invite'!C18&amp;"-"&amp;TEXT('16U_M_Invite'!B18,"h:mm am/pm")</f>
        <v>16BQ-001-Group-7:00 AM</v>
      </c>
      <c r="AG4" s="359" t="str">
        <f>'18U_M_Classic'!L75&amp;"-"&amp;'18U_M_Classic'!C75&amp;"-"&amp;TEXT('18U_M_Classic'!B75,"h:mm am/pm")</f>
        <v>18BX-004-Group-7:00 AM</v>
      </c>
      <c r="AH4" s="359" t="str">
        <f>'18U_M_Classic'!L37&amp;"-"&amp;'18U_M_Classic'!C37&amp;"-"&amp;TEXT('18U_M_Classic'!B37,"h:mm am/pm")</f>
        <v>18BX-002-Group-7:00 AM</v>
      </c>
      <c r="AI4" s="359" t="str">
        <f>'18U_M_Classic'!L56&amp;"-"&amp;'18U_M_Classic'!C56&amp;"-"&amp;TEXT('18U_M_Classic'!B56,"h:mm am/pm")</f>
        <v>18BX-003-Group-7:00 AM</v>
      </c>
      <c r="AJ4" s="359" t="str">
        <f>'18U_M_Classic'!L18&amp;"-"&amp;'18U_M_Classic'!C18&amp;"-"&amp;TEXT('18U_M_Classic'!B18,"h:mm am/pm")</f>
        <v>18BX-001-Group-7:00 AM</v>
      </c>
      <c r="AK4" s="357" t="str">
        <f>'16U_M_Invite'!L45&amp;"-"&amp;'16U_M_Invite'!C45&amp;"-"&amp;TEXT('16U_M_Invite'!B45,"h:mm am/pm")</f>
        <v>16BQ-002-Group-7:00 AM</v>
      </c>
      <c r="AL4" s="358" t="str">
        <f>'14U_M_Classic'!L37&amp;"-"&amp;'14U_M_Classic'!C37&amp;"-"&amp;TEXT('14U_M_Classic'!B37,"h:mm am/pm")</f>
        <v>14BX-003-Group-7:00 AM</v>
      </c>
      <c r="AM4" s="357" t="str">
        <f>'16U_M_Invite'!L64&amp;"-"&amp;'16U_M_Invite'!C64&amp;"-"&amp;TEXT('16U_M_Invite'!B64,"h:mm am/pm")</f>
        <v>16BQ-003-Group-7:00 AM</v>
      </c>
      <c r="AN4" s="360" t="str">
        <f>'16U_M_Classic'!L56&amp;"-"&amp;'16U_M_Classic'!C56&amp;"-"&amp;TEXT('16U_M_Classic'!B56,"h:mm am/pm")</f>
        <v>16BX-003-Group-7:00 AM</v>
      </c>
      <c r="AO4" s="360" t="str">
        <f>'16U_M_Classic'!L75&amp;"-"&amp;'16U_M_Classic'!C75&amp;"-"&amp;TEXT('16U_M_Classic'!B75,"h:mm am/pm")</f>
        <v>16BX-004-Group-7:00 AM</v>
      </c>
      <c r="AP4" s="360" t="str">
        <f>'16U_M_Classic'!L18&amp;"-"&amp;'16U_M_Classic'!C18&amp;"-"&amp;TEXT('16U_M_Classic'!B18,"h:mm am/pm")</f>
        <v>16BX-001-Group-7:00 AM</v>
      </c>
      <c r="AQ4" s="360" t="str">
        <f>'16U_M_Classic'!L37&amp;"-"&amp;'16U_M_Classic'!C37&amp;"-"&amp;TEXT('16U_M_Classic'!B37,"h:mm am/pm")</f>
        <v>16BX-002-Group-7:00 AM</v>
      </c>
      <c r="AR4" s="49"/>
      <c r="AS4" s="361" t="str">
        <f>'18U_M_INVITE_NEW_23'!L36&amp;"-"&amp;'18U_M_INVITE_NEW_23'!C36&amp;"-"&amp;TEXT('18U_M_INVITE_NEW_23'!B36,"h:mm am/pm")</f>
        <v>18BQ-002-Group-7:00 AM</v>
      </c>
      <c r="AT4" s="361" t="str">
        <f>'18U_M_INVITE_NEW_23'!L17&amp;"-"&amp;'18U_M_INVITE_NEW_23'!C17&amp;"-"&amp;TEXT('18U_M_INVITE_NEW_23'!B17,"h:mm am/pm")</f>
        <v>18BQ-001-Group-7:00 AM</v>
      </c>
      <c r="AU4" s="353">
        <v>0.29166666666666669</v>
      </c>
      <c r="AV4" s="362" t="str">
        <f>'16U_M_Champ'!L18&amp;"-"&amp;'16U_M_Champ'!C18&amp;"-"&amp;TEXT('16U_M_Champ'!B18,"h:mm am/pm")</f>
        <v>16B-001-Group-7:00 AM</v>
      </c>
      <c r="AW4" s="362" t="str">
        <f>'16U_M_Champ'!L37&amp;"-"&amp;'16U_M_Champ'!C37&amp;"-"&amp;TEXT('16U_M_Champ'!B37,"h:mm am/pm")</f>
        <v>16B-002-Group-7:00 AM</v>
      </c>
      <c r="AX4" s="362" t="str">
        <f>'16U_M_Champ'!L56&amp;"-"&amp;'16U_M_Champ'!C56&amp;"-"&amp;TEXT('16U_M_Champ'!B56,"h:mm am/pm")</f>
        <v>16B-003-Group-7:00 AM</v>
      </c>
      <c r="AY4" s="362" t="str">
        <f>'16U_M_Champ'!L75&amp;"-"&amp;'16U_M_Champ'!C75&amp;"-"&amp;TEXT('16U_M_Champ'!B75,"h:mm am/pm")</f>
        <v>16B-004-Group-7:00 AM</v>
      </c>
      <c r="AZ4" s="49"/>
      <c r="BA4" s="353">
        <v>0.29166666666666669</v>
      </c>
      <c r="BB4" s="363" t="str">
        <f>'18U_M_Champ'!L18&amp;"-"&amp;'18U_M_Champ'!C18&amp;"-"&amp;TEXT('18U_M_Champ'!B18,"h:mm am/pm")</f>
        <v>18B-001-Group-7:00 AM</v>
      </c>
      <c r="BC4" s="363" t="str">
        <f>'18U_M_Champ'!L66&amp;"-"&amp;'18U_M_Champ'!C66&amp;"-"&amp;TEXT('18U_M_Champ'!B66,"h:mm am/pm")</f>
        <v>18B-003-Group-7:00 AM</v>
      </c>
      <c r="BD4" s="363" t="str">
        <f>'18U_M_Champ'!L34&amp;"-"&amp;'18U_M_Champ'!C34&amp;"-"&amp;TEXT('18U_M_Champ'!B34,"h:mm am/pm")</f>
        <v>18B-002-Group-7:00 AM</v>
      </c>
      <c r="BE4" s="363" t="str">
        <f>'18U_M_Champ'!L50&amp;"-"&amp;'18U_M_Champ'!C50&amp;"-"&amp;TEXT('18U_M_Champ'!B50,"h:mm am/pm")</f>
        <v>18B-004-Group-7:00 AM</v>
      </c>
      <c r="BF4" s="363" t="str">
        <f>'18U_M_Champ'!L82&amp;"-"&amp;'18U_M_Champ'!C82&amp;"-"&amp;TEXT('18U_M_Champ'!B82,"h:mm am/pm")</f>
        <v>18B-005-Group-7:00 AM</v>
      </c>
    </row>
    <row r="5" spans="1:61">
      <c r="A5" s="353">
        <v>0.3263888888888889</v>
      </c>
      <c r="B5" s="55" t="str">
        <f>'10U_M_Champ_35'!L57&amp;"-"&amp;'10U_M_Champ_35'!C57&amp;"-"&amp;TEXT('10U_M_Champ_35'!B57,"h:mm am/pm")</f>
        <v>10B-006-Group J-7:50 AM</v>
      </c>
      <c r="C5" s="55" t="str">
        <f>'10U_M_Champ_35'!L17&amp;"-"&amp;'10U_M_Champ_35'!C17&amp;"-"&amp;TEXT('10U_M_Champ_35'!B17,"h:mm am/pm")</f>
        <v>10B-004-Group B-7:50 AM</v>
      </c>
      <c r="D5" s="55" t="str">
        <f>'10U_M_Champ_35'!L37&amp;"-"&amp;'10U_M_Champ_35'!C37&amp;"-"&amp;TEXT('10U_M_Champ_35'!B37,"h:mm am/pm")</f>
        <v>10B-005-Group G-7:50 AM</v>
      </c>
      <c r="E5" s="354" t="str">
        <f>'12U_M_Classic_53'!L69&amp;"-"&amp;'12U_M_Classic_53'!C69&amp;"-"&amp;TEXT('12U_M_Classic_53'!B69,"h:mm am/pm")</f>
        <v>12BX-007-Group-7:50 AM</v>
      </c>
      <c r="F5" s="354" t="str">
        <f>'12U_M_Classic_53'!L89&amp;"-"&amp;'12U_M_Classic_53'!C89&amp;"-"&amp;TEXT('12U_M_Classic_53'!B89,"h:mm am/pm")</f>
        <v>12BX-008-Group-7:50 AM</v>
      </c>
      <c r="G5" s="354" t="str">
        <f>'12U_M_Classic_53'!L109&amp;"-"&amp;'12U_M_Classic_53'!C109&amp;"-"&amp;TEXT('12U_M_Classic_53'!B109,"h:mm am/pm")</f>
        <v>12BX-13A-Group-7:50 AM</v>
      </c>
      <c r="H5" s="354" t="str">
        <f>'12U_M_Classic_53'!L30&amp;"-"&amp;'12U_M_Classic_53'!C30&amp;"-"&amp;TEXT('12U_M_Classic_53'!B30,"h:mm am/pm")</f>
        <v>12BX-5A-Group-7:50 AM</v>
      </c>
      <c r="I5" s="353">
        <v>0.3263888888888889</v>
      </c>
      <c r="J5" s="354" t="str">
        <f>'12U_M_Classic_53'!L49&amp;"-"&amp;'12U_M_Classic_53'!C49&amp;"-"&amp;TEXT('12U_M_Classic_53'!B49,"h:mm am/pm")</f>
        <v>12BX-006-Group-7:50 AM</v>
      </c>
      <c r="K5" s="353">
        <v>0.3263888888888889</v>
      </c>
      <c r="L5" s="56" t="str">
        <f>'12U_M_Champ'!L19&amp;"-"&amp;'12U_M_Champ'!C19&amp;"-"&amp;TEXT('12U_M_Champ'!B19,"h:mm am/pm")</f>
        <v>12B-005-Group-7:50 AM</v>
      </c>
      <c r="M5" s="56" t="str">
        <f>'12U_M_Champ'!L38&amp;"-"&amp;'12U_M_Champ'!C38&amp;"-"&amp;TEXT('12U_M_Champ'!B38,"h:mm am/pm")</f>
        <v>12B-006-Group-7:50 AM</v>
      </c>
      <c r="N5" s="56" t="str">
        <f>'12U_M_Champ'!L57&amp;"-"&amp;'12U_M_Champ'!C57&amp;"-"&amp;TEXT('12U_M_Champ'!B57,"h:mm am/pm")</f>
        <v>12B-007-Group-7:50 AM</v>
      </c>
      <c r="O5" s="56" t="str">
        <f>'12U_M_Champ'!L76&amp;"-"&amp;'12U_M_Champ'!C76&amp;"-"&amp;TEXT('12U_M_Champ'!B76,"h:mm am/pm")</f>
        <v>12B-008-Group-7:50 AM</v>
      </c>
      <c r="P5" s="353">
        <v>0.3263888888888889</v>
      </c>
      <c r="Q5" s="355" t="str">
        <f>'14U_M_Champ'!L19&amp;"-"&amp;'14U_M_Champ'!C19&amp;"-"&amp;TEXT('14U_M_Champ'!B19,"h:mm am/pm")</f>
        <v>14B-005-Group-7:50 AM</v>
      </c>
      <c r="R5" s="355" t="str">
        <f>'14U_M_Champ'!L38&amp;"-"&amp;'14U_M_Champ'!C38&amp;"-"&amp;TEXT('14U_M_Champ'!B38,"h:mm am/pm")</f>
        <v>14B-006-Group-7:50 AM</v>
      </c>
      <c r="S5" s="355" t="str">
        <f>'14U_M_Champ'!L57&amp;"-"&amp;'14U_M_Champ'!C57&amp;"-"&amp;TEXT('14U_M_Champ'!B57,"h:mm am/pm")</f>
        <v>14B-007-Group-7:50 AM</v>
      </c>
      <c r="T5" s="355" t="str">
        <f>'14U_M_Champ'!L76&amp;"-"&amp;'14U_M_Champ'!C76&amp;"-"&amp;TEXT('14U_M_Champ'!B76,"h:mm am/pm")</f>
        <v>14B-008-Group-7:50 AM</v>
      </c>
      <c r="U5" s="356" t="str">
        <f>'14U_M_Invite_36'!L57&amp;"-"&amp;'14U_M_Invite_36'!C57&amp;"-"&amp;TEXT('14U_M_Invite_36'!B57,"h:mm am/pm")</f>
        <v>14BQ-006-Group J-7:50 AM</v>
      </c>
      <c r="V5" s="356" t="str">
        <f>'14U_M_Invite_36'!L37&amp;"-"&amp;'14U_M_Invite_36'!C37&amp;"-"&amp;TEXT('14U_M_Invite_36'!B37,"h:mm am/pm")</f>
        <v>14BQ-005-Group G-7:50 AM</v>
      </c>
      <c r="W5" s="356" t="str">
        <f>'14U_M_Invite_36'!L17&amp;"-"&amp;'14U_M_Invite_36'!C17&amp;"-"&amp;TEXT('14U_M_Invite_36'!B17,"h:mm am/pm")</f>
        <v>14BQ-004-Group B-7:50 AM</v>
      </c>
      <c r="X5" s="353">
        <v>0.3263888888888889</v>
      </c>
      <c r="Y5" s="49"/>
      <c r="Z5" s="357" t="str">
        <f>'16U_M_Invite'!L84&amp;"-"&amp;'16U_M_Invite'!C84&amp;"-"&amp;TEXT('16U_M_Invite'!B84,"h:mm am/pm")</f>
        <v>16BQ-008-Group-7:50 AM</v>
      </c>
      <c r="AA5" s="358" t="str">
        <f>'14U_M_Classic'!L19&amp;"-"&amp;'14U_M_Classic'!C19&amp;"-"&amp;TEXT('14U_M_Classic'!B19,"h:mm am/pm")</f>
        <v>14BX-008-Group-7:50 AM</v>
      </c>
      <c r="AB5" s="358" t="str">
        <f>'14U_M_Classic'!L57&amp;"-"&amp;'14U_M_Classic'!C57&amp;"-"&amp;TEXT('14U_M_Classic'!B57,"h:mm am/pm")</f>
        <v>14BX-006-Group-7:50 AM</v>
      </c>
      <c r="AC5" s="358" t="str">
        <f>'14U_M_Classic'!L79&amp;"-"&amp;'14U_M_Classic'!C79&amp;"-"&amp;TEXT('14U_M_Classic'!B79,"h:mm am/pm")</f>
        <v>14BX-005-Group-7:50 AM</v>
      </c>
      <c r="AD5" s="49"/>
      <c r="AE5" s="49"/>
      <c r="AF5" s="357" t="str">
        <f>'16U_M_Invite'!L19&amp;"-"&amp;'16U_M_Invite'!C19&amp;"-"&amp;TEXT('16U_M_Invite'!B19,"h:mm am/pm")</f>
        <v>16BQ-005-Group-7:50 AM</v>
      </c>
      <c r="AG5" s="359" t="str">
        <f>'18U_M_Classic'!L76&amp;"-"&amp;'18U_M_Classic'!C76&amp;"-"&amp;TEXT('18U_M_Classic'!B76,"h:mm am/pm")</f>
        <v>18BX-008-Group-7:50 AM</v>
      </c>
      <c r="AH5" s="359" t="str">
        <f>'18U_M_Classic'!L38&amp;"-"&amp;'18U_M_Classic'!C38&amp;"-"&amp;TEXT('18U_M_Classic'!B38,"h:mm am/pm")</f>
        <v>18BX-006-Group-7:50 AM</v>
      </c>
      <c r="AI5" s="359" t="str">
        <f>'18U_M_Classic'!L57&amp;"-"&amp;'18U_M_Classic'!C57&amp;"-"&amp;TEXT('18U_M_Classic'!B57,"h:mm am/pm")</f>
        <v>18BX-007-Group-7:50 AM</v>
      </c>
      <c r="AJ5" s="359" t="str">
        <f>'18U_M_Classic'!L19&amp;"-"&amp;'18U_M_Classic'!C19&amp;"-"&amp;TEXT('18U_M_Classic'!B19,"h:mm am/pm")</f>
        <v>18BX-005-Group-7:50 AM</v>
      </c>
      <c r="AK5" s="357" t="str">
        <f>'16U_M_Invite'!L46&amp;"-"&amp;'16U_M_Invite'!C46&amp;"-"&amp;TEXT('16U_M_Invite'!B46,"h:mm am/pm")</f>
        <v>16BQ-006-Group-7:50 AM</v>
      </c>
      <c r="AL5" s="358" t="str">
        <f>'14U_M_Classic'!L38&amp;"-"&amp;'14U_M_Classic'!C38&amp;"-"&amp;TEXT('14U_M_Classic'!B38,"h:mm am/pm")</f>
        <v>14BX-007-Group-7:50 AM</v>
      </c>
      <c r="AM5" s="357" t="str">
        <f>'16U_M_Invite'!L65&amp;"-"&amp;'16U_M_Invite'!C65&amp;"-"&amp;TEXT('16U_M_Invite'!B65,"h:mm am/pm")</f>
        <v>16BQ-007-Group-7:50 AM</v>
      </c>
      <c r="AN5" s="360" t="str">
        <f>'16U_M_Classic'!L57&amp;"-"&amp;'16U_M_Classic'!C57&amp;"-"&amp;TEXT('16U_M_Classic'!B57,"h:mm am/pm")</f>
        <v>16BX-007-Group-7:50 AM</v>
      </c>
      <c r="AO5" s="360" t="str">
        <f>'16U_M_Classic'!L76&amp;"-"&amp;'16U_M_Classic'!C76&amp;"-"&amp;TEXT('16U_M_Classic'!B76,"h:mm am/pm")</f>
        <v>16BX-008-Group-7:50 AM</v>
      </c>
      <c r="AP5" s="360" t="str">
        <f>'16U_M_Classic'!L19&amp;"-"&amp;'16U_M_Classic'!C19&amp;"-"&amp;TEXT('16U_M_Classic'!B19,"h:mm am/pm")</f>
        <v>16BX-005-Group-7:50 AM</v>
      </c>
      <c r="AQ5" s="360" t="str">
        <f>'16U_M_Classic'!L38&amp;"-"&amp;'16U_M_Classic'!C38&amp;"-"&amp;TEXT('16U_M_Classic'!B38,"h:mm am/pm")</f>
        <v>16BX-006-Group-7:50 AM</v>
      </c>
      <c r="AR5" s="49"/>
      <c r="AS5" s="361" t="str">
        <f>'18U_M_INVITE_NEW_23'!L37&amp;"-"&amp;'18U_M_INVITE_NEW_23'!C37&amp;"-"&amp;TEXT('18U_M_INVITE_NEW_23'!B37,"h:mm am/pm")</f>
        <v>18BQ-004-Group-7:50 AM</v>
      </c>
      <c r="AT5" s="361" t="str">
        <f>'18U_M_INVITE_NEW_23'!L18&amp;"-"&amp;'18U_M_INVITE_NEW_23'!C18&amp;"-"&amp;TEXT('18U_M_INVITE_NEW_23'!B18,"h:mm am/pm")</f>
        <v>18BQ-003-Group-7:50 AM</v>
      </c>
      <c r="AU5" s="353">
        <v>0.3263888888888889</v>
      </c>
      <c r="AV5" s="362" t="str">
        <f>'16U_M_Champ'!L19&amp;"-"&amp;'16U_M_Champ'!C19&amp;"-"&amp;TEXT('16U_M_Champ'!B19,"h:mm am/pm")</f>
        <v>16B-005-Group-7:50 AM</v>
      </c>
      <c r="AW5" s="362" t="str">
        <f>'16U_M_Champ'!L38&amp;"-"&amp;'16U_M_Champ'!C38&amp;"-"&amp;TEXT('16U_M_Champ'!B38,"h:mm am/pm")</f>
        <v>16B-006-Group-7:50 AM</v>
      </c>
      <c r="AX5" s="362" t="str">
        <f>'16U_M_Champ'!L57&amp;"-"&amp;'16U_M_Champ'!C57&amp;"-"&amp;TEXT('16U_M_Champ'!B57,"h:mm am/pm")</f>
        <v>16B-007-Group-7:50 AM</v>
      </c>
      <c r="AY5" s="362" t="str">
        <f>'16U_M_Champ'!L76&amp;"-"&amp;'16U_M_Champ'!C76&amp;"-"&amp;TEXT('16U_M_Champ'!B76,"h:mm am/pm")</f>
        <v>16B-008-Group-7:50 AM</v>
      </c>
      <c r="AZ5" s="49"/>
      <c r="BA5" s="353">
        <v>0.33333333333333298</v>
      </c>
      <c r="BB5" s="363" t="str">
        <f>'18U_M_Champ'!L19&amp;"-"&amp;'18U_M_Champ'!C19&amp;"-"&amp;TEXT('18U_M_Champ'!B19,"h:mm am/pm")</f>
        <v>18B-006-Group-8:00 AM</v>
      </c>
      <c r="BC5" s="363" t="str">
        <f>'18U_M_Champ'!L67&amp;"-"&amp;'18U_M_Champ'!C67&amp;"-"&amp;TEXT('18U_M_Champ'!B67,"h:mm am/pm")</f>
        <v>18B-009-Group-8:00 AM</v>
      </c>
      <c r="BD5" s="363" t="str">
        <f>'18U_M_Champ'!L35&amp;"-"&amp;'18U_M_Champ'!C35&amp;"-"&amp;TEXT('18U_M_Champ'!B35,"h:mm am/pm")</f>
        <v>18B-007-Group-8:00 AM</v>
      </c>
      <c r="BE5" s="363" t="str">
        <f>'18U_M_Champ'!L51&amp;"-"&amp;'18U_M_Champ'!C51&amp;"-"&amp;TEXT('18U_M_Champ'!B51,"h:mm am/pm")</f>
        <v>18B-008-Group-8:00 AM</v>
      </c>
      <c r="BF5" s="363" t="str">
        <f>'18U_M_Champ'!L83&amp;"-"&amp;'18U_M_Champ'!C83&amp;"-"&amp;TEXT('18U_M_Champ'!B83,"h:mm am/pm")</f>
        <v>18B-010-Group-8:00 AM</v>
      </c>
    </row>
    <row r="6" spans="1:61">
      <c r="A6" s="353">
        <v>0.36111111111111099</v>
      </c>
      <c r="B6" s="55" t="str">
        <f>'10U_M_Champ_35'!L58&amp;"-"&amp;'10U_M_Champ_35'!C58&amp;"-"&amp;TEXT('10U_M_Champ_35'!B58,"h:mm am/pm")</f>
        <v>10B-012-Group L-8:40 AM</v>
      </c>
      <c r="C6" s="55" t="str">
        <f>'10U_M_Champ_35'!L18&amp;"-"&amp;'10U_M_Champ_35'!C18&amp;"-"&amp;TEXT('10U_M_Champ_35'!B18,"h:mm am/pm")</f>
        <v>10B-007-Group C-8:40 AM</v>
      </c>
      <c r="D6" s="55" t="str">
        <f>'10U_M_Champ_35'!L38&amp;"-"&amp;'10U_M_Champ_35'!C38&amp;"-"&amp;TEXT('10U_M_Champ_35'!B38,"h:mm am/pm")</f>
        <v>10B-008-Group F-8:40 AM</v>
      </c>
      <c r="E6" s="354" t="str">
        <f>'12U_M_Classic_53'!L70&amp;"-"&amp;'12U_M_Classic_53'!C70&amp;"-"&amp;TEXT('12U_M_Classic_53'!B70,"h:mm am/pm")</f>
        <v>12BX-012-Group-8:40 AM</v>
      </c>
      <c r="F6" s="354" t="str">
        <f>'12U_M_Classic_53'!L90&amp;"-"&amp;'12U_M_Classic_53'!C90&amp;"-"&amp;TEXT('12U_M_Classic_53'!B90,"h:mm am/pm")</f>
        <v>12BX-017-Group-8:40 AM</v>
      </c>
      <c r="G6" s="354" t="str">
        <f>'12U_M_Classic_53'!L110&amp;"-"&amp;'12U_M_Classic_53'!C110&amp;"-"&amp;TEXT('12U_M_Classic_53'!B110,"h:mm am/pm")</f>
        <v>12BX-004-Group-8:40 AM</v>
      </c>
      <c r="H6" s="354" t="str">
        <f>'12U_M_Classic_53'!L31&amp;"-"&amp;'12U_M_Classic_53'!C31&amp;"-"&amp;TEXT('12U_M_Classic_53'!B31,"h:mm am/pm")</f>
        <v>12BX-010-Group-8:40 AM</v>
      </c>
      <c r="I6" s="353">
        <v>0.36111111111111099</v>
      </c>
      <c r="J6" s="354" t="str">
        <f>'12U_M_Classic_53'!L50&amp;"-"&amp;'12U_M_Classic_53'!C50&amp;"-"&amp;TEXT('12U_M_Classic_53'!B50,"h:mm am/pm")</f>
        <v>12BX-011-Group-8:40 AM</v>
      </c>
      <c r="K6" s="353">
        <v>0.36111111111111099</v>
      </c>
      <c r="L6" s="56" t="str">
        <f>'12U_M_Champ'!L20&amp;"-"&amp;'12U_M_Champ'!C20&amp;"-"&amp;TEXT('12U_M_Champ'!B20,"h:mm am/pm")</f>
        <v>12B-009-Group-8:40 AM</v>
      </c>
      <c r="M6" s="56" t="str">
        <f>'12U_M_Champ'!L39&amp;"-"&amp;'12U_M_Champ'!C39&amp;"-"&amp;TEXT('12U_M_Champ'!B39,"h:mm am/pm")</f>
        <v>12B-010-Group-8:40 AM</v>
      </c>
      <c r="N6" s="56" t="str">
        <f>'12U_M_Champ'!L58&amp;"-"&amp;'12U_M_Champ'!C58&amp;"-"&amp;TEXT('12U_M_Champ'!B58,"h:mm am/pm")</f>
        <v>12B-011-Group-8:40 AM</v>
      </c>
      <c r="O6" s="56" t="str">
        <f>'12U_M_Champ'!L77&amp;"-"&amp;'12U_M_Champ'!C77&amp;"-"&amp;TEXT('12U_M_Champ'!B77,"h:mm am/pm")</f>
        <v>12B-012-Group-8:40 AM</v>
      </c>
      <c r="P6" s="353">
        <v>0.36111111111111099</v>
      </c>
      <c r="Q6" s="355" t="str">
        <f>'14U_M_Champ'!L20&amp;"-"&amp;'14U_M_Champ'!C20&amp;"-"&amp;TEXT('14U_M_Champ'!B20,"h:mm am/pm")</f>
        <v>14B-009-Group-8:40 AM</v>
      </c>
      <c r="R6" s="355" t="str">
        <f>'14U_M_Champ'!L39&amp;"-"&amp;'14U_M_Champ'!C39&amp;"-"&amp;TEXT('14U_M_Champ'!B39,"h:mm am/pm")</f>
        <v>14B-010-Group-8:40 AM</v>
      </c>
      <c r="S6" s="355" t="str">
        <f>'14U_M_Champ'!L58&amp;"-"&amp;'14U_M_Champ'!C58&amp;"-"&amp;TEXT('14U_M_Champ'!B58,"h:mm am/pm")</f>
        <v>14B-011-Group-8:40 AM</v>
      </c>
      <c r="T6" s="355" t="str">
        <f>'14U_M_Champ'!L77&amp;"-"&amp;'14U_M_Champ'!C77&amp;"-"&amp;TEXT('14U_M_Champ'!B77,"h:mm am/pm")</f>
        <v>14B-012-Group-8:40 AM</v>
      </c>
      <c r="U6" s="356" t="str">
        <f>'14U_M_Invite_36'!L58&amp;"-"&amp;'14U_M_Invite_36'!C58&amp;"-"&amp;TEXT('14U_M_Invite_36'!B58,"h:mm am/pm")</f>
        <v>14BQ-009-Group K-8:40 AM</v>
      </c>
      <c r="V6" s="356" t="str">
        <f>'14U_M_Invite_36'!L38&amp;"-"&amp;'14U_M_Invite_36'!C38&amp;"-"&amp;TEXT('14U_M_Invite_36'!B38,"h:mm am/pm")</f>
        <v>14BQ-008-Group F-8:40 AM</v>
      </c>
      <c r="W6" s="356" t="str">
        <f>'14U_M_Invite_36'!L18&amp;"-"&amp;'14U_M_Invite_36'!C18&amp;"-"&amp;TEXT('14U_M_Invite_36'!B18,"h:mm am/pm")</f>
        <v>14BQ-007-Group C-8:40 AM</v>
      </c>
      <c r="X6" s="353">
        <v>0.36111111111111099</v>
      </c>
      <c r="Y6" s="49"/>
      <c r="Z6" s="357" t="str">
        <f>'16U_M_Invite'!L85&amp;"-"&amp;'16U_M_Invite'!C85&amp;"-"&amp;TEXT('16U_M_Invite'!B85,"h:mm am/pm")</f>
        <v>16BQ-012-Group-8:40 AM</v>
      </c>
      <c r="AA6" s="358" t="str">
        <f>'14U_M_Classic'!L20&amp;"-"&amp;'14U_M_Classic'!C20&amp;"-"&amp;TEXT('14U_M_Classic'!B20,"h:mm am/pm")</f>
        <v>14BX-012-Group-8:40 AM</v>
      </c>
      <c r="AB6" s="358" t="str">
        <f>'14U_M_Classic'!L58&amp;"-"&amp;'14U_M_Classic'!C58&amp;"-"&amp;TEXT('14U_M_Classic'!B58,"h:mm am/pm")</f>
        <v>14BX-010-Group-8:40 AM</v>
      </c>
      <c r="AC6" s="358" t="str">
        <f>'14U_M_Classic'!L80&amp;"-"&amp;'14U_M_Classic'!C80&amp;"-"&amp;TEXT('14U_M_Classic'!B80,"h:mm am/pm")</f>
        <v>14BX-009-Group-8:40 AM</v>
      </c>
      <c r="AD6" s="49"/>
      <c r="AE6" s="49"/>
      <c r="AF6" s="357" t="str">
        <f>'16U_M_Invite'!L20&amp;"-"&amp;'16U_M_Invite'!C20&amp;"-"&amp;TEXT('16U_M_Invite'!B20,"h:mm am/pm")</f>
        <v>16BQ-009-Group-8:40 AM</v>
      </c>
      <c r="AG6" s="359" t="str">
        <f>'18U_M_Classic'!L77&amp;"-"&amp;'18U_M_Classic'!C77&amp;"-"&amp;TEXT('18U_M_Classic'!B77,"h:mm am/pm")</f>
        <v>18BX-012-Group-8:40 AM</v>
      </c>
      <c r="AH6" s="359" t="str">
        <f>'18U_M_Classic'!L39&amp;"-"&amp;'18U_M_Classic'!C39&amp;"-"&amp;TEXT('18U_M_Classic'!B39,"h:mm am/pm")</f>
        <v>18BX-010-Group-8:40 AM</v>
      </c>
      <c r="AI6" s="359" t="str">
        <f>'18U_M_Classic'!L58&amp;"-"&amp;'18U_M_Classic'!C58&amp;"-"&amp;TEXT('18U_M_Classic'!B58,"h:mm am/pm")</f>
        <v>18BX-011-Group-8:40 AM</v>
      </c>
      <c r="AJ6" s="359" t="str">
        <f>'18U_M_Classic'!L20&amp;"-"&amp;'18U_M_Classic'!C20&amp;"-"&amp;TEXT('18U_M_Classic'!B20,"h:mm am/pm")</f>
        <v>18BX-009-Group-8:40 AM</v>
      </c>
      <c r="AK6" s="357" t="str">
        <f>'16U_M_Invite'!L47&amp;"-"&amp;'16U_M_Invite'!C47&amp;"-"&amp;TEXT('16U_M_Invite'!B47,"h:mm am/pm")</f>
        <v>16BQ-010-Group-8:40 AM</v>
      </c>
      <c r="AL6" s="358" t="str">
        <f>'14U_M_Classic'!L39&amp;"-"&amp;'14U_M_Classic'!C39&amp;"-"&amp;TEXT('14U_M_Classic'!B39,"h:mm am/pm")</f>
        <v>14BX-011-Group-8:40 AM</v>
      </c>
      <c r="AM6" s="357" t="str">
        <f>'16U_M_Invite'!L66&amp;"-"&amp;'16U_M_Invite'!C66&amp;"-"&amp;TEXT('16U_M_Invite'!B66,"h:mm am/pm")</f>
        <v>16BQ-011-Group-8:40 AM</v>
      </c>
      <c r="AN6" s="360" t="str">
        <f>'16U_M_Classic'!L58&amp;"-"&amp;'16U_M_Classic'!C58&amp;"-"&amp;TEXT('16U_M_Classic'!B58,"h:mm am/pm")</f>
        <v>16BX-011-Group-8:40 AM</v>
      </c>
      <c r="AO6" s="360" t="str">
        <f>'16U_M_Classic'!L77&amp;"-"&amp;'16U_M_Classic'!C77&amp;"-"&amp;TEXT('16U_M_Classic'!B77,"h:mm am/pm")</f>
        <v>16BX-012-Group-8:40 AM</v>
      </c>
      <c r="AP6" s="360" t="str">
        <f>'16U_M_Classic'!L20&amp;"-"&amp;'16U_M_Classic'!C20&amp;"-"&amp;TEXT('16U_M_Classic'!B20,"h:mm am/pm")</f>
        <v>16BX-009-Group-8:40 AM</v>
      </c>
      <c r="AQ6" s="360" t="str">
        <f>'16U_M_Classic'!L39&amp;"-"&amp;'16U_M_Classic'!C39&amp;"-"&amp;TEXT('16U_M_Classic'!B39,"h:mm am/pm")</f>
        <v>16BX-010-Group-8:40 AM</v>
      </c>
      <c r="AR6" s="49"/>
      <c r="AS6" s="361" t="str">
        <f>'18U_M_INVITE_NEW_23'!L38&amp;"-"&amp;'18U_M_INVITE_NEW_23'!C38&amp;"-"&amp;TEXT('18U_M_INVITE_NEW_23'!B38,"h:mm am/pm")</f>
        <v>18BQ-006-Group-8:40 AM</v>
      </c>
      <c r="AT6" s="361" t="str">
        <f>'18U_M_INVITE_NEW_23'!L19&amp;"-"&amp;'18U_M_INVITE_NEW_23'!C19&amp;"-"&amp;TEXT('18U_M_INVITE_NEW_23'!B19,"h:mm am/pm")</f>
        <v>18BQ-005-Group-8:40 AM</v>
      </c>
      <c r="AU6" s="353">
        <v>0.36111111111111099</v>
      </c>
      <c r="AV6" s="362" t="str">
        <f>'16U_M_Champ'!L20&amp;"-"&amp;'16U_M_Champ'!C20&amp;"-"&amp;TEXT('16U_M_Champ'!B20,"h:mm am/pm")</f>
        <v>16B-009-Group-8:40 AM</v>
      </c>
      <c r="AW6" s="362" t="str">
        <f>'16U_M_Champ'!L39&amp;"-"&amp;'16U_M_Champ'!C39&amp;"-"&amp;TEXT('16U_M_Champ'!B39,"h:mm am/pm")</f>
        <v>16B-010-Group-8:40 AM</v>
      </c>
      <c r="AX6" s="362" t="str">
        <f>'16U_M_Champ'!L58&amp;"-"&amp;'16U_M_Champ'!C58&amp;"-"&amp;TEXT('16U_M_Champ'!B58,"h:mm am/pm")</f>
        <v>16B-011-Group-8:40 AM</v>
      </c>
      <c r="AY6" s="362" t="str">
        <f>'16U_M_Champ'!L77&amp;"-"&amp;'16U_M_Champ'!C77&amp;"-"&amp;TEXT('16U_M_Champ'!B77,"h:mm am/pm")</f>
        <v>16B-012-Group-8:40 AM</v>
      </c>
      <c r="AZ6" s="49"/>
      <c r="BA6" s="353">
        <v>0.375</v>
      </c>
      <c r="BB6" s="363" t="str">
        <f>'18U_M_Champ'!L20&amp;"-"&amp;'18U_M_Champ'!C20&amp;"-"&amp;TEXT('18U_M_Champ'!B20,"h:mm am/pm")</f>
        <v>18B-011-Group-9:00 AM</v>
      </c>
      <c r="BC6" s="363" t="str">
        <f>'18U_M_Champ'!L68&amp;"-"&amp;'18U_M_Champ'!C68&amp;"-"&amp;TEXT('18U_M_Champ'!B68,"h:mm am/pm")</f>
        <v>18B-014-Group-9:00 AM</v>
      </c>
      <c r="BD6" s="363" t="str">
        <f>'18U_M_Champ'!L36&amp;"-"&amp;'18U_M_Champ'!C36&amp;"-"&amp;TEXT('18U_M_Champ'!B36,"h:mm am/pm")</f>
        <v>18B-012-Group-9:00 AM</v>
      </c>
      <c r="BE6" s="363" t="str">
        <f>'18U_M_Champ'!L52&amp;"-"&amp;'18U_M_Champ'!C52&amp;"-"&amp;TEXT('18U_M_Champ'!B52,"h:mm am/pm")</f>
        <v>18B-013-Group-9:00 AM</v>
      </c>
      <c r="BF6" s="363" t="str">
        <f>'18U_M_Champ'!L84&amp;"-"&amp;'18U_M_Champ'!C84&amp;"-"&amp;TEXT('18U_M_Champ'!B84,"h:mm am/pm")</f>
        <v>18B-015-Group-9:00 AM</v>
      </c>
    </row>
    <row r="7" spans="1:61">
      <c r="A7" s="353">
        <v>0.39583333333333398</v>
      </c>
      <c r="B7" s="55" t="str">
        <f>'10U_M_Champ_35'!L59&amp;"-"&amp;'10U_M_Champ_35'!C59&amp;"-"&amp;TEXT('10U_M_Champ_35'!B59,"h:mm am/pm")</f>
        <v>10B-015-Group I-9:30 AM</v>
      </c>
      <c r="C7" s="55" t="str">
        <f>'10U_M_Champ_35'!L19&amp;"-"&amp;'10U_M_Champ_35'!C19&amp;"-"&amp;TEXT('10U_M_Champ_35'!B19,"h:mm am/pm")</f>
        <v>10B-010-Group D-9:30 AM</v>
      </c>
      <c r="D7" s="55" t="str">
        <f>'10U_M_Champ_35'!L39&amp;"-"&amp;'10U_M_Champ_35'!C39&amp;"-"&amp;TEXT('10U_M_Champ_35'!B39,"h:mm am/pm")</f>
        <v>10B-011-Group E-9:30 AM</v>
      </c>
      <c r="E7" s="354" t="str">
        <f>'12U_M_Classic_53'!L71&amp;"-"&amp;'12U_M_Classic_53'!C71&amp;"-"&amp;TEXT('12U_M_Classic_53'!B71,"h:mm am/pm")</f>
        <v>12BX-016-Group-9:30 AM</v>
      </c>
      <c r="F7" s="354" t="str">
        <f>'12U_M_Classic_53'!L91&amp;"-"&amp;'12U_M_Classic_53'!C91&amp;"-"&amp;TEXT('12U_M_Classic_53'!B91,"h:mm am/pm")</f>
        <v>12BX-022-Group-9:30 AM</v>
      </c>
      <c r="G7" s="354" t="str">
        <f>'12U_M_Classic_53'!L111&amp;"-"&amp;'12U_M_Classic_53'!C111&amp;"-"&amp;TEXT('12U_M_Classic_53'!B111,"h:mm am/pm")</f>
        <v>12BX-009-Group-9:30 AM</v>
      </c>
      <c r="H7" s="354" t="str">
        <f>'12U_M_Classic_53'!L32&amp;"-"&amp;'12U_M_Classic_53'!C32&amp;"-"&amp;TEXT('12U_M_Classic_53'!B32,"h:mm am/pm")</f>
        <v>12BX-015-Group-9:30 AM</v>
      </c>
      <c r="I7" s="353">
        <v>0.39583333333333398</v>
      </c>
      <c r="J7" s="354" t="str">
        <f>'12U_M_Classic_53'!L51&amp;"-"&amp;'12U_M_Classic_53'!C51&amp;"-"&amp;TEXT('12U_M_Classic_53'!B51,"h:mm am/pm")</f>
        <v>12BX-019-Group-9:30 AM</v>
      </c>
      <c r="K7" s="353">
        <v>0.39583333333333398</v>
      </c>
      <c r="L7" s="56" t="str">
        <f>'12U_M_Champ'!L21&amp;"-"&amp;'12U_M_Champ'!C21&amp;"-"&amp;TEXT('12U_M_Champ'!B21,"h:mm am/pm")</f>
        <v>12B-013-Group-9:30 AM</v>
      </c>
      <c r="M7" s="56" t="str">
        <f>'12U_M_Champ'!L40&amp;"-"&amp;'12U_M_Champ'!C40&amp;"-"&amp;TEXT('12U_M_Champ'!B40,"h:mm am/pm")</f>
        <v>12B-014-Group-9:30 AM</v>
      </c>
      <c r="N7" s="56" t="str">
        <f>'12U_M_Champ'!L59&amp;"-"&amp;'12U_M_Champ'!C59&amp;"-"&amp;TEXT('12U_M_Champ'!B59,"h:mm am/pm")</f>
        <v>12B-015-Group-9:30 AM</v>
      </c>
      <c r="O7" s="56" t="str">
        <f>'12U_M_Champ'!L78&amp;"-"&amp;'12U_M_Champ'!C78&amp;"-"&amp;TEXT('12U_M_Champ'!B78,"h:mm am/pm")</f>
        <v>12B-016-Group-9:30 AM</v>
      </c>
      <c r="P7" s="353">
        <v>0.39583333333333398</v>
      </c>
      <c r="Q7" s="355" t="str">
        <f>'14U_M_Champ'!L21&amp;"-"&amp;'14U_M_Champ'!C21&amp;"-"&amp;TEXT('14U_M_Champ'!B21,"h:mm am/pm")</f>
        <v>14B-013-Group-9:30 AM</v>
      </c>
      <c r="R7" s="355" t="str">
        <f>'14U_M_Champ'!L40&amp;"-"&amp;'14U_M_Champ'!C40&amp;"-"&amp;TEXT('14U_M_Champ'!B40,"h:mm am/pm")</f>
        <v>14B-014-Group-9:30 AM</v>
      </c>
      <c r="S7" s="355" t="str">
        <f>'14U_M_Champ'!L59&amp;"-"&amp;'14U_M_Champ'!C59&amp;"-"&amp;TEXT('14U_M_Champ'!B59,"h:mm am/pm")</f>
        <v>14B-015-Group-9:30 AM</v>
      </c>
      <c r="T7" s="355" t="str">
        <f>'14U_M_Champ'!L78&amp;"-"&amp;'14U_M_Champ'!C78&amp;"-"&amp;TEXT('14U_M_Champ'!B78,"h:mm am/pm")</f>
        <v>14B-016-Group-9:30 AM</v>
      </c>
      <c r="U7" s="356" t="str">
        <f>'14U_M_Invite_36'!L59&amp;"-"&amp;'14U_M_Invite_36'!C59&amp;"-"&amp;TEXT('14U_M_Invite_36'!B59,"h:mm am/pm")</f>
        <v>14BQ-012-Group L-9:30 AM</v>
      </c>
      <c r="V7" s="356" t="str">
        <f>'14U_M_Invite_36'!L39&amp;"-"&amp;'14U_M_Invite_36'!C39&amp;"-"&amp;TEXT('14U_M_Invite_36'!B39,"h:mm am/pm")</f>
        <v>14BQ-011-Group E-9:30 AM</v>
      </c>
      <c r="W7" s="356" t="str">
        <f>'14U_M_Invite_36'!L19&amp;"-"&amp;'14U_M_Invite_36'!C19&amp;"-"&amp;TEXT('14U_M_Invite_36'!B19,"h:mm am/pm")</f>
        <v>14BQ-010-Group D-9:30 AM</v>
      </c>
      <c r="X7" s="353">
        <v>0.39583333333333398</v>
      </c>
      <c r="Y7" s="49"/>
      <c r="Z7" s="357" t="str">
        <f>'16U_M_Invite'!L86&amp;"-"&amp;'16U_M_Invite'!C86&amp;"-"&amp;TEXT('16U_M_Invite'!B86,"h:mm am/pm")</f>
        <v>16BQ-016-Group-9:30 AM</v>
      </c>
      <c r="AA7" s="358" t="str">
        <f>'14U_M_Classic'!L21&amp;"-"&amp;'14U_M_Classic'!C21&amp;"-"&amp;TEXT('14U_M_Classic'!B21,"h:mm am/pm")</f>
        <v>14BX-016-Group-9:30 AM</v>
      </c>
      <c r="AB7" s="358" t="str">
        <f>'14U_M_Classic'!L59&amp;"-"&amp;'14U_M_Classic'!C59&amp;"-"&amp;TEXT('14U_M_Classic'!B59,"h:mm am/pm")</f>
        <v>14BX-014-Group-9:30 AM</v>
      </c>
      <c r="AC7" s="358" t="str">
        <f>'14U_M_Classic'!L81&amp;"-"&amp;'14U_M_Classic'!C81&amp;"-"&amp;TEXT('14U_M_Classic'!B81,"h:mm am/pm")</f>
        <v>14BX-013-Group-9:30 AM</v>
      </c>
      <c r="AD7" s="49"/>
      <c r="AE7" s="49"/>
      <c r="AF7" s="357" t="str">
        <f>'16U_M_Invite'!L21&amp;"-"&amp;'16U_M_Invite'!C21&amp;"-"&amp;TEXT('16U_M_Invite'!B21,"h:mm am/pm")</f>
        <v>16BQ-013-Group-9:30 AM</v>
      </c>
      <c r="AG7" s="359" t="str">
        <f>'18U_M_Classic'!L78&amp;"-"&amp;'18U_M_Classic'!C78&amp;"-"&amp;TEXT('18U_M_Classic'!B78,"h:mm am/pm")</f>
        <v>18BX-016-Group-9:30 AM</v>
      </c>
      <c r="AH7" s="359" t="str">
        <f>'18U_M_Classic'!L40&amp;"-"&amp;'18U_M_Classic'!C40&amp;"-"&amp;TEXT('18U_M_Classic'!B40,"h:mm am/pm")</f>
        <v>18BX-014-Group-9:30 AM</v>
      </c>
      <c r="AI7" s="359" t="str">
        <f>'18U_M_Classic'!L59&amp;"-"&amp;'18U_M_Classic'!C59&amp;"-"&amp;TEXT('18U_M_Classic'!B59,"h:mm am/pm")</f>
        <v>18BX-015-Group-9:30 AM</v>
      </c>
      <c r="AJ7" s="359" t="str">
        <f>'18U_M_Classic'!L21&amp;"-"&amp;'18U_M_Classic'!C21&amp;"-"&amp;TEXT('18U_M_Classic'!B21,"h:mm am/pm")</f>
        <v>18BX-013-Group-9:30 AM</v>
      </c>
      <c r="AK7" s="357" t="str">
        <f>'16U_M_Invite'!L48&amp;"-"&amp;'16U_M_Invite'!C48&amp;"-"&amp;TEXT('16U_M_Invite'!B48,"h:mm am/pm")</f>
        <v>16BQ-014-Group-9:30 AM</v>
      </c>
      <c r="AL7" s="358" t="str">
        <f>'14U_M_Classic'!L40&amp;"-"&amp;'14U_M_Classic'!C40&amp;"-"&amp;TEXT('14U_M_Classic'!B40,"h:mm am/pm")</f>
        <v>14BX-015-Group-9:30 AM</v>
      </c>
      <c r="AM7" s="357" t="str">
        <f>'16U_M_Invite'!L67&amp;"-"&amp;'16U_M_Invite'!C67&amp;"-"&amp;TEXT('16U_M_Invite'!B67,"h:mm am/pm")</f>
        <v>16BQ-015-Group-9:30 AM</v>
      </c>
      <c r="AN7" s="360" t="str">
        <f>'16U_M_Classic'!L59&amp;"-"&amp;'16U_M_Classic'!C59&amp;"-"&amp;TEXT('16U_M_Classic'!B59,"h:mm am/pm")</f>
        <v>16BX-015-Group-9:30 AM</v>
      </c>
      <c r="AO7" s="360" t="str">
        <f>'16U_M_Classic'!L78&amp;"-"&amp;'16U_M_Classic'!C78&amp;"-"&amp;TEXT('16U_M_Classic'!B78,"h:mm am/pm")</f>
        <v>16BX-016-Group-9:30 AM</v>
      </c>
      <c r="AP7" s="360" t="str">
        <f>'16U_M_Classic'!L21&amp;"-"&amp;'16U_M_Classic'!C21&amp;"-"&amp;TEXT('16U_M_Classic'!B21,"h:mm am/pm")</f>
        <v>16BX-013-Group-9:30 AM</v>
      </c>
      <c r="AQ7" s="360" t="str">
        <f>'16U_M_Classic'!L40&amp;"-"&amp;'16U_M_Classic'!C40&amp;"-"&amp;TEXT('16U_M_Classic'!B40,"h:mm am/pm")</f>
        <v>16BX-014-Group-9:30 AM</v>
      </c>
      <c r="AR7" s="49"/>
      <c r="AS7" s="361" t="str">
        <f>'18U_M_INVITE_NEW_23'!L39&amp;"-"&amp;'18U_M_INVITE_NEW_23'!C39&amp;"-"&amp;TEXT('18U_M_INVITE_NEW_23'!B39,"h:mm am/pm")</f>
        <v>18BQ-008-Group-9:30 AM</v>
      </c>
      <c r="AT7" s="361" t="str">
        <f>'18U_M_INVITE_NEW_23'!L20&amp;"-"&amp;'18U_M_INVITE_NEW_23'!C20&amp;"-"&amp;TEXT('18U_M_INVITE_NEW_23'!B20,"h:mm am/pm")</f>
        <v>18BQ-007-Group-9:30 AM</v>
      </c>
      <c r="AU7" s="353">
        <v>0.39583333333333398</v>
      </c>
      <c r="AV7" s="362" t="str">
        <f>'16U_M_Champ'!L21&amp;"-"&amp;'16U_M_Champ'!C21&amp;"-"&amp;TEXT('16U_M_Champ'!B21,"h:mm am/pm")</f>
        <v>16B-013-Group-9:30 AM</v>
      </c>
      <c r="AW7" s="362" t="str">
        <f>'16U_M_Champ'!L40&amp;"-"&amp;'16U_M_Champ'!C40&amp;"-"&amp;TEXT('16U_M_Champ'!B40,"h:mm am/pm")</f>
        <v>16B-014-Group-9:30 AM</v>
      </c>
      <c r="AX7" s="362" t="str">
        <f>'16U_M_Champ'!L59&amp;"-"&amp;'16U_M_Champ'!C59&amp;"-"&amp;TEXT('16U_M_Champ'!B59,"h:mm am/pm")</f>
        <v>16B-015-Group-9:30 AM</v>
      </c>
      <c r="AY7" s="362" t="str">
        <f>'16U_M_Champ'!L78&amp;"-"&amp;'16U_M_Champ'!C78&amp;"-"&amp;TEXT('16U_M_Champ'!B78,"h:mm am/pm")</f>
        <v>16B-016-Group-9:30 AM</v>
      </c>
      <c r="AZ7" s="49"/>
      <c r="BA7" s="353">
        <v>0.41666666666666702</v>
      </c>
      <c r="BB7" s="363" t="str">
        <f>'18U_M_Champ'!L21&amp;"-"&amp;'18U_M_Champ'!C21&amp;"-"&amp;TEXT('18U_M_Champ'!B21,"h:mm am/pm")</f>
        <v>18B-016-Group-10:00 AM</v>
      </c>
      <c r="BC7" s="363" t="str">
        <f>'18U_M_Champ'!L69&amp;"-"&amp;'18U_M_Champ'!C69&amp;"-"&amp;TEXT('18U_M_Champ'!B69,"h:mm am/pm")</f>
        <v>18B-019-Group-10:00 AM</v>
      </c>
      <c r="BD7" s="363" t="str">
        <f>'18U_M_Champ'!L37&amp;"-"&amp;'18U_M_Champ'!C37&amp;"-"&amp;TEXT('18U_M_Champ'!B37,"h:mm am/pm")</f>
        <v>18B-017-Group-10:00 AM</v>
      </c>
      <c r="BE7" s="363" t="str">
        <f>'18U_M_Champ'!L53&amp;"-"&amp;'18U_M_Champ'!C53&amp;"-"&amp;TEXT('18U_M_Champ'!B53,"h:mm am/pm")</f>
        <v>18B-018-Group-10:00 AM</v>
      </c>
      <c r="BF7" s="363" t="str">
        <f>'18U_M_Champ'!L85&amp;"-"&amp;'18U_M_Champ'!C85&amp;"-"&amp;TEXT('18U_M_Champ'!B85,"h:mm am/pm")</f>
        <v>18B-020-Group-10:00 AM</v>
      </c>
    </row>
    <row r="8" spans="1:61">
      <c r="A8" s="353">
        <v>0.43055555555555602</v>
      </c>
      <c r="B8" s="55" t="str">
        <f>'10U_M_Champ_35'!L60&amp;"-"&amp;'10U_M_Champ_35'!C60&amp;"-"&amp;TEXT('10U_M_Champ_35'!B60,"h:mm am/pm")</f>
        <v>10B-018-Group J-10:20 AM</v>
      </c>
      <c r="C8" s="55" t="str">
        <f>'10U_M_Champ_35'!L20&amp;"-"&amp;'10U_M_Champ_35'!C20&amp;"-"&amp;TEXT('10U_M_Champ_35'!B20,"h:mm am/pm")</f>
        <v>10B-013-Group A-10:20 AM</v>
      </c>
      <c r="D8" s="55" t="str">
        <f>'10U_M_Champ_35'!L40&amp;"-"&amp;'10U_M_Champ_35'!C40&amp;"-"&amp;TEXT('10U_M_Champ_35'!B40,"h:mm am/pm")</f>
        <v>10B-014-Group H-10:20 AM</v>
      </c>
      <c r="E8" s="354" t="str">
        <f>'12U_M_Classic_53'!L72&amp;"-"&amp;'12U_M_Classic_53'!C72&amp;"-"&amp;TEXT('12U_M_Classic_53'!B72,"h:mm am/pm")</f>
        <v>12BX-021-Group-10:20 AM</v>
      </c>
      <c r="F8" s="354" t="str">
        <f>'12U_M_Classic_53'!L92&amp;"-"&amp;'12U_M_Classic_53'!C92&amp;"-"&amp;TEXT('12U_M_Classic_53'!B92,"h:mm am/pm")</f>
        <v>12BX-027-Group-10:20 AM</v>
      </c>
      <c r="G8" s="354" t="str">
        <f>'12U_M_Classic_53'!L112&amp;"-"&amp;'12U_M_Classic_53'!C112&amp;"-"&amp;TEXT('12U_M_Classic_53'!B112,"h:mm am/pm")</f>
        <v>12BX-014-Group-10:20 AM</v>
      </c>
      <c r="H8" s="354" t="str">
        <f>'12U_M_Classic_53'!L33&amp;"-"&amp;'12U_M_Classic_53'!C33&amp;"-"&amp;TEXT('12U_M_Classic_53'!B33,"h:mm am/pm")</f>
        <v>12BX-024-Group-10:20 AM</v>
      </c>
      <c r="I8" s="353">
        <v>0.43055555555555602</v>
      </c>
      <c r="J8" s="354" t="str">
        <f>'12U_M_Classic_53'!L52&amp;"-"&amp;'12U_M_Classic_53'!C52&amp;"-"&amp;TEXT('12U_M_Classic_53'!B52,"h:mm am/pm")</f>
        <v>12BX-020-Group-10:20 AM</v>
      </c>
      <c r="K8" s="353">
        <v>0.43055555555555602</v>
      </c>
      <c r="L8" s="56" t="str">
        <f>'12U_M_Champ'!L22&amp;"-"&amp;'12U_M_Champ'!C22&amp;"-"&amp;TEXT('12U_M_Champ'!B22,"h:mm am/pm")</f>
        <v>12B-017-Group-10:20 AM</v>
      </c>
      <c r="M8" s="56" t="str">
        <f>'12U_M_Champ'!L41&amp;"-"&amp;'12U_M_Champ'!C41&amp;"-"&amp;TEXT('12U_M_Champ'!B41,"h:mm am/pm")</f>
        <v>12B-018-Group-10:20 AM</v>
      </c>
      <c r="N8" s="56" t="str">
        <f>'12U_M_Champ'!L60&amp;"-"&amp;'12U_M_Champ'!C60&amp;"-"&amp;TEXT('12U_M_Champ'!B60,"h:mm am/pm")</f>
        <v>12B-019-Group-10:20 AM</v>
      </c>
      <c r="O8" s="56" t="str">
        <f>'12U_M_Champ'!L79&amp;"-"&amp;'12U_M_Champ'!C79&amp;"-"&amp;TEXT('12U_M_Champ'!B79,"h:mm am/pm")</f>
        <v>12B-020-Group-10:20 AM</v>
      </c>
      <c r="P8" s="353">
        <v>0.43055555555555602</v>
      </c>
      <c r="Q8" s="355" t="str">
        <f>'14U_M_Champ'!L22&amp;"-"&amp;'14U_M_Champ'!C22&amp;"-"&amp;TEXT('14U_M_Champ'!B22,"h:mm am/pm")</f>
        <v>14B-017-Group-10:20 AM</v>
      </c>
      <c r="R8" s="355" t="str">
        <f>'14U_M_Champ'!L41&amp;"-"&amp;'14U_M_Champ'!C41&amp;"-"&amp;TEXT('14U_M_Champ'!B41,"h:mm am/pm")</f>
        <v>14B-018-Group-10:20 AM</v>
      </c>
      <c r="S8" s="355" t="str">
        <f>'14U_M_Champ'!L60&amp;"-"&amp;'14U_M_Champ'!C60&amp;"-"&amp;TEXT('14U_M_Champ'!B60,"h:mm am/pm")</f>
        <v>14B-019-Group-10:20 AM</v>
      </c>
      <c r="T8" s="355" t="str">
        <f>'14U_M_Champ'!L79&amp;"-"&amp;'14U_M_Champ'!C79&amp;"-"&amp;TEXT('14U_M_Champ'!B79,"h:mm am/pm")</f>
        <v>14B-020-Group-10:20 AM</v>
      </c>
      <c r="U8" s="356" t="str">
        <f>'14U_M_Invite_36'!L60&amp;"-"&amp;'14U_M_Invite_36'!C60&amp;"-"&amp;TEXT('14U_M_Invite_36'!B60,"h:mm am/pm")</f>
        <v>14BQ-015-Group I-10:20 AM</v>
      </c>
      <c r="V8" s="356" t="str">
        <f>'14U_M_Invite_36'!L40&amp;"-"&amp;'14U_M_Invite_36'!C40&amp;"-"&amp;TEXT('14U_M_Invite_36'!B40,"h:mm am/pm")</f>
        <v>14BQ-014-Group H-10:20 AM</v>
      </c>
      <c r="W8" s="356" t="str">
        <f>'14U_M_Invite_36'!L20&amp;"-"&amp;'14U_M_Invite_36'!C20&amp;"-"&amp;TEXT('14U_M_Invite_36'!B20,"h:mm am/pm")</f>
        <v>14BQ-013-Group A-10:20 AM</v>
      </c>
      <c r="X8" s="353">
        <v>0.43055555555555602</v>
      </c>
      <c r="Y8" s="49"/>
      <c r="Z8" s="357" t="str">
        <f>'16U_M_Invite'!L87&amp;"-"&amp;'16U_M_Invite'!C87&amp;"-"&amp;TEXT('16U_M_Invite'!B87,"h:mm am/pm")</f>
        <v>16BQ-020-Group-10:20 AM</v>
      </c>
      <c r="AA8" s="358" t="str">
        <f>'14U_M_Classic'!L22&amp;"-"&amp;'14U_M_Classic'!C22&amp;"-"&amp;TEXT('14U_M_Classic'!B22,"h:mm am/pm")</f>
        <v>14BX-020-Group-10:20 AM</v>
      </c>
      <c r="AB8" s="358" t="str">
        <f>'14U_M_Classic'!L60&amp;"-"&amp;'14U_M_Classic'!C60&amp;"-"&amp;TEXT('14U_M_Classic'!B60,"h:mm am/pm")</f>
        <v>14BX-018-Group-10:20 AM</v>
      </c>
      <c r="AC8" s="358" t="str">
        <f>'14U_M_Classic'!L82&amp;"-"&amp;'14U_M_Classic'!C82&amp;"-"&amp;TEXT('14U_M_Classic'!B82,"h:mm am/pm")</f>
        <v>14BX-017-Group-10:20 AM</v>
      </c>
      <c r="AD8" s="49"/>
      <c r="AE8" s="49"/>
      <c r="AF8" s="364"/>
      <c r="AG8" s="359" t="str">
        <f>'18U_M_Classic'!L79&amp;"-"&amp;'18U_M_Classic'!C79&amp;"-"&amp;TEXT('18U_M_Classic'!B79,"h:mm am/pm")</f>
        <v>18BX-020-Group-10:20 AM</v>
      </c>
      <c r="AH8" s="359" t="str">
        <f>'18U_M_Classic'!L41&amp;"-"&amp;'18U_M_Classic'!C41&amp;"-"&amp;TEXT('18U_M_Classic'!B41,"h:mm am/pm")</f>
        <v>18BX-018-Group-10:20 AM</v>
      </c>
      <c r="AI8" s="359" t="str">
        <f>'18U_M_Classic'!L60&amp;"-"&amp;'18U_M_Classic'!C60&amp;"-"&amp;TEXT('18U_M_Classic'!B60,"h:mm am/pm")</f>
        <v>18BX-019-Group-10:20 AM</v>
      </c>
      <c r="AJ8" s="359" t="str">
        <f>'18U_M_Classic'!L22&amp;"-"&amp;'18U_M_Classic'!C22&amp;"-"&amp;TEXT('18U_M_Classic'!B22,"h:mm am/pm")</f>
        <v>18BX-017-Group-10:20 AM</v>
      </c>
      <c r="AK8" s="357" t="str">
        <f>'16U_M_Invite'!L49&amp;"-"&amp;'16U_M_Invite'!C49&amp;"-"&amp;TEXT('16U_M_Invite'!B49,"h:mm am/pm")</f>
        <v>16BQ-018-Group-10:20 AM</v>
      </c>
      <c r="AL8" s="358" t="str">
        <f>'14U_M_Classic'!L41&amp;"-"&amp;'14U_M_Classic'!C41&amp;"-"&amp;TEXT('14U_M_Classic'!B41,"h:mm am/pm")</f>
        <v>14BX-019-Group-10:20 AM</v>
      </c>
      <c r="AM8" s="357" t="str">
        <f>'16U_M_Invite'!L68&amp;"-"&amp;'16U_M_Invite'!C68&amp;"-"&amp;TEXT('16U_M_Invite'!B68,"h:mm am/pm")</f>
        <v>16BQ-019-Group-10:20 AM</v>
      </c>
      <c r="AN8" s="360" t="str">
        <f>'16U_M_Classic'!L60&amp;"-"&amp;'16U_M_Classic'!C60&amp;"-"&amp;TEXT('16U_M_Classic'!B60,"h:mm am/pm")</f>
        <v>16BX-019-Group-10:20 AM</v>
      </c>
      <c r="AO8" s="360" t="str">
        <f>'16U_M_Classic'!L79&amp;"-"&amp;'16U_M_Classic'!C79&amp;"-"&amp;TEXT('16U_M_Classic'!B79,"h:mm am/pm")</f>
        <v>16BX-020-Group-10:20 AM</v>
      </c>
      <c r="AP8" s="360" t="str">
        <f>'16U_M_Classic'!L22&amp;"-"&amp;'16U_M_Classic'!C22&amp;"-"&amp;TEXT('16U_M_Classic'!B22,"h:mm am/pm")</f>
        <v>16BX-017-Group-10:20 AM</v>
      </c>
      <c r="AQ8" s="360" t="str">
        <f>'16U_M_Classic'!L41&amp;"-"&amp;'16U_M_Classic'!C41&amp;"-"&amp;TEXT('16U_M_Classic'!B41,"h:mm am/pm")</f>
        <v>16BX-018-Group-10:20 AM</v>
      </c>
      <c r="AR8" s="49"/>
      <c r="AS8" s="361" t="str">
        <f>'18U_M_INVITE_NEW_23'!L40&amp;"-"&amp;'18U_M_INVITE_NEW_23'!C40&amp;"-"&amp;TEXT('18U_M_INVITE_NEW_23'!B40,"h:mm am/pm")</f>
        <v>18BQ-010-Group-10:20 AM</v>
      </c>
      <c r="AT8" s="361" t="str">
        <f>'18U_M_INVITE_NEW_23'!L21&amp;"-"&amp;'18U_M_INVITE_NEW_23'!C21&amp;"-"&amp;TEXT('18U_M_INVITE_NEW_23'!B21,"h:mm am/pm")</f>
        <v>18BQ-009-Group-10:20 AM</v>
      </c>
      <c r="AU8" s="353">
        <v>0.43055555555555602</v>
      </c>
      <c r="AV8" s="362" t="str">
        <f>'16U_M_Champ'!L22&amp;"-"&amp;'16U_M_Champ'!C22&amp;"-"&amp;TEXT('16U_M_Champ'!B22,"h:mm am/pm")</f>
        <v>16B-017-Group-10:20 AM</v>
      </c>
      <c r="AW8" s="362" t="str">
        <f>'16U_M_Champ'!L41&amp;"-"&amp;'16U_M_Champ'!C41&amp;"-"&amp;TEXT('16U_M_Champ'!B41,"h:mm am/pm")</f>
        <v>16B-018-Group-10:20 AM</v>
      </c>
      <c r="AX8" s="362" t="str">
        <f>'16U_M_Champ'!L60&amp;"-"&amp;'16U_M_Champ'!C60&amp;"-"&amp;TEXT('16U_M_Champ'!B60,"h:mm am/pm")</f>
        <v>16B-019-Group-10:20 AM</v>
      </c>
      <c r="AY8" s="362" t="str">
        <f>'16U_M_Champ'!L79&amp;"-"&amp;'16U_M_Champ'!C79&amp;"-"&amp;TEXT('16U_M_Champ'!B79,"h:mm am/pm")</f>
        <v>16B-020-Group-10:20 AM</v>
      </c>
      <c r="AZ8" s="49"/>
      <c r="BA8" s="353">
        <v>0.45833333333333298</v>
      </c>
      <c r="BB8" s="363" t="str">
        <f>'18U_M_Champ'!L22&amp;"-"&amp;'18U_M_Champ'!C22&amp;"-"&amp;TEXT('18U_M_Champ'!B22,"h:mm am/pm")</f>
        <v>18B-021-Group-11:00 AM</v>
      </c>
      <c r="BC8" s="363" t="str">
        <f>'18U_M_Champ'!L70&amp;"-"&amp;'18U_M_Champ'!C70&amp;"-"&amp;TEXT('18U_M_Champ'!B70,"h:mm am/pm")</f>
        <v>18B-024-Group-11:00 AM</v>
      </c>
      <c r="BD8" s="363" t="str">
        <f>'18U_M_Champ'!L38&amp;"-"&amp;'18U_M_Champ'!C38&amp;"-"&amp;TEXT('18U_M_Champ'!B38,"h:mm am/pm")</f>
        <v>18B-022-Group-11:00 AM</v>
      </c>
      <c r="BE8" s="363" t="str">
        <f>'18U_M_Champ'!L54&amp;"-"&amp;'18U_M_Champ'!C54&amp;"-"&amp;TEXT('18U_M_Champ'!B54,"h:mm am/pm")</f>
        <v>18B-023-Group-11:00 AM</v>
      </c>
      <c r="BF8" s="363" t="str">
        <f>'18U_M_Champ'!L86&amp;"-"&amp;'18U_M_Champ'!C86&amp;"-"&amp;TEXT('18U_M_Champ'!B86,"h:mm am/pm")</f>
        <v>18B-025-Group-11:00 AM</v>
      </c>
    </row>
    <row r="9" spans="1:61">
      <c r="A9" s="353">
        <v>0.46527777777777801</v>
      </c>
      <c r="B9" s="55" t="str">
        <f>'10U_M_Champ_35'!L61&amp;"-"&amp;'10U_M_Champ_35'!C61&amp;"-"&amp;TEXT('10U_M_Champ_35'!B61,"h:mm am/pm")</f>
        <v>10B-021-Group K-11:10 AM</v>
      </c>
      <c r="C9" s="55" t="str">
        <f>'10U_M_Champ_35'!L21&amp;"-"&amp;'10U_M_Champ_35'!C21&amp;"-"&amp;TEXT('10U_M_Champ_35'!B21,"h:mm am/pm")</f>
        <v>10B-016-Group B-11:10 AM</v>
      </c>
      <c r="D9" s="55" t="str">
        <f>'10U_M_Champ_35'!L41&amp;"-"&amp;'10U_M_Champ_35'!C41&amp;"-"&amp;TEXT('10U_M_Champ_35'!B41,"h:mm am/pm")</f>
        <v>10B-017-Group G-11:10 AM</v>
      </c>
      <c r="E9" s="354" t="str">
        <f>'12U_M_Classic_53'!L73&amp;"-"&amp;'12U_M_Classic_53'!C73&amp;"-"&amp;TEXT('12U_M_Classic_53'!B73,"h:mm am/pm")</f>
        <v>12BX-026-Group-11:10 AM</v>
      </c>
      <c r="F9" s="354" t="str">
        <f>'12U_M_Classic_53'!L93&amp;"-"&amp;'12U_M_Classic_53'!C93&amp;"-"&amp;TEXT('12U_M_Classic_53'!B93,"h:mm am/pm")</f>
        <v>12BX-032-Group-11:10 AM</v>
      </c>
      <c r="G9" s="354" t="str">
        <f>'12U_M_Classic_53'!L113&amp;"-"&amp;'12U_M_Classic_53'!C113&amp;"-"&amp;TEXT('12U_M_Classic_53'!B113,"h:mm am/pm")</f>
        <v>12BX-018-Group-11:10 AM</v>
      </c>
      <c r="H9" s="354" t="str">
        <f>'12U_M_Classic_53'!L34&amp;"-"&amp;'12U_M_Classic_53'!C34&amp;"-"&amp;TEXT('12U_M_Classic_53'!B34,"h:mm am/pm")</f>
        <v>12BX-043-Group-11:10 AM</v>
      </c>
      <c r="I9" s="353">
        <v>0.46527777777777801</v>
      </c>
      <c r="J9" s="354" t="str">
        <f>'12U_M_Classic_53'!L53&amp;"-"&amp;'12U_M_Classic_53'!C53&amp;"-"&amp;TEXT('12U_M_Classic_53'!B53,"h:mm am/pm")</f>
        <v>12BX-025-Group-11:10 AM</v>
      </c>
      <c r="K9" s="353">
        <v>0.46527777777777801</v>
      </c>
      <c r="L9" s="56" t="str">
        <f>'12U_M_Champ'!L23&amp;"-"&amp;'12U_M_Champ'!C23&amp;"-"&amp;TEXT('12U_M_Champ'!B23,"h:mm am/pm")</f>
        <v>12B-021-Group-11:10 AM</v>
      </c>
      <c r="M9" s="56" t="str">
        <f>'12U_M_Champ'!L42&amp;"-"&amp;'12U_M_Champ'!C42&amp;"-"&amp;TEXT('12U_M_Champ'!B42,"h:mm am/pm")</f>
        <v>12B-022-Group-11:10 AM</v>
      </c>
      <c r="N9" s="56" t="str">
        <f>'12U_M_Champ'!L61&amp;"-"&amp;'12U_M_Champ'!C61&amp;"-"&amp;TEXT('12U_M_Champ'!B61,"h:mm am/pm")</f>
        <v>12B-023-Group-11:10 AM</v>
      </c>
      <c r="O9" s="56" t="str">
        <f>'12U_M_Champ'!L80&amp;"-"&amp;'12U_M_Champ'!C80&amp;"-"&amp;TEXT('12U_M_Champ'!B80,"h:mm am/pm")</f>
        <v>12B-024-Group-11:10 AM</v>
      </c>
      <c r="P9" s="353">
        <v>0.46527777777777801</v>
      </c>
      <c r="Q9" s="355" t="str">
        <f>'14U_M_Champ'!L23&amp;"-"&amp;'14U_M_Champ'!C23&amp;"-"&amp;TEXT('14U_M_Champ'!B23,"h:mm am/pm")</f>
        <v>14B-021-Group-11:10 AM</v>
      </c>
      <c r="R9" s="355" t="str">
        <f>'14U_M_Champ'!L42&amp;"-"&amp;'14U_M_Champ'!C42&amp;"-"&amp;TEXT('14U_M_Champ'!B42,"h:mm am/pm")</f>
        <v>14B-022-Group-11:10 AM</v>
      </c>
      <c r="S9" s="355" t="str">
        <f>'14U_M_Champ'!L61&amp;"-"&amp;'14U_M_Champ'!C61&amp;"-"&amp;TEXT('14U_M_Champ'!B61,"h:mm am/pm")</f>
        <v>14B-023-Group-11:10 AM</v>
      </c>
      <c r="T9" s="355" t="str">
        <f>'14U_M_Champ'!L80&amp;"-"&amp;'14U_M_Champ'!C80&amp;"-"&amp;TEXT('14U_M_Champ'!B80,"h:mm am/pm")</f>
        <v>14B-024-Group-11:10 AM</v>
      </c>
      <c r="U9" s="356" t="str">
        <f>'14U_M_Invite_36'!L61&amp;"-"&amp;'14U_M_Invite_36'!C61&amp;"-"&amp;TEXT('14U_M_Invite_36'!B61,"h:mm am/pm")</f>
        <v>14BQ-018-Group J-11:10 AM</v>
      </c>
      <c r="V9" s="356" t="str">
        <f>'14U_M_Invite_36'!L41&amp;"-"&amp;'14U_M_Invite_36'!C41&amp;"-"&amp;TEXT('14U_M_Invite_36'!B41,"h:mm am/pm")</f>
        <v>14BQ-017-Group G-11:10 AM</v>
      </c>
      <c r="W9" s="356" t="str">
        <f>'14U_M_Invite_36'!L21&amp;"-"&amp;'14U_M_Invite_36'!C21&amp;"-"&amp;TEXT('14U_M_Invite_36'!B21,"h:mm am/pm")</f>
        <v>14BQ-016-Group B-11:10 AM</v>
      </c>
      <c r="X9" s="353">
        <v>0.46527777777777801</v>
      </c>
      <c r="Y9" s="49"/>
      <c r="Z9" s="357" t="str">
        <f>'16U_M_Invite'!L88&amp;"-"&amp;'16U_M_Invite'!C88&amp;"-"&amp;TEXT('16U_M_Invite'!B88,"h:mm am/pm")</f>
        <v>16BQ-024-Group-11:10 AM</v>
      </c>
      <c r="AA9" s="358" t="str">
        <f>'14U_M_Classic'!L23&amp;"-"&amp;'14U_M_Classic'!C23&amp;"-"&amp;TEXT('14U_M_Classic'!B23,"h:mm am/pm")</f>
        <v>14BX-024-Group-11:10 AM</v>
      </c>
      <c r="AB9" s="358" t="str">
        <f>'14U_M_Classic'!L61&amp;"-"&amp;'14U_M_Classic'!C61&amp;"-"&amp;TEXT('14U_M_Classic'!B61,"h:mm am/pm")</f>
        <v>14BX-022-Group-11:10 AM</v>
      </c>
      <c r="AC9" s="358" t="str">
        <f>'14U_M_Classic'!L83&amp;"-"&amp;'14U_M_Classic'!C83&amp;"-"&amp;TEXT('14U_M_Classic'!B83,"h:mm am/pm")</f>
        <v>14BX-021-Group-11:10 AM</v>
      </c>
      <c r="AD9" s="49"/>
      <c r="AE9" s="49"/>
      <c r="AF9" s="364"/>
      <c r="AG9" s="359" t="str">
        <f>'18U_M_Classic'!L80&amp;"-"&amp;'18U_M_Classic'!C80&amp;"-"&amp;TEXT('18U_M_Classic'!B80,"h:mm am/pm")</f>
        <v>18BX-024-Group-11:10 AM</v>
      </c>
      <c r="AH9" s="359" t="str">
        <f>'18U_M_Classic'!L42&amp;"-"&amp;'18U_M_Classic'!C42&amp;"-"&amp;TEXT('18U_M_Classic'!B42,"h:mm am/pm")</f>
        <v>18BX-022-Group-11:10 AM</v>
      </c>
      <c r="AI9" s="359" t="str">
        <f>'18U_M_Classic'!L61&amp;"-"&amp;'18U_M_Classic'!C61&amp;"-"&amp;TEXT('18U_M_Classic'!B61,"h:mm am/pm")</f>
        <v>18BX-023-Group-11:10 AM</v>
      </c>
      <c r="AJ9" s="359" t="str">
        <f>'18U_M_Classic'!L23&amp;"-"&amp;'18U_M_Classic'!C23&amp;"-"&amp;TEXT('18U_M_Classic'!B23,"h:mm am/pm")</f>
        <v>18BX-021-Group-11:10 AM</v>
      </c>
      <c r="AK9" s="357" t="str">
        <f>'16U_M_Invite'!L50&amp;"-"&amp;'16U_M_Invite'!C50&amp;"-"&amp;TEXT('16U_M_Invite'!B50,"h:mm am/pm")</f>
        <v>16BQ-022-Group-11:10 AM</v>
      </c>
      <c r="AL9" s="358" t="str">
        <f>'14U_M_Classic'!L42&amp;"-"&amp;'14U_M_Classic'!C42&amp;"-"&amp;TEXT('14U_M_Classic'!B42,"h:mm am/pm")</f>
        <v>14BX-023-Group-11:10 AM</v>
      </c>
      <c r="AM9" s="357" t="str">
        <f>'16U_M_Invite'!L69&amp;"-"&amp;'16U_M_Invite'!C69&amp;"-"&amp;TEXT('16U_M_Invite'!B69,"h:mm am/pm")</f>
        <v>16BQ-023-Group-11:10 AM</v>
      </c>
      <c r="AN9" s="360" t="str">
        <f>'16U_M_Classic'!L61&amp;"-"&amp;'16U_M_Classic'!C61&amp;"-"&amp;TEXT('16U_M_Classic'!B61,"h:mm am/pm")</f>
        <v>16BX-023-Group-11:10 AM</v>
      </c>
      <c r="AO9" s="360" t="str">
        <f>'16U_M_Classic'!L80&amp;"-"&amp;'16U_M_Classic'!C80&amp;"-"&amp;TEXT('16U_M_Classic'!B80,"h:mm am/pm")</f>
        <v>16BX-024-Group-11:10 AM</v>
      </c>
      <c r="AP9" s="360" t="str">
        <f>'16U_M_Classic'!L23&amp;"-"&amp;'16U_M_Classic'!C23&amp;"-"&amp;TEXT('16U_M_Classic'!B23,"h:mm am/pm")</f>
        <v>16BX-021-Group-11:10 AM</v>
      </c>
      <c r="AQ9" s="360" t="str">
        <f>'16U_M_Classic'!L42&amp;"-"&amp;'16U_M_Classic'!C42&amp;"-"&amp;TEXT('16U_M_Classic'!B42,"h:mm am/pm")</f>
        <v>16BX-022-Group-11:10 AM</v>
      </c>
      <c r="AR9" s="49"/>
      <c r="AS9" s="361" t="str">
        <f>'18U_M_INVITE_NEW_23'!L41&amp;"-"&amp;'18U_M_INVITE_NEW_23'!C41&amp;"-"&amp;TEXT('18U_M_INVITE_NEW_23'!B41,"h:mm am/pm")</f>
        <v>18BQ-012-Group-11:10 AM</v>
      </c>
      <c r="AT9" s="361" t="str">
        <f>'18U_M_INVITE_NEW_23'!L22&amp;"-"&amp;'18U_M_INVITE_NEW_23'!C22&amp;"-"&amp;TEXT('18U_M_INVITE_NEW_23'!B22,"h:mm am/pm")</f>
        <v>18BQ-011-Group-11:10 AM</v>
      </c>
      <c r="AU9" s="353">
        <v>0.46527777777777801</v>
      </c>
      <c r="AV9" s="362" t="str">
        <f>'16U_M_Champ'!L23&amp;"-"&amp;'16U_M_Champ'!C23&amp;"-"&amp;TEXT('16U_M_Champ'!B23,"h:mm am/pm")</f>
        <v>16B-021-Group-11:10 AM</v>
      </c>
      <c r="AW9" s="362" t="str">
        <f>'16U_M_Champ'!L42&amp;"-"&amp;'16U_M_Champ'!C42&amp;"-"&amp;TEXT('16U_M_Champ'!B42,"h:mm am/pm")</f>
        <v>16B-022-Group-11:10 AM</v>
      </c>
      <c r="AX9" s="362" t="str">
        <f>'16U_M_Champ'!L61&amp;"-"&amp;'16U_M_Champ'!C61&amp;"-"&amp;TEXT('16U_M_Champ'!B61,"h:mm am/pm")</f>
        <v>16B-023-Group-11:10 AM</v>
      </c>
      <c r="AY9" s="362" t="str">
        <f>'16U_M_Champ'!L80&amp;"-"&amp;'16U_M_Champ'!C80&amp;"-"&amp;TEXT('16U_M_Champ'!B80,"h:mm am/pm")</f>
        <v>16B-024-Group-11:10 AM</v>
      </c>
      <c r="AZ9" s="49"/>
      <c r="BA9" s="353">
        <v>0.5</v>
      </c>
      <c r="BB9" s="363" t="str">
        <f>'18U_M_Champ'!L23&amp;"-"&amp;'18U_M_Champ'!C23&amp;"-"&amp;TEXT('18U_M_Champ'!B23,"h:mm am/pm")</f>
        <v>18B-026-Group-12:00 PM</v>
      </c>
      <c r="BC9" s="363" t="str">
        <f>'18U_M_Champ'!L55&amp;"-"&amp;'18U_M_Champ'!C55&amp;"-"&amp;TEXT('18U_M_Champ'!B55,"h:mm am/pm")</f>
        <v>18B-029-Group-12:00 PM</v>
      </c>
      <c r="BD9" s="363" t="str">
        <f>'18U_M_Champ'!L39&amp;"-"&amp;'18U_M_Champ'!C39&amp;"-"&amp;TEXT('18U_M_Champ'!B39,"h:mm am/pm")</f>
        <v>18B-027-Group-12:00 PM</v>
      </c>
      <c r="BE9" s="363" t="str">
        <f>'18U_M_Champ'!L71&amp;"-"&amp;'18U_M_Champ'!C71&amp;"-"&amp;TEXT('18U_M_Champ'!B71,"h:mm am/pm")</f>
        <v>18B-028-Group-12:00 PM</v>
      </c>
      <c r="BF9" s="363" t="str">
        <f>'18U_M_Champ'!L87&amp;"-"&amp;'18U_M_Champ'!C87&amp;"-"&amp;TEXT('18U_M_Champ'!B87,"h:mm am/pm")</f>
        <v>18B-030-Group-12:00 PM</v>
      </c>
    </row>
    <row r="10" spans="1:61">
      <c r="A10" s="353">
        <v>0.5</v>
      </c>
      <c r="B10" s="55" t="str">
        <f>'10U_M_Champ_35'!L62&amp;"-"&amp;'10U_M_Champ_35'!C62&amp;"-"&amp;TEXT('10U_M_Champ_35'!B62,"h:mm am/pm")</f>
        <v>10B-024-Group L-12:00 PM</v>
      </c>
      <c r="C10" s="55" t="str">
        <f>'10U_M_Champ_35'!L22&amp;"-"&amp;'10U_M_Champ_35'!C22&amp;"-"&amp;TEXT('10U_M_Champ_35'!B22,"h:mm am/pm")</f>
        <v>10B-019-Group C-12:00 PM</v>
      </c>
      <c r="D10" s="55" t="str">
        <f>'10U_M_Champ_35'!L42&amp;"-"&amp;'10U_M_Champ_35'!C42&amp;"-"&amp;TEXT('10U_M_Champ_35'!B42,"h:mm am/pm")</f>
        <v>10B-020-Group F-12:00 PM</v>
      </c>
      <c r="E10" s="354" t="str">
        <f>'12U_M_Classic_53'!L74&amp;"-"&amp;'12U_M_Classic_53'!C74&amp;"-"&amp;TEXT('12U_M_Classic_53'!B74,"h:mm am/pm")</f>
        <v>12BX-031-Group-12:00 PM</v>
      </c>
      <c r="F10" s="354" t="str">
        <f>'12U_M_Classic_53'!L94&amp;"-"&amp;'12U_M_Classic_53'!C94&amp;"-"&amp;TEXT('12U_M_Classic_53'!B94,"h:mm am/pm")</f>
        <v>12BX-32A-Group-12:00 PM</v>
      </c>
      <c r="G10" s="354" t="str">
        <f>'12U_M_Classic_53'!L114&amp;"-"&amp;'12U_M_Classic_53'!C114&amp;"-"&amp;TEXT('12U_M_Classic_53'!B114,"h:mm am/pm")</f>
        <v>12BX-023-Group-12:00 PM</v>
      </c>
      <c r="H10" s="354" t="str">
        <f>'12U_M_Classic_53'!L35&amp;"-"&amp;'12U_M_Classic_53'!C35&amp;"-"&amp;TEXT('12U_M_Classic_53'!B35,"h:mm am/pm")</f>
        <v>12BX-029-Group-12:00 PM</v>
      </c>
      <c r="I10" s="353">
        <v>0.5</v>
      </c>
      <c r="J10" s="354" t="str">
        <f>'12U_M_Classic_53'!L54&amp;"-"&amp;'12U_M_Classic_53'!C54&amp;"-"&amp;TEXT('12U_M_Classic_53'!B54,"h:mm am/pm")</f>
        <v>12BX-030-Group-12:00 PM</v>
      </c>
      <c r="K10" s="353">
        <v>0.5</v>
      </c>
      <c r="L10" s="56" t="str">
        <f>'12U_M_Champ'!L24&amp;"-"&amp;'12U_M_Champ'!C24&amp;"-"&amp;TEXT('12U_M_Champ'!B24,"h:mm am/pm")</f>
        <v>12B-025-Group-12:00 PM</v>
      </c>
      <c r="M10" s="56" t="str">
        <f>'12U_M_Champ'!L43&amp;"-"&amp;'12U_M_Champ'!C43&amp;"-"&amp;TEXT('12U_M_Champ'!B43,"h:mm am/pm")</f>
        <v>12B-026-Group-12:00 PM</v>
      </c>
      <c r="N10" s="56" t="str">
        <f>'12U_M_Champ'!L62&amp;"-"&amp;'12U_M_Champ'!C62&amp;"-"&amp;TEXT('12U_M_Champ'!B62,"h:mm am/pm")</f>
        <v>12B-027-Group-12:00 PM</v>
      </c>
      <c r="O10" s="56" t="str">
        <f>'12U_M_Champ'!L81&amp;"-"&amp;'12U_M_Champ'!C81&amp;"-"&amp;TEXT('12U_M_Champ'!B81,"h:mm am/pm")</f>
        <v>12B-028-Group-12:00 PM</v>
      </c>
      <c r="P10" s="353">
        <v>0.5</v>
      </c>
      <c r="Q10" s="355" t="str">
        <f>'14U_M_Champ'!L24&amp;"-"&amp;'14U_M_Champ'!C24&amp;"-"&amp;TEXT('14U_M_Champ'!B24,"h:mm am/pm")</f>
        <v>14B-025-Group-12:00 PM</v>
      </c>
      <c r="R10" s="355" t="str">
        <f>'14U_M_Champ'!L43&amp;"-"&amp;'14U_M_Champ'!C43&amp;"-"&amp;TEXT('14U_M_Champ'!B43,"h:mm am/pm")</f>
        <v>14B-026-Group-12:00 PM</v>
      </c>
      <c r="S10" s="355" t="str">
        <f>'14U_M_Champ'!L62&amp;"-"&amp;'14U_M_Champ'!C62&amp;"-"&amp;TEXT('14U_M_Champ'!B62,"h:mm am/pm")</f>
        <v>14B-027-Group-12:00 PM</v>
      </c>
      <c r="T10" s="355" t="str">
        <f>'14U_M_Champ'!L81&amp;"-"&amp;'14U_M_Champ'!C81&amp;"-"&amp;TEXT('14U_M_Champ'!B81,"h:mm am/pm")</f>
        <v>14B-028-Group-12:00 PM</v>
      </c>
      <c r="U10" s="356" t="str">
        <f>'14U_M_Invite_36'!L62&amp;"-"&amp;'14U_M_Invite_36'!C62&amp;"-"&amp;TEXT('14U_M_Invite_36'!B62,"h:mm am/pm")</f>
        <v>14BQ-021-Group K-12:00 PM</v>
      </c>
      <c r="V10" s="356" t="str">
        <f>'14U_M_Invite_36'!L42&amp;"-"&amp;'14U_M_Invite_36'!C42&amp;"-"&amp;TEXT('14U_M_Invite_36'!B42,"h:mm am/pm")</f>
        <v>14BQ-020-Group F-12:00 PM</v>
      </c>
      <c r="W10" s="356" t="str">
        <f>'14U_M_Invite_36'!L22&amp;"-"&amp;'14U_M_Invite_36'!C22&amp;"-"&amp;TEXT('14U_M_Invite_36'!B22,"h:mm am/pm")</f>
        <v>14BQ-019-Group C-12:00 PM</v>
      </c>
      <c r="X10" s="353">
        <v>0.5</v>
      </c>
      <c r="Y10" s="49"/>
      <c r="Z10" s="357" t="str">
        <f>'16U_M_Invite'!L89&amp;"-"&amp;'16U_M_Invite'!C89&amp;"-"&amp;TEXT('16U_M_Invite'!B89,"h:mm am/pm")</f>
        <v>16BQ-028-Group-12:00 PM</v>
      </c>
      <c r="AA10" s="358" t="str">
        <f>'14U_M_Classic'!L24&amp;"-"&amp;'14U_M_Classic'!C24&amp;"-"&amp;TEXT('14U_M_Classic'!B24,"h:mm am/pm")</f>
        <v>14BX-028-Group-12:00 PM</v>
      </c>
      <c r="AB10" s="358" t="str">
        <f>'14U_M_Classic'!L62&amp;"-"&amp;'14U_M_Classic'!C62&amp;"-"&amp;TEXT('14U_M_Classic'!B62,"h:mm am/pm")</f>
        <v>14BX-026-Group-12:00 PM</v>
      </c>
      <c r="AC10" s="358" t="str">
        <f>'14U_M_Classic'!L84&amp;"-"&amp;'14U_M_Classic'!C84&amp;"-"&amp;TEXT('14U_M_Classic'!B84,"h:mm am/pm")</f>
        <v>14BX-025-Group-12:00 PM</v>
      </c>
      <c r="AD10" s="49"/>
      <c r="AE10" s="357" t="str">
        <f>'16U_M_Invite'!L31&amp;"-"&amp;'16U_M_Invite'!C31&amp;"-"&amp;TEXT('16U_M_Invite'!B31,"h:mm am/pm")</f>
        <v>16BQ-017-Group-12:30 PM</v>
      </c>
      <c r="AF10" s="364"/>
      <c r="AG10" s="359" t="str">
        <f>'18U_M_Classic'!L81&amp;"-"&amp;'18U_M_Classic'!C81&amp;"-"&amp;TEXT('18U_M_Classic'!B81,"h:mm am/pm")</f>
        <v>18BX-028-Group-12:00 PM</v>
      </c>
      <c r="AH10" s="359" t="str">
        <f>'18U_M_Classic'!L43&amp;"-"&amp;'18U_M_Classic'!C43&amp;"-"&amp;TEXT('18U_M_Classic'!B43,"h:mm am/pm")</f>
        <v>18BX-026-Group-12:00 PM</v>
      </c>
      <c r="AI10" s="359" t="str">
        <f>'18U_M_Classic'!L62&amp;"-"&amp;'18U_M_Classic'!C62&amp;"-"&amp;TEXT('18U_M_Classic'!B62,"h:mm am/pm")</f>
        <v>18BX-027-Group-12:00 PM</v>
      </c>
      <c r="AJ10" s="359" t="str">
        <f>'18U_M_Classic'!L24&amp;"-"&amp;'18U_M_Classic'!C24&amp;"-"&amp;TEXT('18U_M_Classic'!B24,"h:mm am/pm")</f>
        <v>18BX-025-Group-12:00 PM</v>
      </c>
      <c r="AK10" s="357" t="str">
        <f>'16U_M_Invite'!L51&amp;"-"&amp;'16U_M_Invite'!C51&amp;"-"&amp;TEXT('16U_M_Invite'!B51,"h:mm am/pm")</f>
        <v>16BQ-026-Group-12:00 PM</v>
      </c>
      <c r="AL10" s="358" t="str">
        <f>'14U_M_Classic'!L43&amp;"-"&amp;'14U_M_Classic'!C43&amp;"-"&amp;TEXT('14U_M_Classic'!B43,"h:mm am/pm")</f>
        <v>14BX-027-Group-12:00 PM</v>
      </c>
      <c r="AM10" s="357" t="str">
        <f>'16U_M_Invite'!L70&amp;"-"&amp;'16U_M_Invite'!C70&amp;"-"&amp;TEXT('16U_M_Invite'!B70,"h:mm am/pm")</f>
        <v>16BQ-027-Group-12:00 PM</v>
      </c>
      <c r="AN10" s="360" t="str">
        <f>'16U_M_Classic'!L62&amp;"-"&amp;'16U_M_Classic'!C62&amp;"-"&amp;TEXT('16U_M_Classic'!B62,"h:mm am/pm")</f>
        <v>16BX-027-Group-12:00 PM</v>
      </c>
      <c r="AO10" s="360" t="str">
        <f>'16U_M_Classic'!L81&amp;"-"&amp;'16U_M_Classic'!C81&amp;"-"&amp;TEXT('16U_M_Classic'!B81,"h:mm am/pm")</f>
        <v>16BX-028-Group-12:00 PM</v>
      </c>
      <c r="AP10" s="360" t="str">
        <f>'16U_M_Classic'!L24&amp;"-"&amp;'16U_M_Classic'!C24&amp;"-"&amp;TEXT('16U_M_Classic'!B24,"h:mm am/pm")</f>
        <v>16BX-025-Group-12:00 PM</v>
      </c>
      <c r="AQ10" s="360" t="str">
        <f>'16U_M_Classic'!L43&amp;"-"&amp;'16U_M_Classic'!C43&amp;"-"&amp;TEXT('16U_M_Classic'!B43,"h:mm am/pm")</f>
        <v>16BX-026-Group-12:00 PM</v>
      </c>
      <c r="AR10" s="49"/>
      <c r="AS10" s="49"/>
      <c r="AT10" s="361" t="str">
        <f>'18U_M_INVITE_NEW_23'!L23&amp;"-"&amp;'18U_M_INVITE_NEW_23'!C23&amp;"-"&amp;TEXT('18U_M_INVITE_NEW_23'!B23,"h:mm am/pm")</f>
        <v>18BQ-013-Group-12:00 PM</v>
      </c>
      <c r="AU10" s="353">
        <v>0.5</v>
      </c>
      <c r="AV10" s="362" t="str">
        <f>'16U_M_Champ'!L24&amp;"-"&amp;'16U_M_Champ'!C24&amp;"-"&amp;TEXT('16U_M_Champ'!B24,"h:mm am/pm")</f>
        <v>16B-025-Group-12:00 PM</v>
      </c>
      <c r="AW10" s="362" t="str">
        <f>'16U_M_Champ'!L43&amp;"-"&amp;'16U_M_Champ'!C43&amp;"-"&amp;TEXT('16U_M_Champ'!B43,"h:mm am/pm")</f>
        <v>16B-026-Group-12:00 PM</v>
      </c>
      <c r="AX10" s="362" t="str">
        <f>'16U_M_Champ'!L62&amp;"-"&amp;'16U_M_Champ'!C62&amp;"-"&amp;TEXT('16U_M_Champ'!B62,"h:mm am/pm")</f>
        <v>16B-027-Group-12:00 PM</v>
      </c>
      <c r="AY10" s="362" t="str">
        <f>'16U_M_Champ'!L81&amp;"-"&amp;'16U_M_Champ'!C81&amp;"-"&amp;TEXT('16U_M_Champ'!B81,"h:mm am/pm")</f>
        <v>16B-028-Group-12:00 PM</v>
      </c>
      <c r="AZ10" s="49"/>
      <c r="BA10" s="353">
        <v>0.54166666666666696</v>
      </c>
      <c r="BB10" s="363" t="str">
        <f>'18U_M_Champ'!L24&amp;"-"&amp;'18U_M_Champ'!C24&amp;"-"&amp;TEXT('18U_M_Champ'!B24,"h:mm am/pm")</f>
        <v>18B-031-Group-1:00 PM</v>
      </c>
      <c r="BC10" s="363" t="str">
        <f>'18U_M_Champ'!L72&amp;"-"&amp;'18U_M_Champ'!C72&amp;"-"&amp;TEXT('18U_M_Champ'!B72,"h:mm am/pm")</f>
        <v>18B-034-Group-1:00 PM</v>
      </c>
      <c r="BD10" s="363" t="str">
        <f>'18U_M_Champ'!L40&amp;"-"&amp;'18U_M_Champ'!C40&amp;"-"&amp;TEXT('18U_M_Champ'!B40,"h:mm am/pm")</f>
        <v>18B-032-Group-1:00 PM</v>
      </c>
      <c r="BE10" s="363" t="str">
        <f>'18U_M_Champ'!L56&amp;"-"&amp;'18U_M_Champ'!C56&amp;"-"&amp;TEXT('18U_M_Champ'!B56,"h:mm am/pm")</f>
        <v>18B-033-Group-1:00 PM</v>
      </c>
      <c r="BF10" s="363" t="str">
        <f>'18U_M_Champ'!L88&amp;"-"&amp;'18U_M_Champ'!C88&amp;"-"&amp;TEXT('18U_M_Champ'!B88,"h:mm am/pm")</f>
        <v>18B-035-Group-1:00 PM</v>
      </c>
    </row>
    <row r="11" spans="1:61">
      <c r="A11" s="353">
        <v>0.53472222222222199</v>
      </c>
      <c r="B11" s="55" t="str">
        <f>'10U_M_Champ_35'!L63&amp;"-"&amp;'10U_M_Champ_35'!C63&amp;"-"&amp;TEXT('10U_M_Champ_35'!B63,"h:mm am/pm")</f>
        <v>10B-027-Group I-12:50 PM</v>
      </c>
      <c r="C11" s="55" t="str">
        <f>'10U_M_Champ_35'!L23&amp;"-"&amp;'10U_M_Champ_35'!C23&amp;"-"&amp;TEXT('10U_M_Champ_35'!B23,"h:mm am/pm")</f>
        <v>10B-022-Group D-12:50 PM</v>
      </c>
      <c r="D11" s="55" t="str">
        <f>'10U_M_Champ_35'!L43&amp;"-"&amp;'10U_M_Champ_35'!C43&amp;"-"&amp;TEXT('10U_M_Champ_35'!B43,"h:mm am/pm")</f>
        <v>10B-023-Group E-12:50 PM</v>
      </c>
      <c r="E11" s="354" t="str">
        <f>'12U_M_Classic_53'!L75&amp;"-"&amp;'12U_M_Classic_53'!C75&amp;"-"&amp;TEXT('12U_M_Classic_53'!B75,"h:mm am/pm")</f>
        <v>12BX-035-Group-12:50 PM</v>
      </c>
      <c r="F11" s="354" t="str">
        <f>'12U_M_Classic_53'!L95&amp;"-"&amp;'12U_M_Classic_53'!C95&amp;"-"&amp;TEXT('12U_M_Classic_53'!B95,"h:mm am/pm")</f>
        <v>12BX-036-Group-12:50 PM</v>
      </c>
      <c r="G11" s="354" t="str">
        <f>'12U_M_Classic_53'!L115&amp;"-"&amp;'12U_M_Classic_53'!C115&amp;"-"&amp;TEXT('12U_M_Classic_53'!B115,"h:mm am/pm")</f>
        <v>12BX-028-Group-12:50 PM</v>
      </c>
      <c r="H11" s="354" t="str">
        <f>'12U_M_Classic_53'!L36&amp;"-"&amp;'12U_M_Classic_53'!C36&amp;"-"&amp;TEXT('12U_M_Classic_53'!B36,"h:mm am/pm")</f>
        <v>12BX-034-Group-12:50 PM</v>
      </c>
      <c r="I11" s="353">
        <v>0.53472222222222199</v>
      </c>
      <c r="J11" s="354" t="str">
        <f>'12U_M_Classic_53'!L55&amp;"-"&amp;'12U_M_Classic_53'!C55&amp;"-"&amp;TEXT('12U_M_Classic_53'!B55,"h:mm am/pm")</f>
        <v>12BX-038-Group-12:50 PM</v>
      </c>
      <c r="K11" s="353">
        <v>0.53472222222222199</v>
      </c>
      <c r="L11" s="56" t="str">
        <f>'12U_M_Champ'!L25&amp;"-"&amp;'12U_M_Champ'!C25&amp;"-"&amp;TEXT('12U_M_Champ'!B25,"h:mm am/pm")</f>
        <v>12B-029-Group-12:50 PM</v>
      </c>
      <c r="M11" s="56" t="str">
        <f>'12U_M_Champ'!L44&amp;"-"&amp;'12U_M_Champ'!C44&amp;"-"&amp;TEXT('12U_M_Champ'!B44,"h:mm am/pm")</f>
        <v>12B-030-Group-12:50 PM</v>
      </c>
      <c r="N11" s="56" t="str">
        <f>'12U_M_Champ'!L63&amp;"-"&amp;'12U_M_Champ'!C63&amp;"-"&amp;TEXT('12U_M_Champ'!B63,"h:mm am/pm")</f>
        <v>12B-031-Group-12:50 PM</v>
      </c>
      <c r="O11" s="56" t="str">
        <f>'12U_M_Champ'!L82&amp;"-"&amp;'12U_M_Champ'!C82&amp;"-"&amp;TEXT('12U_M_Champ'!B82,"h:mm am/pm")</f>
        <v>12B-032-Group-12:50 PM</v>
      </c>
      <c r="P11" s="353">
        <v>0.53472222222222199</v>
      </c>
      <c r="Q11" s="355" t="str">
        <f>'14U_M_Champ'!L25&amp;"-"&amp;'14U_M_Champ'!C25&amp;"-"&amp;TEXT('14U_M_Champ'!B25,"h:mm am/pm")</f>
        <v>14B-029-Group-12:50 PM</v>
      </c>
      <c r="R11" s="355" t="str">
        <f>'14U_M_Champ'!L44&amp;"-"&amp;'14U_M_Champ'!C44&amp;"-"&amp;TEXT('14U_M_Champ'!B44,"h:mm am/pm")</f>
        <v>14B-030-Group-12:50 PM</v>
      </c>
      <c r="S11" s="355" t="str">
        <f>'14U_M_Champ'!L63&amp;"-"&amp;'14U_M_Champ'!C63&amp;"-"&amp;TEXT('14U_M_Champ'!B63,"h:mm am/pm")</f>
        <v>14B-031-Group-12:50 PM</v>
      </c>
      <c r="T11" s="355" t="str">
        <f>'14U_M_Champ'!L82&amp;"-"&amp;'14U_M_Champ'!C82&amp;"-"&amp;TEXT('14U_M_Champ'!B82,"h:mm am/pm")</f>
        <v>14B-032-Group-12:50 PM</v>
      </c>
      <c r="U11" s="356" t="str">
        <f>'14U_M_Invite_36'!L63&amp;"-"&amp;'14U_M_Invite_36'!C63&amp;"-"&amp;TEXT('14U_M_Invite_36'!B63,"h:mm am/pm")</f>
        <v>14BQ-024-Group L-12:50 PM</v>
      </c>
      <c r="V11" s="356" t="str">
        <f>'14U_M_Invite_36'!L43&amp;"-"&amp;'14U_M_Invite_36'!C43&amp;"-"&amp;TEXT('14U_M_Invite_36'!B43,"h:mm am/pm")</f>
        <v>14BQ-023-Group E-12:50 PM</v>
      </c>
      <c r="W11" s="356" t="str">
        <f>'14U_M_Invite_36'!L23&amp;"-"&amp;'14U_M_Invite_36'!C23&amp;"-"&amp;TEXT('14U_M_Invite_36'!B23,"h:mm am/pm")</f>
        <v>14BQ-022-Group D-12:50 PM</v>
      </c>
      <c r="X11" s="353">
        <v>0.53472222222222199</v>
      </c>
      <c r="Y11" s="49"/>
      <c r="Z11" s="357" t="str">
        <f>'16U_M_Invite'!L90&amp;"-"&amp;'16U_M_Invite'!C90&amp;"-"&amp;TEXT('16U_M_Invite'!B90,"h:mm am/pm")</f>
        <v>16BQ-032-Group-12:50 PM</v>
      </c>
      <c r="AA11" s="358" t="str">
        <f>'14U_M_Classic'!L25&amp;"-"&amp;'14U_M_Classic'!C25&amp;"-"&amp;TEXT('14U_M_Classic'!B25,"h:mm am/pm")</f>
        <v>14BX-032-Group-12:50 PM</v>
      </c>
      <c r="AB11" s="358" t="str">
        <f>'14U_M_Classic'!L63&amp;"-"&amp;'14U_M_Classic'!C63&amp;"-"&amp;TEXT('14U_M_Classic'!B63,"h:mm am/pm")</f>
        <v>14BX-030-Group-12:50 PM</v>
      </c>
      <c r="AC11" s="358" t="str">
        <f>'14U_M_Classic'!L85&amp;"-"&amp;'14U_M_Classic'!C85&amp;"-"&amp;TEXT('14U_M_Classic'!B85,"h:mm am/pm")</f>
        <v>14BX-029-Group-12:50 PM</v>
      </c>
      <c r="AD11" s="49"/>
      <c r="AE11" s="357" t="str">
        <f>'16U_M_Invite'!L32&amp;"-"&amp;'16U_M_Invite'!C32&amp;"-"&amp;TEXT('16U_M_Invite'!B32,"h:mm am/pm")</f>
        <v>16BQ-021-Group-1:20 PM</v>
      </c>
      <c r="AF11" s="364"/>
      <c r="AG11" s="359" t="str">
        <f>'18U_M_Classic'!L82&amp;"-"&amp;'18U_M_Classic'!C82&amp;"-"&amp;TEXT('18U_M_Classic'!B82,"h:mm am/pm")</f>
        <v>18BX-032-Group-12:50 PM</v>
      </c>
      <c r="AH11" s="359" t="str">
        <f>'18U_M_Classic'!L44&amp;"-"&amp;'18U_M_Classic'!C44&amp;"-"&amp;TEXT('18U_M_Classic'!B44,"h:mm am/pm")</f>
        <v>18BX-030-Group-12:50 PM</v>
      </c>
      <c r="AI11" s="359" t="str">
        <f>'18U_M_Classic'!L63&amp;"-"&amp;'18U_M_Classic'!C63&amp;"-"&amp;TEXT('18U_M_Classic'!B63,"h:mm am/pm")</f>
        <v>18BX-031-Group-12:50 PM</v>
      </c>
      <c r="AJ11" s="359" t="str">
        <f>'18U_M_Classic'!L25&amp;"-"&amp;'18U_M_Classic'!C25&amp;"-"&amp;TEXT('18U_M_Classic'!B25,"h:mm am/pm")</f>
        <v>18BX-029-Group-12:50 PM</v>
      </c>
      <c r="AK11" s="357" t="str">
        <f>'16U_M_Invite'!L52&amp;"-"&amp;'16U_M_Invite'!C52&amp;"-"&amp;TEXT('16U_M_Invite'!B52,"h:mm am/pm")</f>
        <v>16BQ-030-Group-12:50 PM</v>
      </c>
      <c r="AL11" s="358" t="str">
        <f>'14U_M_Classic'!L44&amp;"-"&amp;'14U_M_Classic'!C44&amp;"-"&amp;TEXT('14U_M_Classic'!B44,"h:mm am/pm")</f>
        <v>14BX-031-Group-12:50 PM</v>
      </c>
      <c r="AM11" s="357" t="str">
        <f>'16U_M_Invite'!L71&amp;"-"&amp;'16U_M_Invite'!C71&amp;"-"&amp;TEXT('16U_M_Invite'!B71,"h:mm am/pm")</f>
        <v>16BQ-031-Group-12:50 PM</v>
      </c>
      <c r="AN11" s="360" t="str">
        <f>'16U_M_Classic'!L63&amp;"-"&amp;'16U_M_Classic'!C63&amp;"-"&amp;TEXT('16U_M_Classic'!B63,"h:mm am/pm")</f>
        <v>16BX-031-Group-12:50 PM</v>
      </c>
      <c r="AO11" s="360" t="str">
        <f>'16U_M_Classic'!L82&amp;"-"&amp;'16U_M_Classic'!C82&amp;"-"&amp;TEXT('16U_M_Classic'!B82,"h:mm am/pm")</f>
        <v>16BX-032-Group-12:50 PM</v>
      </c>
      <c r="AP11" s="360" t="str">
        <f>'16U_M_Classic'!L25&amp;"-"&amp;'16U_M_Classic'!C25&amp;"-"&amp;TEXT('16U_M_Classic'!B25,"h:mm am/pm")</f>
        <v>16BX-029-Group-12:50 PM</v>
      </c>
      <c r="AQ11" s="360" t="str">
        <f>'16U_M_Classic'!L44&amp;"-"&amp;'16U_M_Classic'!C44&amp;"-"&amp;TEXT('16U_M_Classic'!B44,"h:mm am/pm")</f>
        <v>16BX-030-Group-12:50 PM</v>
      </c>
      <c r="AR11" s="352" t="str">
        <f>'18U_M_INVITE_NEW_23'!L45&amp;"-"&amp;'18U_M_INVITE_NEW_23'!C45&amp;"-"&amp;TEXT('18U_M_INVITE_NEW_23'!B45,"h:mm am/pm")</f>
        <v>18BQ-014-Group-1:00 PM</v>
      </c>
      <c r="AS11" s="49"/>
      <c r="AT11" s="361" t="str">
        <f>'18U_M_INVITE_NEW_23'!L24&amp;"-"&amp;'18U_M_INVITE_NEW_23'!C24&amp;"-"&amp;TEXT('18U_M_INVITE_NEW_23'!B24,"h:mm am/pm")</f>
        <v>18BQ-015-Group-12:50 PM</v>
      </c>
      <c r="AU11" s="353">
        <v>0.53472222222222199</v>
      </c>
      <c r="AV11" s="362" t="str">
        <f>'16U_M_Champ'!L25&amp;"-"&amp;'16U_M_Champ'!C25&amp;"-"&amp;TEXT('16U_M_Champ'!B25,"h:mm am/pm")</f>
        <v>16B-029-Group-12:50 PM</v>
      </c>
      <c r="AW11" s="362" t="str">
        <f>'16U_M_Champ'!L44&amp;"-"&amp;'16U_M_Champ'!C44&amp;"-"&amp;TEXT('16U_M_Champ'!B44,"h:mm am/pm")</f>
        <v>16B-030-Group-12:50 PM</v>
      </c>
      <c r="AX11" s="362" t="str">
        <f>'16U_M_Champ'!L63&amp;"-"&amp;'16U_M_Champ'!C63&amp;"-"&amp;TEXT('16U_M_Champ'!B63,"h:mm am/pm")</f>
        <v>16B-031-Group-12:50 PM</v>
      </c>
      <c r="AY11" s="362" t="str">
        <f>'16U_M_Champ'!L82&amp;"-"&amp;'16U_M_Champ'!C82&amp;"-"&amp;TEXT('16U_M_Champ'!B82,"h:mm am/pm")</f>
        <v>16B-032-Group-12:50 PM</v>
      </c>
      <c r="AZ11" s="49"/>
      <c r="BA11" s="353">
        <v>0.58333333333333304</v>
      </c>
      <c r="BB11" s="363" t="str">
        <f>'18U_M_Champ'!L25&amp;"-"&amp;'18U_M_Champ'!C25&amp;"-"&amp;TEXT('18U_M_Champ'!B25,"h:mm am/pm")</f>
        <v>18B-036-Group-2:00 PM</v>
      </c>
      <c r="BC11" s="363" t="str">
        <f>'18U_M_Champ'!L73&amp;"-"&amp;'18U_M_Champ'!C73&amp;"-"&amp;TEXT('18U_M_Champ'!B73,"h:mm am/pm")</f>
        <v>18B-039-Group-2:00 PM</v>
      </c>
      <c r="BD11" s="363" t="str">
        <f>'18U_M_Champ'!L41&amp;"-"&amp;'18U_M_Champ'!C41&amp;"-"&amp;TEXT('18U_M_Champ'!B41,"h:mm am/pm")</f>
        <v>18B-037-Group-2:00 PM</v>
      </c>
      <c r="BE11" s="363" t="str">
        <f>'18U_M_Champ'!L57&amp;"-"&amp;'18U_M_Champ'!C57&amp;"-"&amp;TEXT('18U_M_Champ'!B57,"h:mm am/pm")</f>
        <v>18B-038-Group-2:00 PM</v>
      </c>
      <c r="BF11" s="363" t="str">
        <f>'18U_M_Champ'!L89&amp;"-"&amp;'18U_M_Champ'!C89&amp;"-"&amp;TEXT('18U_M_Champ'!B89,"h:mm am/pm")</f>
        <v>18B-040-Group-2:00 PM</v>
      </c>
    </row>
    <row r="12" spans="1:61">
      <c r="A12" s="353">
        <v>0.56944444444444497</v>
      </c>
      <c r="B12" s="55" t="str">
        <f>'10U_M_Champ_35'!L64&amp;"-"&amp;'10U_M_Champ_35'!C64&amp;"-"&amp;TEXT('10U_M_Champ_35'!B64,"h:mm am/pm")</f>
        <v>10B-030-Group J-1:40 PM</v>
      </c>
      <c r="C12" s="55" t="str">
        <f>'10U_M_Champ_35'!L24&amp;"-"&amp;'10U_M_Champ_35'!C24&amp;"-"&amp;TEXT('10U_M_Champ_35'!B24,"h:mm am/pm")</f>
        <v>10B-025-Group A-1:40 PM</v>
      </c>
      <c r="D12" s="55" t="str">
        <f>'10U_M_Champ_35'!L44&amp;"-"&amp;'10U_M_Champ_35'!C44&amp;"-"&amp;TEXT('10U_M_Champ_35'!B44,"h:mm am/pm")</f>
        <v>10B-026-Group H-1:40 PM</v>
      </c>
      <c r="E12" s="354" t="str">
        <f>'12U_M_Classic_53'!L76&amp;"-"&amp;'12U_M_Classic_53'!C76&amp;"-"&amp;TEXT('12U_M_Classic_53'!B76,"h:mm am/pm")</f>
        <v>12BX-040-Group-1:40 PM</v>
      </c>
      <c r="F12" s="354" t="str">
        <f>'12U_M_Classic_53'!L96&amp;"-"&amp;'12U_M_Classic_53'!C96&amp;"-"&amp;TEXT('12U_M_Classic_53'!B96,"h:mm am/pm")</f>
        <v>12BX-041-Group-1:40 PM</v>
      </c>
      <c r="G12" s="354" t="str">
        <f>'12U_M_Classic_53'!L116&amp;"-"&amp;'12U_M_Classic_53'!C116&amp;"-"&amp;TEXT('12U_M_Classic_53'!B116,"h:mm am/pm")</f>
        <v>12BX-033-Group-1:40 PM</v>
      </c>
      <c r="H12" s="354" t="str">
        <f>'12U_M_Classic_53'!L37&amp;"-"&amp;'12U_M_Classic_53'!C37&amp;"-"&amp;TEXT('12U_M_Classic_53'!B37,"h:mm am/pm")</f>
        <v>12BX-53A-Group-1:40 PM</v>
      </c>
      <c r="I12" s="353">
        <v>0.56944444444444497</v>
      </c>
      <c r="J12" s="354" t="str">
        <f>'12U_M_Classic_53'!L56&amp;"-"&amp;'12U_M_Classic_53'!C56&amp;"-"&amp;TEXT('12U_M_Classic_53'!B56,"h:mm am/pm")</f>
        <v>12BX-039-Group-1:40 PM</v>
      </c>
      <c r="K12" s="353">
        <v>0.56944444444444497</v>
      </c>
      <c r="L12" s="56" t="str">
        <f>'12U_M_Champ'!L26&amp;"-"&amp;'12U_M_Champ'!C26&amp;"-"&amp;TEXT('12U_M_Champ'!B26,"h:mm am/pm")</f>
        <v>12B-033-Group-1:40 PM</v>
      </c>
      <c r="M12" s="56" t="str">
        <f>'12U_M_Champ'!L45&amp;"-"&amp;'12U_M_Champ'!C45&amp;"-"&amp;TEXT('12U_M_Champ'!B45,"h:mm am/pm")</f>
        <v>12B-034-Group-1:40 PM</v>
      </c>
      <c r="N12" s="56" t="str">
        <f>'12U_M_Champ'!L64&amp;"-"&amp;'12U_M_Champ'!C64&amp;"-"&amp;TEXT('12U_M_Champ'!B64,"h:mm am/pm")</f>
        <v>12B-035-Group-1:40 PM</v>
      </c>
      <c r="O12" s="56" t="str">
        <f>'12U_M_Champ'!L83&amp;"-"&amp;'12U_M_Champ'!C83&amp;"-"&amp;TEXT('12U_M_Champ'!B83,"h:mm am/pm")</f>
        <v>12B-036-Group-1:40 PM</v>
      </c>
      <c r="P12" s="353">
        <v>0.56944444444444497</v>
      </c>
      <c r="Q12" s="355" t="str">
        <f>'14U_M_Champ'!L26&amp;"-"&amp;'14U_M_Champ'!C26&amp;"-"&amp;TEXT('14U_M_Champ'!B26,"h:mm am/pm")</f>
        <v>14B-033-Group-1:40 PM</v>
      </c>
      <c r="R12" s="355" t="str">
        <f>'14U_M_Champ'!L45&amp;"-"&amp;'14U_M_Champ'!C45&amp;"-"&amp;TEXT('14U_M_Champ'!B45,"h:mm am/pm")</f>
        <v>14B-034-Group-1:40 PM</v>
      </c>
      <c r="S12" s="355" t="str">
        <f>'14U_M_Champ'!L64&amp;"-"&amp;'14U_M_Champ'!C64&amp;"-"&amp;TEXT('14U_M_Champ'!B64,"h:mm am/pm")</f>
        <v>14B-035-Group-1:40 PM</v>
      </c>
      <c r="T12" s="355" t="str">
        <f>'14U_M_Champ'!L83&amp;"-"&amp;'14U_M_Champ'!C83&amp;"-"&amp;TEXT('14U_M_Champ'!B83,"h:mm am/pm")</f>
        <v>14B-036-Group-1:40 PM</v>
      </c>
      <c r="U12" s="356" t="str">
        <f>'14U_M_Invite_36'!L64&amp;"-"&amp;'14U_M_Invite_36'!C64&amp;"-"&amp;TEXT('14U_M_Invite_36'!B64,"h:mm am/pm")</f>
        <v>14BQ-027-Group I-1:40 PM</v>
      </c>
      <c r="V12" s="356" t="str">
        <f>'14U_M_Invite_36'!L44&amp;"-"&amp;'14U_M_Invite_36'!C44&amp;"-"&amp;TEXT('14U_M_Invite_36'!B44,"h:mm am/pm")</f>
        <v>14BQ-026-Group H-1:40 PM</v>
      </c>
      <c r="W12" s="356" t="str">
        <f>'14U_M_Invite_36'!L24&amp;"-"&amp;'14U_M_Invite_36'!C24&amp;"-"&amp;TEXT('14U_M_Invite_36'!B24,"h:mm am/pm")</f>
        <v>14BQ-025-Group A-1:40 PM</v>
      </c>
      <c r="X12" s="353">
        <v>0.56944444444444497</v>
      </c>
      <c r="Y12" s="49"/>
      <c r="Z12" s="357" t="str">
        <f>'16U_M_Invite'!L91&amp;"-"&amp;'16U_M_Invite'!C91&amp;"-"&amp;TEXT('16U_M_Invite'!B91,"h:mm am/pm")</f>
        <v>16BQ-036-Group-1:40 PM</v>
      </c>
      <c r="AA12" s="358" t="str">
        <f>'14U_M_Classic'!L26&amp;"-"&amp;'14U_M_Classic'!C26&amp;"-"&amp;TEXT('14U_M_Classic'!B26,"h:mm am/pm")</f>
        <v>14BX-036-Group-1:40 PM</v>
      </c>
      <c r="AB12" s="358" t="str">
        <f>'14U_M_Classic'!L64&amp;"-"&amp;'14U_M_Classic'!C64&amp;"-"&amp;TEXT('14U_M_Classic'!B64,"h:mm am/pm")</f>
        <v>14BX-034-Group-1:40 PM</v>
      </c>
      <c r="AC12" s="358" t="str">
        <f>'14U_M_Classic'!L86&amp;"-"&amp;'14U_M_Classic'!C86&amp;"-"&amp;TEXT('14U_M_Classic'!B86,"h:mm am/pm")</f>
        <v>14BX-033-Group-1:40 PM</v>
      </c>
      <c r="AD12" s="49"/>
      <c r="AE12" s="357" t="str">
        <f>'16U_M_Invite'!L33&amp;"-"&amp;'16U_M_Invite'!C33&amp;"-"&amp;TEXT('16U_M_Invite'!B33,"h:mm am/pm")</f>
        <v>16BQ-025-Group-2:10 PM</v>
      </c>
      <c r="AF12" s="364"/>
      <c r="AG12" s="359" t="str">
        <f>'18U_M_Classic'!L83&amp;"-"&amp;'18U_M_Classic'!C83&amp;"-"&amp;TEXT('18U_M_Classic'!B83,"h:mm am/pm")</f>
        <v>18BX-036-Group-1:40 PM</v>
      </c>
      <c r="AH12" s="359" t="str">
        <f>'18U_M_Classic'!L45&amp;"-"&amp;'18U_M_Classic'!C45&amp;"-"&amp;TEXT('18U_M_Classic'!B45,"h:mm am/pm")</f>
        <v>18BX-034-Group-1:40 PM</v>
      </c>
      <c r="AI12" s="359" t="str">
        <f>'18U_M_Classic'!L64&amp;"-"&amp;'18U_M_Classic'!C64&amp;"-"&amp;TEXT('18U_M_Classic'!B64,"h:mm am/pm")</f>
        <v>18BX-035-Group-1:40 PM</v>
      </c>
      <c r="AJ12" s="359" t="str">
        <f>'18U_M_Classic'!L26&amp;"-"&amp;'18U_M_Classic'!C26&amp;"-"&amp;TEXT('18U_M_Classic'!B26,"h:mm am/pm")</f>
        <v>18BX-033-Group-1:40 PM</v>
      </c>
      <c r="AK12" s="357" t="str">
        <f>'16U_M_Invite'!L53&amp;"-"&amp;'16U_M_Invite'!C53&amp;"-"&amp;TEXT('16U_M_Invite'!B53,"h:mm am/pm")</f>
        <v>16BQ-034-Group-1:40 PM</v>
      </c>
      <c r="AL12" s="358" t="str">
        <f>'14U_M_Classic'!L45&amp;"-"&amp;'14U_M_Classic'!C45&amp;"-"&amp;TEXT('14U_M_Classic'!B45,"h:mm am/pm")</f>
        <v>14BX-035-Group-1:40 PM</v>
      </c>
      <c r="AM12" s="357" t="str">
        <f>'16U_M_Invite'!L72&amp;"-"&amp;'16U_M_Invite'!C72&amp;"-"&amp;TEXT('16U_M_Invite'!B72,"h:mm am/pm")</f>
        <v>16BQ-035-Group-1:40 PM</v>
      </c>
      <c r="AN12" s="360" t="str">
        <f>'16U_M_Classic'!L64&amp;"-"&amp;'16U_M_Classic'!C64&amp;"-"&amp;TEXT('16U_M_Classic'!B64,"h:mm am/pm")</f>
        <v>16BX-035-Group-1:40 PM</v>
      </c>
      <c r="AO12" s="360" t="str">
        <f>'16U_M_Classic'!L83&amp;"-"&amp;'16U_M_Classic'!C83&amp;"-"&amp;TEXT('16U_M_Classic'!B83,"h:mm am/pm")</f>
        <v>16BX-036-Group-1:40 PM</v>
      </c>
      <c r="AP12" s="360" t="str">
        <f>'16U_M_Classic'!L26&amp;"-"&amp;'16U_M_Classic'!C26&amp;"-"&amp;TEXT('16U_M_Classic'!B26,"h:mm am/pm")</f>
        <v>16BX-033-Group-1:40 PM</v>
      </c>
      <c r="AQ12" s="360" t="str">
        <f>'16U_M_Classic'!L45&amp;"-"&amp;'16U_M_Classic'!C45&amp;"-"&amp;TEXT('16U_M_Classic'!B45,"h:mm am/pm")</f>
        <v>16BX-034-Group-1:40 PM</v>
      </c>
      <c r="AR12" s="352" t="str">
        <f>'18U_M_INVITE_NEW_23'!L46&amp;"-"&amp;'18U_M_INVITE_NEW_23'!C46&amp;"-"&amp;TEXT('18U_M_INVITE_NEW_23'!B46,"h:mm am/pm")</f>
        <v>18BQ-016-Group-1:50 PM</v>
      </c>
      <c r="AS12" s="49"/>
      <c r="AT12" s="361" t="str">
        <f>'18U_M_INVITE_NEW_23'!L25&amp;"-"&amp;'18U_M_INVITE_NEW_23'!C25&amp;"-"&amp;TEXT('18U_M_INVITE_NEW_23'!B25,"h:mm am/pm")</f>
        <v>18BQ-017-Group-1:40 PM</v>
      </c>
      <c r="AU12" s="353">
        <v>0.56944444444444497</v>
      </c>
      <c r="AV12" s="362" t="str">
        <f>'16U_M_Champ'!L26&amp;"-"&amp;'16U_M_Champ'!C26&amp;"-"&amp;TEXT('16U_M_Champ'!B26,"h:mm am/pm")</f>
        <v>16B-033-Group-1:40 PM</v>
      </c>
      <c r="AW12" s="362" t="str">
        <f>'16U_M_Champ'!L45&amp;"-"&amp;'16U_M_Champ'!C45&amp;"-"&amp;TEXT('16U_M_Champ'!B45,"h:mm am/pm")</f>
        <v>16B-034-Group-1:40 PM</v>
      </c>
      <c r="AX12" s="362" t="str">
        <f>'16U_M_Champ'!L64&amp;"-"&amp;'16U_M_Champ'!C64&amp;"-"&amp;TEXT('16U_M_Champ'!B64,"h:mm am/pm")</f>
        <v>16B-035-Group-1:40 PM</v>
      </c>
      <c r="AY12" s="362" t="str">
        <f>'16U_M_Champ'!L83&amp;"-"&amp;'16U_M_Champ'!C83&amp;"-"&amp;TEXT('16U_M_Champ'!B83,"h:mm am/pm")</f>
        <v>16B-036-Group-1:40 PM</v>
      </c>
      <c r="AZ12" s="49"/>
      <c r="BA12" s="353">
        <v>0.625</v>
      </c>
      <c r="BB12" s="363" t="str">
        <f>'18U_M_Champ'!L26&amp;"-"&amp;'18U_M_Champ'!C26&amp;"-"&amp;TEXT('18U_M_Champ'!B26,"h:mm am/pm")</f>
        <v>18B-041-Group-3:00 PM</v>
      </c>
      <c r="BC12" s="363" t="str">
        <f>'18U_M_Champ'!L74&amp;"-"&amp;'18U_M_Champ'!C74&amp;"-"&amp;TEXT('18U_M_Champ'!B74,"h:mm am/pm")</f>
        <v>18B-044-Group-3:00 PM</v>
      </c>
      <c r="BD12" s="363" t="str">
        <f>'18U_M_Champ'!L42&amp;"-"&amp;'18U_M_Champ'!C42&amp;"-"&amp;TEXT('18U_M_Champ'!B42,"h:mm am/pm")</f>
        <v>18B-042-Group-3:00 PM</v>
      </c>
      <c r="BE12" s="363" t="str">
        <f>'18U_M_Champ'!L58&amp;"-"&amp;'18U_M_Champ'!C58&amp;"-"&amp;TEXT('18U_M_Champ'!B58,"h:mm am/pm")</f>
        <v>18B-043-Group-3:00 PM</v>
      </c>
    </row>
    <row r="13" spans="1:61">
      <c r="A13" s="353">
        <v>0.60416666666666696</v>
      </c>
      <c r="B13" s="55" t="str">
        <f>'10U_M_Champ_35'!L65&amp;"-"&amp;'10U_M_Champ_35'!C65&amp;"-"&amp;TEXT('10U_M_Champ_35'!B65,"h:mm am/pm")</f>
        <v>10B-036-Group L-2:30 PM</v>
      </c>
      <c r="C13" s="55" t="str">
        <f>'10U_M_Champ_35'!L25&amp;"-"&amp;'10U_M_Champ_35'!C25&amp;"-"&amp;TEXT('10U_M_Champ_35'!B25,"h:mm am/pm")</f>
        <v>10B-028-Group B-2:30 PM</v>
      </c>
      <c r="D13" s="55" t="str">
        <f>'10U_M_Champ_35'!L45&amp;"-"&amp;'10U_M_Champ_35'!C45&amp;"-"&amp;TEXT('10U_M_Champ_35'!B45,"h:mm am/pm")</f>
        <v>10B-029-Group G-2:30 PM</v>
      </c>
      <c r="E13" s="354" t="str">
        <f>'12U_M_Classic_53'!L77&amp;"-"&amp;'12U_M_Classic_53'!C77&amp;"-"&amp;TEXT('12U_M_Classic_53'!B77,"h:mm am/pm")</f>
        <v>12BX-045-Group-2:30 PM</v>
      </c>
      <c r="F13" s="354" t="str">
        <f>'12U_M_Classic_53'!L97&amp;"-"&amp;'12U_M_Classic_53'!C97&amp;"-"&amp;TEXT('12U_M_Classic_53'!B97,"h:mm am/pm")</f>
        <v>12BX-046-Group-2:30 PM</v>
      </c>
      <c r="G13" s="354" t="str">
        <f>'12U_M_Classic_53'!L117&amp;"-"&amp;'12U_M_Classic_53'!C117&amp;"-"&amp;TEXT('12U_M_Classic_53'!B117,"h:mm am/pm")</f>
        <v>12BX-037-Group-2:30 PM</v>
      </c>
      <c r="H13" s="354" t="str">
        <f>'12U_M_Classic_53'!L38&amp;"-"&amp;'12U_M_Classic_53'!C38&amp;"-"&amp;TEXT('12U_M_Classic_53'!B38,"h:mm am/pm")</f>
        <v>12BX-53B-Group-2:30 PM</v>
      </c>
      <c r="I13" s="353">
        <v>0.60416666666666696</v>
      </c>
      <c r="J13" s="354" t="str">
        <f>'12U_M_Classic_53'!L57&amp;"-"&amp;'12U_M_Classic_53'!C57&amp;"-"&amp;TEXT('12U_M_Classic_53'!B57,"h:mm am/pm")</f>
        <v>12BX-044-Group-2:30 PM</v>
      </c>
      <c r="K13" s="353">
        <v>0.60416666666666696</v>
      </c>
      <c r="L13" s="56" t="str">
        <f>'12U_M_Champ'!L27&amp;"-"&amp;'12U_M_Champ'!C27&amp;"-"&amp;TEXT('12U_M_Champ'!B27,"h:mm am/pm")</f>
        <v>12B-037-Group-2:30 PM</v>
      </c>
      <c r="M13" s="56" t="str">
        <f>'12U_M_Champ'!L46&amp;"-"&amp;'12U_M_Champ'!C46&amp;"-"&amp;TEXT('12U_M_Champ'!B46,"h:mm am/pm")</f>
        <v>12B-038-Group-2:30 PM</v>
      </c>
      <c r="N13" s="56" t="str">
        <f>'12U_M_Champ'!L65&amp;"-"&amp;'12U_M_Champ'!C65&amp;"-"&amp;TEXT('12U_M_Champ'!B65,"h:mm am/pm")</f>
        <v>12B-039-Group-2:30 PM</v>
      </c>
      <c r="O13" s="56" t="str">
        <f>'12U_M_Champ'!L84&amp;"-"&amp;'12U_M_Champ'!C84&amp;"-"&amp;TEXT('12U_M_Champ'!B84,"h:mm am/pm")</f>
        <v>12B-040-Group-2:30 PM</v>
      </c>
      <c r="P13" s="353">
        <v>0.60416666666666696</v>
      </c>
      <c r="Q13" s="355" t="str">
        <f>'14U_M_Champ'!L27&amp;"-"&amp;'14U_M_Champ'!C27&amp;"-"&amp;TEXT('14U_M_Champ'!B27,"h:mm am/pm")</f>
        <v>14B-037-Group-2:30 PM</v>
      </c>
      <c r="R13" s="355" t="str">
        <f>'14U_M_Champ'!L46&amp;"-"&amp;'14U_M_Champ'!C46&amp;"-"&amp;TEXT('14U_M_Champ'!B46,"h:mm am/pm")</f>
        <v>14B-038-Group-2:30 PM</v>
      </c>
      <c r="S13" s="355" t="str">
        <f>'14U_M_Champ'!L65&amp;"-"&amp;'14U_M_Champ'!C65&amp;"-"&amp;TEXT('14U_M_Champ'!B65,"h:mm am/pm")</f>
        <v>14B-039-Group-2:30 PM</v>
      </c>
      <c r="T13" s="355" t="str">
        <f>'14U_M_Champ'!L84&amp;"-"&amp;'14U_M_Champ'!C84&amp;"-"&amp;TEXT('14U_M_Champ'!B84,"h:mm am/pm")</f>
        <v>14B-040-Group-2:30 PM</v>
      </c>
      <c r="U13" s="356" t="str">
        <f>'14U_M_Invite_36'!L65&amp;"-"&amp;'14U_M_Invite_36'!C65&amp;"-"&amp;TEXT('14U_M_Invite_36'!B65,"h:mm am/pm")</f>
        <v>14BQ-030-Group J-2:30 PM</v>
      </c>
      <c r="V13" s="356" t="str">
        <f>'14U_M_Invite_36'!L45&amp;"-"&amp;'14U_M_Invite_36'!C45&amp;"-"&amp;TEXT('14U_M_Invite_36'!B45,"h:mm am/pm")</f>
        <v>14BQ-029-Group G-2:30 PM</v>
      </c>
      <c r="W13" s="356" t="str">
        <f>'14U_M_Invite_36'!L25&amp;"-"&amp;'14U_M_Invite_36'!C25&amp;"-"&amp;TEXT('14U_M_Invite_36'!B25,"h:mm am/pm")</f>
        <v>14BQ-028-Group B-2:30 PM</v>
      </c>
      <c r="X13" s="353">
        <v>0.60416666666666696</v>
      </c>
      <c r="Z13" s="357" t="str">
        <f>'16U_M_Invite'!L92&amp;"-"&amp;'16U_M_Invite'!C92&amp;"-"&amp;TEXT('16U_M_Invite'!B92,"h:mm am/pm")</f>
        <v>16BQ-040-Group-2:30 PM</v>
      </c>
      <c r="AA13" s="358" t="str">
        <f>'14U_M_Classic'!L27&amp;"-"&amp;'14U_M_Classic'!C27&amp;"-"&amp;TEXT('14U_M_Classic'!B27,"h:mm am/pm")</f>
        <v>14BX-040-Group-2:30 PM</v>
      </c>
      <c r="AB13" s="358" t="str">
        <f>'14U_M_Classic'!L65&amp;"-"&amp;'14U_M_Classic'!C65&amp;"-"&amp;TEXT('14U_M_Classic'!B65,"h:mm am/pm")</f>
        <v>14BX-038-Group-2:30 PM</v>
      </c>
      <c r="AC13" s="358" t="str">
        <f>'14U_M_Classic'!L87&amp;"-"&amp;'14U_M_Classic'!C87&amp;"-"&amp;TEXT('14U_M_Classic'!B87,"h:mm am/pm")</f>
        <v>14BX-037-Group-2:30 PM</v>
      </c>
      <c r="AD13" s="49"/>
      <c r="AE13" s="357" t="str">
        <f>'16U_M_Invite'!L34&amp;"-"&amp;'16U_M_Invite'!C34&amp;"-"&amp;TEXT('16U_M_Invite'!B34,"h:mm am/pm")</f>
        <v>16BQ-029-Group-3:00 PM</v>
      </c>
      <c r="AF13" s="364"/>
      <c r="AG13" s="359" t="str">
        <f>'18U_M_Classic'!L84&amp;"-"&amp;'18U_M_Classic'!C84&amp;"-"&amp;TEXT('18U_M_Classic'!B84,"h:mm am/pm")</f>
        <v>18BX-040-Group-2:30 PM</v>
      </c>
      <c r="AH13" s="359" t="str">
        <f>'18U_M_Classic'!L46&amp;"-"&amp;'18U_M_Classic'!C46&amp;"-"&amp;TEXT('18U_M_Classic'!B46,"h:mm am/pm")</f>
        <v>18BX-038-Group-2:30 PM</v>
      </c>
      <c r="AI13" s="359" t="str">
        <f>'18U_M_Classic'!L65&amp;"-"&amp;'18U_M_Classic'!C65&amp;"-"&amp;TEXT('18U_M_Classic'!B65,"h:mm am/pm")</f>
        <v>18BX-039-Group-2:30 PM</v>
      </c>
      <c r="AJ13" s="359" t="str">
        <f>'18U_M_Classic'!L27&amp;"-"&amp;'18U_M_Classic'!C27&amp;"-"&amp;TEXT('18U_M_Classic'!B27,"h:mm am/pm")</f>
        <v>18BX-037-Group-2:30 PM</v>
      </c>
      <c r="AK13" s="357" t="str">
        <f>'16U_M_Invite'!L54&amp;"-"&amp;'16U_M_Invite'!C54&amp;"-"&amp;TEXT('16U_M_Invite'!B54,"h:mm am/pm")</f>
        <v>16BQ-038-Group-2:30 PM</v>
      </c>
      <c r="AL13" s="358" t="str">
        <f>'14U_M_Classic'!L46&amp;"-"&amp;'14U_M_Classic'!C46&amp;"-"&amp;TEXT('14U_M_Classic'!B46,"h:mm am/pm")</f>
        <v>14BX-039-Group-2:30 PM</v>
      </c>
      <c r="AM13" s="357" t="str">
        <f>'16U_M_Invite'!L73&amp;"-"&amp;'16U_M_Invite'!C73&amp;"-"&amp;TEXT('16U_M_Invite'!B73,"h:mm am/pm")</f>
        <v>16BQ-039-Group-2:30 PM</v>
      </c>
      <c r="AN13" s="360" t="str">
        <f>'16U_M_Classic'!L65&amp;"-"&amp;'16U_M_Classic'!C65&amp;"-"&amp;TEXT('16U_M_Classic'!B65,"h:mm am/pm")</f>
        <v>16BX-039-Group-2:30 PM</v>
      </c>
      <c r="AO13" s="360" t="str">
        <f>'16U_M_Classic'!L84&amp;"-"&amp;'16U_M_Classic'!C84&amp;"-"&amp;TEXT('16U_M_Classic'!B84,"h:mm am/pm")</f>
        <v>16BX-040-Group-2:30 PM</v>
      </c>
      <c r="AP13" s="360" t="str">
        <f>'16U_M_Classic'!L27&amp;"-"&amp;'16U_M_Classic'!C27&amp;"-"&amp;TEXT('16U_M_Classic'!B27,"h:mm am/pm")</f>
        <v>16BX-037-Group-2:30 PM</v>
      </c>
      <c r="AQ13" s="360" t="str">
        <f>'16U_M_Classic'!L46&amp;"-"&amp;'16U_M_Classic'!C46&amp;"-"&amp;TEXT('16U_M_Classic'!B46,"h:mm am/pm")</f>
        <v>16BX-038-Group-2:30 PM</v>
      </c>
      <c r="AR13" s="352" t="str">
        <f>'18U_M_INVITE_NEW_23'!L47&amp;"-"&amp;'18U_M_INVITE_NEW_23'!C47&amp;"-"&amp;TEXT('18U_M_INVITE_NEW_23'!B47,"h:mm am/pm")</f>
        <v>18BQ-018-Group-2:40 PM</v>
      </c>
      <c r="AS13" s="49"/>
      <c r="AT13" s="361" t="str">
        <f>'18U_M_INVITE_NEW_23'!L26&amp;"-"&amp;'18U_M_INVITE_NEW_23'!C26&amp;"-"&amp;TEXT('18U_M_INVITE_NEW_23'!B26,"h:mm am/pm")</f>
        <v>18BQ-019-Group-2:30 PM</v>
      </c>
      <c r="AU13" s="353">
        <v>0.60416666666666696</v>
      </c>
      <c r="AV13" s="362" t="str">
        <f>'16U_M_Champ'!L27&amp;"-"&amp;'16U_M_Champ'!C27&amp;"-"&amp;TEXT('16U_M_Champ'!B27,"h:mm am/pm")</f>
        <v>16B-037-Group-2:30 PM</v>
      </c>
      <c r="AW13" s="362" t="str">
        <f>'16U_M_Champ'!L46&amp;"-"&amp;'16U_M_Champ'!C46&amp;"-"&amp;TEXT('16U_M_Champ'!B46,"h:mm am/pm")</f>
        <v>16B-038-Group-2:30 PM</v>
      </c>
      <c r="AX13" s="362" t="str">
        <f>'16U_M_Champ'!L65&amp;"-"&amp;'16U_M_Champ'!C65&amp;"-"&amp;TEXT('16U_M_Champ'!B65,"h:mm am/pm")</f>
        <v>16B-039-Group-2:30 PM</v>
      </c>
      <c r="AY13" s="362" t="str">
        <f>'16U_M_Champ'!L84&amp;"-"&amp;'16U_M_Champ'!C84&amp;"-"&amp;TEXT('16U_M_Champ'!B84,"h:mm am/pm")</f>
        <v>16B-040-Group-2:30 PM</v>
      </c>
      <c r="AZ13" s="49"/>
      <c r="BA13" s="353">
        <v>0.66666666666666696</v>
      </c>
      <c r="BB13" s="363" t="str">
        <f>'18U_M_Champ'!L27&amp;"-"&amp;'18U_M_Champ'!C27&amp;"-"&amp;TEXT('18U_M_Champ'!B27,"h:mm am/pm")</f>
        <v>18B-045-Group-4:00 PM</v>
      </c>
      <c r="BC13" s="363" t="str">
        <f>'18U_M_Champ'!L75&amp;"-"&amp;'18U_M_Champ'!C75&amp;"-"&amp;TEXT('18U_M_Champ'!B75,"h:mm am/pm")</f>
        <v>18B-048-Group-4:00 PM</v>
      </c>
      <c r="BD13" s="363" t="str">
        <f>'18U_M_Champ'!L43&amp;"-"&amp;'18U_M_Champ'!C43&amp;"-"&amp;TEXT('18U_M_Champ'!B43,"h:mm am/pm")</f>
        <v>18B-046-Group-4:00 PM</v>
      </c>
      <c r="BE13" s="363" t="str">
        <f>'18U_M_Champ'!L59&amp;"-"&amp;'18U_M_Champ'!C59&amp;"-"&amp;TEXT('18U_M_Champ'!B59,"h:mm am/pm")</f>
        <v>18B-047-Group-4:00 PM</v>
      </c>
      <c r="BF13" s="363" t="str">
        <f>'18U_M_Champ'!L91&amp;"-"&amp;'18U_M_Champ'!C91&amp;"-"&amp;TEXT('18U_M_Champ'!B91,"h:mm am/pm")</f>
        <v>18B-049-2-3 cross-4:00 PM</v>
      </c>
    </row>
    <row r="14" spans="1:61">
      <c r="A14" s="353">
        <v>0.63888888888888895</v>
      </c>
      <c r="C14" s="55" t="str">
        <f>'10U_M_Champ_35'!L26&amp;"-"&amp;'10U_M_Champ_35'!C26&amp;"-"&amp;TEXT('10U_M_Champ_35'!B26,"h:mm am/pm")</f>
        <v>10B-031-Group C-3:20 PM</v>
      </c>
      <c r="D14" s="55" t="str">
        <f>'10U_M_Champ_35'!L46&amp;"-"&amp;'10U_M_Champ_35'!C46&amp;"-"&amp;TEXT('10U_M_Champ_35'!B46,"h:mm am/pm")</f>
        <v>10B-032-Group F-3:20 PM</v>
      </c>
      <c r="E14" s="354" t="str">
        <f>'12U_M_Classic_53'!L78&amp;"-"&amp;'12U_M_Classic_53'!C78&amp;"-"&amp;TEXT('12U_M_Classic_53'!B78,"h:mm am/pm")</f>
        <v>12BX-050-Group-3:20 PM</v>
      </c>
      <c r="F14" s="354" t="str">
        <f>'12U_M_Classic_53'!L98&amp;"-"&amp;'12U_M_Classic_53'!C98&amp;"-"&amp;TEXT('12U_M_Classic_53'!B98,"h:mm am/pm")</f>
        <v>12BX-051-Group-3:20 PM</v>
      </c>
      <c r="G14" s="354" t="str">
        <f>'12U_M_Classic_53'!L118&amp;"-"&amp;'12U_M_Classic_53'!C118&amp;"-"&amp;TEXT('12U_M_Classic_53'!B118,"h:mm am/pm")</f>
        <v>12BX-042-Group-3:20 PM</v>
      </c>
      <c r="H14" s="354" t="str">
        <f>'12U_M_Classic_53'!L39&amp;"-"&amp;'12U_M_Classic_53'!C39&amp;"-"&amp;TEXT('12U_M_Classic_53'!B39,"h:mm am/pm")</f>
        <v>12BX-048-Group-3:20 PM</v>
      </c>
      <c r="I14" s="353">
        <v>0.63888888888888895</v>
      </c>
      <c r="J14" s="354" t="str">
        <f>'12U_M_Classic_53'!L58&amp;"-"&amp;'12U_M_Classic_53'!C58&amp;"-"&amp;TEXT('12U_M_Classic_53'!B58,"h:mm am/pm")</f>
        <v>12BX-049-Group-3:20 PM</v>
      </c>
      <c r="K14" s="353">
        <v>0.63888888888888895</v>
      </c>
      <c r="L14" s="56" t="str">
        <f>'12U_M_Champ'!L28&amp;"-"&amp;'12U_M_Champ'!C28&amp;"-"&amp;TEXT('12U_M_Champ'!B28,"h:mm am/pm")</f>
        <v>12B-041-Group-3:20 PM</v>
      </c>
      <c r="M14" s="56" t="str">
        <f>'12U_M_Champ'!L47&amp;"-"&amp;'12U_M_Champ'!C47&amp;"-"&amp;TEXT('12U_M_Champ'!B47,"h:mm am/pm")</f>
        <v>12B-042-Group-3:20 PM</v>
      </c>
      <c r="N14" s="56" t="str">
        <f>'12U_M_Champ'!L66&amp;"-"&amp;'12U_M_Champ'!C66&amp;"-"&amp;TEXT('12U_M_Champ'!B66,"h:mm am/pm")</f>
        <v>12B-043-Group-3:20 PM</v>
      </c>
      <c r="O14" s="56" t="str">
        <f>'12U_M_Champ'!L85&amp;"-"&amp;'12U_M_Champ'!C85&amp;"-"&amp;TEXT('12U_M_Champ'!B85,"h:mm am/pm")</f>
        <v>12B-044-Group-3:20 PM</v>
      </c>
      <c r="P14" s="353">
        <v>0.63888888888888895</v>
      </c>
      <c r="Q14" s="355" t="str">
        <f>'14U_M_Champ'!L28&amp;"-"&amp;'14U_M_Champ'!C28&amp;"-"&amp;TEXT('14U_M_Champ'!B28,"h:mm am/pm")</f>
        <v>14B-041-Group-3:20 PM</v>
      </c>
      <c r="R14" s="355" t="str">
        <f>'14U_M_Champ'!L47&amp;"-"&amp;'14U_M_Champ'!C47&amp;"-"&amp;TEXT('14U_M_Champ'!B47,"h:mm am/pm")</f>
        <v>14B-042-Group-3:20 PM</v>
      </c>
      <c r="S14" s="355" t="str">
        <f>'14U_M_Champ'!L66&amp;"-"&amp;'14U_M_Champ'!C66&amp;"-"&amp;TEXT('14U_M_Champ'!B66,"h:mm am/pm")</f>
        <v>14B-043-Group-3:20 PM</v>
      </c>
      <c r="T14" s="355" t="str">
        <f>'14U_M_Champ'!L85&amp;"-"&amp;'14U_M_Champ'!C85&amp;"-"&amp;TEXT('14U_M_Champ'!B85,"h:mm am/pm")</f>
        <v>14B-044-Group-3:20 PM</v>
      </c>
      <c r="U14" s="356" t="str">
        <f>'14U_M_Invite_36'!L66&amp;"-"&amp;'14U_M_Invite_36'!C66&amp;"-"&amp;TEXT('14U_M_Invite_36'!B66,"h:mm am/pm")</f>
        <v>14BQ-033-Group K-3:20 PM</v>
      </c>
      <c r="V14" s="356" t="str">
        <f>'14U_M_Invite_36'!L46&amp;"-"&amp;'14U_M_Invite_36'!C46&amp;"-"&amp;TEXT('14U_M_Invite_36'!B46,"h:mm am/pm")</f>
        <v>14BQ-032-Group F-3:20 PM</v>
      </c>
      <c r="W14" s="356" t="str">
        <f>'14U_M_Invite_36'!L26&amp;"-"&amp;'14U_M_Invite_36'!C26&amp;"-"&amp;TEXT('14U_M_Invite_36'!B26,"h:mm am/pm")</f>
        <v>14BQ-031-Group C-3:20 PM</v>
      </c>
      <c r="X14" s="353">
        <v>0.63888888888888895</v>
      </c>
      <c r="Z14" s="357" t="str">
        <f>'16U_M_Invite'!L93&amp;"-"&amp;'16U_M_Invite'!C93&amp;"-"&amp;TEXT('16U_M_Invite'!B93,"h:mm am/pm")</f>
        <v>16BQ-044-Group-3:20 PM</v>
      </c>
      <c r="AA14" s="358" t="str">
        <f>'14U_M_Classic'!L28&amp;"-"&amp;'14U_M_Classic'!C28&amp;"-"&amp;TEXT('14U_M_Classic'!B28,"h:mm am/pm")</f>
        <v>14BX-044-Group-3:20 PM</v>
      </c>
      <c r="AB14" s="358" t="str">
        <f>'14U_M_Classic'!L66&amp;"-"&amp;'14U_M_Classic'!C66&amp;"-"&amp;TEXT('14U_M_Classic'!B66,"h:mm am/pm")</f>
        <v>14BX-042-Group-3:20 PM</v>
      </c>
      <c r="AC14" s="358" t="str">
        <f>'14U_M_Classic'!L88&amp;"-"&amp;'14U_M_Classic'!C88&amp;"-"&amp;TEXT('14U_M_Classic'!B88,"h:mm am/pm")</f>
        <v>14BX-041-Group-3:20 PM</v>
      </c>
      <c r="AD14" s="49"/>
      <c r="AE14" s="357" t="str">
        <f>'16U_M_Invite'!L35&amp;"-"&amp;'16U_M_Invite'!C35&amp;"-"&amp;TEXT('16U_M_Invite'!B35,"h:mm am/pm")</f>
        <v>16BQ-033-Group-3:50 PM</v>
      </c>
      <c r="AF14" s="364"/>
      <c r="AG14" s="359" t="str">
        <f>'18U_M_Classic'!L85&amp;"-"&amp;'18U_M_Classic'!C85&amp;"-"&amp;TEXT('18U_M_Classic'!B85,"h:mm am/pm")</f>
        <v>18BX-044-Group-3:20 PM</v>
      </c>
      <c r="AH14" s="359" t="str">
        <f>'18U_M_Classic'!L47&amp;"-"&amp;'18U_M_Classic'!C47&amp;"-"&amp;TEXT('18U_M_Classic'!B47,"h:mm am/pm")</f>
        <v>18BX-042-Group-3:20 PM</v>
      </c>
      <c r="AI14" s="359" t="str">
        <f>'18U_M_Classic'!L66&amp;"-"&amp;'18U_M_Classic'!C66&amp;"-"&amp;TEXT('18U_M_Classic'!B66,"h:mm am/pm")</f>
        <v>18BX-043-Group-3:20 PM</v>
      </c>
      <c r="AJ14" s="359" t="str">
        <f>'18U_M_Classic'!L28&amp;"-"&amp;'18U_M_Classic'!C28&amp;"-"&amp;TEXT('18U_M_Classic'!B28,"h:mm am/pm")</f>
        <v>18BX-041-Group-3:20 PM</v>
      </c>
      <c r="AK14" s="357" t="str">
        <f>'16U_M_Invite'!L55&amp;"-"&amp;'16U_M_Invite'!C55&amp;"-"&amp;TEXT('16U_M_Invite'!B55,"h:mm am/pm")</f>
        <v>16BQ-042-Group-3:20 PM</v>
      </c>
      <c r="AL14" s="358" t="str">
        <f>'14U_M_Classic'!L47&amp;"-"&amp;'14U_M_Classic'!C47&amp;"-"&amp;TEXT('14U_M_Classic'!B47,"h:mm am/pm")</f>
        <v>14BX-043-Group-3:20 PM</v>
      </c>
      <c r="AM14" s="357" t="str">
        <f>'16U_M_Invite'!L74&amp;"-"&amp;'16U_M_Invite'!C74&amp;"-"&amp;TEXT('16U_M_Invite'!B74,"h:mm am/pm")</f>
        <v>16BQ-043-Group-3:20 PM</v>
      </c>
      <c r="AN14" s="360" t="str">
        <f>'16U_M_Classic'!L66&amp;"-"&amp;'16U_M_Classic'!C66&amp;"-"&amp;TEXT('16U_M_Classic'!B66,"h:mm am/pm")</f>
        <v>16BX-043-Group-3:20 PM</v>
      </c>
      <c r="AO14" s="360" t="str">
        <f>'16U_M_Classic'!L85&amp;"-"&amp;'16U_M_Classic'!C85&amp;"-"&amp;TEXT('16U_M_Classic'!B85,"h:mm am/pm")</f>
        <v>16BX-044-Group-3:20 PM</v>
      </c>
      <c r="AP14" s="360" t="str">
        <f>'16U_M_Classic'!L28&amp;"-"&amp;'16U_M_Classic'!C28&amp;"-"&amp;TEXT('16U_M_Classic'!B28,"h:mm am/pm")</f>
        <v>16BX-041-Group-3:20 PM</v>
      </c>
      <c r="AQ14" s="360" t="str">
        <f>'16U_M_Classic'!L47&amp;"-"&amp;'16U_M_Classic'!C47&amp;"-"&amp;TEXT('16U_M_Classic'!B47,"h:mm am/pm")</f>
        <v>16BX-042-Group-3:20 PM</v>
      </c>
      <c r="AR14" s="352" t="str">
        <f>'18U_M_INVITE_NEW_23'!L48&amp;"-"&amp;'18U_M_INVITE_NEW_23'!C48&amp;"-"&amp;TEXT('18U_M_INVITE_NEW_23'!B48,"h:mm am/pm")</f>
        <v>18BQ-020-Group-3:30 PM</v>
      </c>
      <c r="AS14" s="49"/>
      <c r="AT14" s="361" t="str">
        <f>'18U_M_INVITE_NEW_23'!L27&amp;"-"&amp;'18U_M_INVITE_NEW_23'!C27&amp;"-"&amp;TEXT('18U_M_INVITE_NEW_23'!B27,"h:mm am/pm")</f>
        <v>18BQ-021-Group-3:20 PM</v>
      </c>
      <c r="AU14" s="353">
        <v>0.63888888888888895</v>
      </c>
      <c r="AV14" s="362" t="str">
        <f>'16U_M_Champ'!L28&amp;"-"&amp;'16U_M_Champ'!C28&amp;"-"&amp;TEXT('16U_M_Champ'!B28,"h:mm am/pm")</f>
        <v>16B-041-Group-3:20 PM</v>
      </c>
      <c r="AW14" s="362" t="str">
        <f>'16U_M_Champ'!L47&amp;"-"&amp;'16U_M_Champ'!C47&amp;"-"&amp;TEXT('16U_M_Champ'!B47,"h:mm am/pm")</f>
        <v>16B-042-Group-3:20 PM</v>
      </c>
      <c r="AX14" s="362" t="str">
        <f>'16U_M_Champ'!L66&amp;"-"&amp;'16U_M_Champ'!C66&amp;"-"&amp;TEXT('16U_M_Champ'!B66,"h:mm am/pm")</f>
        <v>16B-043-Group-3:20 PM</v>
      </c>
      <c r="AY14" s="362" t="str">
        <f>'16U_M_Champ'!L85&amp;"-"&amp;'16U_M_Champ'!C85&amp;"-"&amp;TEXT('16U_M_Champ'!B85,"h:mm am/pm")</f>
        <v>16B-044-Group-3:20 PM</v>
      </c>
      <c r="AZ14" s="49"/>
      <c r="BA14" s="353">
        <v>0.70833333333333304</v>
      </c>
      <c r="BB14" s="353"/>
      <c r="BC14" s="353"/>
      <c r="BD14" s="353"/>
      <c r="BE14" s="353"/>
      <c r="BF14" s="363" t="str">
        <f>'18U_M_Champ'!L92&amp;"-"&amp;'18U_M_Champ'!C92&amp;"-"&amp;TEXT('18U_M_Champ'!B92,"h:mm am/pm")</f>
        <v>18B-050-2-3 cross-5:00 PM</v>
      </c>
    </row>
    <row r="15" spans="1:61">
      <c r="A15" s="353">
        <v>0.67361111111111105</v>
      </c>
      <c r="C15" s="55" t="str">
        <f>'10U_M_Champ_35'!L27&amp;"-"&amp;'10U_M_Champ_35'!C27&amp;"-"&amp;TEXT('10U_M_Champ_35'!B27,"h:mm am/pm")</f>
        <v>10B-034-Group D-4:10 PM</v>
      </c>
      <c r="D15" s="55" t="str">
        <f>'10U_M_Champ_35'!L47&amp;"-"&amp;'10U_M_Champ_35'!C47&amp;"-"&amp;TEXT('10U_M_Champ_35'!B47,"h:mm am/pm")</f>
        <v>10B-035-Group E-4:10 PM</v>
      </c>
      <c r="E15" s="354" t="str">
        <f>'12U_M_Classic_53'!L79&amp;"-"&amp;'12U_M_Classic_53'!C79&amp;"-"&amp;TEXT('12U_M_Classic_53'!B79,"h:mm am/pm")</f>
        <v>12BX-054-Group-4:10 PM</v>
      </c>
      <c r="F15" s="354" t="str">
        <f>'12U_M_Classic_53'!L99&amp;"-"&amp;'12U_M_Classic_53'!C99&amp;"-"&amp;TEXT('12U_M_Classic_53'!B99,"h:mm am/pm")</f>
        <v>12BX-51A-Group-4:10 PM</v>
      </c>
      <c r="G15" s="354" t="str">
        <f>'12U_M_Classic_53'!L119&amp;"-"&amp;'12U_M_Classic_53'!C119&amp;"-"&amp;TEXT('12U_M_Classic_53'!B119,"h:mm am/pm")</f>
        <v>12BX-047-Group-4:10 PM</v>
      </c>
      <c r="H15" s="354" t="str">
        <f>'12U_M_Classic_53'!L40&amp;"-"&amp;'12U_M_Classic_53'!C40&amp;"-"&amp;TEXT('12U_M_Classic_53'!B40,"h:mm am/pm")</f>
        <v>12BX-053-Group-4:10 PM</v>
      </c>
      <c r="I15" s="353">
        <v>0.67361111111111105</v>
      </c>
      <c r="J15" s="354" t="str">
        <f>'12U_M_Classic_53'!L59&amp;"-"&amp;'12U_M_Classic_53'!C59&amp;"-"&amp;TEXT('12U_M_Classic_53'!B59,"h:mm am/pm")</f>
        <v>12BX-057-Group-4:10 PM</v>
      </c>
      <c r="K15" s="353">
        <v>0.67361111111111105</v>
      </c>
      <c r="L15" s="56" t="str">
        <f>'12U_M_Champ'!L29&amp;"-"&amp;'12U_M_Champ'!C29&amp;"-"&amp;TEXT('12U_M_Champ'!B29,"h:mm am/pm")</f>
        <v>12B-045-Group-4:10 PM</v>
      </c>
      <c r="M15" s="56" t="str">
        <f>'12U_M_Champ'!L48&amp;"-"&amp;'12U_M_Champ'!C48&amp;"-"&amp;TEXT('12U_M_Champ'!B48,"h:mm am/pm")</f>
        <v>12B-046-Group-4:10 PM</v>
      </c>
      <c r="N15" s="56" t="str">
        <f>'12U_M_Champ'!L67&amp;"-"&amp;'12U_M_Champ'!C67&amp;"-"&amp;TEXT('12U_M_Champ'!B67,"h:mm am/pm")</f>
        <v>12B-047-Group-4:10 PM</v>
      </c>
      <c r="O15" s="56" t="str">
        <f>'12U_M_Champ'!L86&amp;"-"&amp;'12U_M_Champ'!C86&amp;"-"&amp;TEXT('12U_M_Champ'!B86,"h:mm am/pm")</f>
        <v>12B-048-Group-4:10 PM</v>
      </c>
      <c r="P15" s="353">
        <v>0.67361111111111105</v>
      </c>
      <c r="Q15" s="355" t="str">
        <f>'14U_M_Champ'!L29&amp;"-"&amp;'14U_M_Champ'!C29&amp;"-"&amp;TEXT('14U_M_Champ'!B29,"h:mm am/pm")</f>
        <v>14B-045-Group-4:10 PM</v>
      </c>
      <c r="R15" s="355" t="str">
        <f>'14U_M_Champ'!L48&amp;"-"&amp;'14U_M_Champ'!C48&amp;"-"&amp;TEXT('14U_M_Champ'!B48,"h:mm am/pm")</f>
        <v>14B-046-Group-4:10 PM</v>
      </c>
      <c r="S15" s="355" t="str">
        <f>'14U_M_Champ'!L67&amp;"-"&amp;'14U_M_Champ'!C67&amp;"-"&amp;TEXT('14U_M_Champ'!B67,"h:mm am/pm")</f>
        <v>14B-047-Group-4:10 PM</v>
      </c>
      <c r="T15" s="355" t="str">
        <f>'14U_M_Champ'!L86&amp;"-"&amp;'14U_M_Champ'!C86&amp;"-"&amp;TEXT('14U_M_Champ'!B86,"h:mm am/pm")</f>
        <v>14B-048-Group-4:10 PM</v>
      </c>
      <c r="U15" s="356" t="str">
        <f>'14U_M_Invite_36'!L67&amp;"-"&amp;'14U_M_Invite_36'!C67&amp;"-"&amp;TEXT('14U_M_Invite_36'!B67,"h:mm am/pm")</f>
        <v>14BQ-036-Group L-4:10 PM</v>
      </c>
      <c r="V15" s="356" t="str">
        <f>'14U_M_Invite_36'!L47&amp;"-"&amp;'14U_M_Invite_36'!C47&amp;"-"&amp;TEXT('14U_M_Invite_36'!B47,"h:mm am/pm")</f>
        <v>14BQ-035-Group E-4:10 PM</v>
      </c>
      <c r="W15" s="356" t="str">
        <f>'14U_M_Invite_36'!L27&amp;"-"&amp;'14U_M_Invite_36'!C27&amp;"-"&amp;TEXT('14U_M_Invite_36'!B27,"h:mm am/pm")</f>
        <v>14BQ-034-Group D-4:10 PM</v>
      </c>
      <c r="X15" s="353">
        <v>0.67361111111111105</v>
      </c>
      <c r="Z15" s="357" t="str">
        <f>'16U_M_Invite'!L94&amp;"-"&amp;'16U_M_Invite'!C94&amp;"-"&amp;TEXT('16U_M_Invite'!B94,"h:mm am/pm")</f>
        <v>16BQ-048-Group-4:10 PM</v>
      </c>
      <c r="AA15" s="358" t="str">
        <f>'14U_M_Classic'!L29&amp;"-"&amp;'14U_M_Classic'!C29&amp;"-"&amp;TEXT('14U_M_Classic'!B29,"h:mm am/pm")</f>
        <v>14BX-048-Group-4:10 PM</v>
      </c>
      <c r="AB15" s="49"/>
      <c r="AC15" s="49"/>
      <c r="AD15" s="358" t="str">
        <f>'14U_M_Classic'!L92&amp;"-"&amp;'14U_M_Classic'!C92&amp;"-"&amp;TEXT('14U_M_Classic'!B92,"h:mm am/pm")</f>
        <v>14BX-045-Group-4:10 PM</v>
      </c>
      <c r="AE15" s="357" t="str">
        <f>'16U_M_Invite'!L36&amp;"-"&amp;'16U_M_Invite'!C36&amp;"-"&amp;TEXT('16U_M_Invite'!B36,"h:mm am/pm")</f>
        <v>16BQ-037-Group-4:40 PM</v>
      </c>
      <c r="AF15" s="358" t="str">
        <f>'14U_M_Classic'!L70&amp;"-"&amp;'14U_M_Classic'!C70&amp;"-"&amp;TEXT('14U_M_Classic'!B70,"h:mm am/pm")</f>
        <v>14BX-046-Group-4:10 PM</v>
      </c>
      <c r="AG15" s="359" t="str">
        <f>'18U_M_Classic'!L86&amp;"-"&amp;'18U_M_Classic'!C86&amp;"-"&amp;TEXT('18U_M_Classic'!B86,"h:mm am/pm")</f>
        <v>18BX-048-Group-4:10 PM</v>
      </c>
      <c r="AH15" s="359" t="str">
        <f>'18U_M_Classic'!L48&amp;"-"&amp;'18U_M_Classic'!C48&amp;"-"&amp;TEXT('18U_M_Classic'!B48,"h:mm am/pm")</f>
        <v>18BX-046-Group-4:10 PM</v>
      </c>
      <c r="AI15" s="359" t="str">
        <f>'18U_M_Classic'!L67&amp;"-"&amp;'18U_M_Classic'!C67&amp;"-"&amp;TEXT('18U_M_Classic'!B67,"h:mm am/pm")</f>
        <v>18BX-047-Group-4:10 PM</v>
      </c>
      <c r="AJ15" s="359" t="str">
        <f>'18U_M_Classic'!L29&amp;"-"&amp;'18U_M_Classic'!C29&amp;"-"&amp;TEXT('18U_M_Classic'!B29,"h:mm am/pm")</f>
        <v>18BX-045-Group-4:10 PM</v>
      </c>
      <c r="AK15" s="357" t="str">
        <f>'16U_M_Invite'!L56&amp;"-"&amp;'16U_M_Invite'!C56&amp;"-"&amp;TEXT('16U_M_Invite'!B56,"h:mm am/pm")</f>
        <v>16BQ-046-Group-4:10 PM</v>
      </c>
      <c r="AL15" s="358" t="str">
        <f>'14U_M_Classic'!L48&amp;"-"&amp;'14U_M_Classic'!C48&amp;"-"&amp;TEXT('14U_M_Classic'!B48,"h:mm am/pm")</f>
        <v>14BX-047-Group-4:10 PM</v>
      </c>
      <c r="AM15" s="357" t="str">
        <f>'16U_M_Invite'!L75&amp;"-"&amp;'16U_M_Invite'!C75&amp;"-"&amp;TEXT('16U_M_Invite'!B75,"h:mm am/pm")</f>
        <v>16BQ-047-Group-4:10 PM</v>
      </c>
      <c r="AN15" s="360" t="str">
        <f>'16U_M_Classic'!L67&amp;"-"&amp;'16U_M_Classic'!C67&amp;"-"&amp;TEXT('16U_M_Classic'!B67,"h:mm am/pm")</f>
        <v>16BX-047-Group-4:10 PM</v>
      </c>
      <c r="AO15" s="360" t="str">
        <f>'16U_M_Classic'!L86&amp;"-"&amp;'16U_M_Classic'!C86&amp;"-"&amp;TEXT('16U_M_Classic'!B86,"h:mm am/pm")</f>
        <v>16BX-048-Group-4:10 PM</v>
      </c>
      <c r="AP15" s="360" t="str">
        <f>'16U_M_Classic'!L29&amp;"-"&amp;'16U_M_Classic'!C29&amp;"-"&amp;TEXT('16U_M_Classic'!B29,"h:mm am/pm")</f>
        <v>16BX-045-Group-4:10 PM</v>
      </c>
      <c r="AQ15" s="360" t="str">
        <f>'16U_M_Classic'!L48&amp;"-"&amp;'16U_M_Classic'!C48&amp;"-"&amp;TEXT('16U_M_Classic'!B48,"h:mm am/pm")</f>
        <v>16BX-046-Group-4:10 PM</v>
      </c>
      <c r="AR15" s="352" t="str">
        <f>'18U_M_INVITE_NEW_23'!L49&amp;"-"&amp;'18U_M_INVITE_NEW_23'!C49&amp;"-"&amp;TEXT('18U_M_INVITE_NEW_23'!B49,"h:mm am/pm")</f>
        <v>18BQ-022-Group-4:20 PM</v>
      </c>
      <c r="AS15" s="49"/>
      <c r="AT15" s="361" t="str">
        <f>'18U_M_INVITE_NEW_23'!L28&amp;"-"&amp;'18U_M_INVITE_NEW_23'!C28&amp;"-"&amp;TEXT('18U_M_INVITE_NEW_23'!B28,"h:mm am/pm")</f>
        <v>18BQ-023-Group-4:10 PM</v>
      </c>
      <c r="AU15" s="353">
        <v>0.67361111111111105</v>
      </c>
      <c r="AV15" s="362" t="str">
        <f>'16U_M_Champ'!L29&amp;"-"&amp;'16U_M_Champ'!C29&amp;"-"&amp;TEXT('16U_M_Champ'!B29,"h:mm am/pm")</f>
        <v>16B-045-Group-4:10 PM</v>
      </c>
      <c r="AW15" s="362" t="str">
        <f>'16U_M_Champ'!L48&amp;"-"&amp;'16U_M_Champ'!C48&amp;"-"&amp;TEXT('16U_M_Champ'!B48,"h:mm am/pm")</f>
        <v>16B-046-Group-4:10 PM</v>
      </c>
      <c r="AX15" s="362" t="str">
        <f>'16U_M_Champ'!L67&amp;"-"&amp;'16U_M_Champ'!C67&amp;"-"&amp;TEXT('16U_M_Champ'!B67,"h:mm am/pm")</f>
        <v>16B-047-Group-4:10 PM</v>
      </c>
      <c r="AY15" s="362" t="str">
        <f>'16U_M_Champ'!L86&amp;"-"&amp;'16U_M_Champ'!C86&amp;"-"&amp;TEXT('16U_M_Champ'!B86,"h:mm am/pm")</f>
        <v>16B-048-Group-4:10 PM</v>
      </c>
      <c r="AZ15" s="49"/>
      <c r="BA15" s="353">
        <v>0.75</v>
      </c>
      <c r="BB15" s="363" t="str">
        <f>'18U_M_Champ'!L29&amp;"-"&amp;'18U_M_Champ'!C29&amp;"-"&amp;TEXT('18U_M_Champ'!B29,"h:mm am/pm")</f>
        <v>18B-051-2-3 cross-6:00 PM</v>
      </c>
      <c r="BC15" s="363" t="str">
        <f>'18U_M_Champ'!L77&amp;"-"&amp;'18U_M_Champ'!C77&amp;"-"&amp;TEXT('18U_M_Champ'!B77,"h:mm am/pm")</f>
        <v>18B-054-2-3 cross-6:00 PM</v>
      </c>
      <c r="BD15" s="363" t="str">
        <f>'18U_M_Champ'!L45&amp;"-"&amp;'18U_M_Champ'!C45&amp;"-"&amp;TEXT('18U_M_Champ'!B45,"h:mm am/pm")</f>
        <v>18B-052-2-3 cross-6:00 PM</v>
      </c>
      <c r="BE15" s="363" t="str">
        <f>'18U_M_Champ'!L61&amp;"-"&amp;'18U_M_Champ'!C61&amp;"-"&amp;TEXT('18U_M_Champ'!B61,"h:mm am/pm")</f>
        <v>18B-053-2-3 cross-6:00 PM</v>
      </c>
      <c r="BF15" s="363" t="str">
        <f>'18U_M_Champ'!L93&amp;"-"&amp;'18U_M_Champ'!C93&amp;"-"&amp;TEXT('18U_M_Champ'!B93,"h:mm am/pm")</f>
        <v>18B-055-2-3 cross-6:00 PM</v>
      </c>
    </row>
    <row r="16" spans="1:61">
      <c r="A16" s="353">
        <v>0.70833333333333404</v>
      </c>
      <c r="B16" s="55" t="str">
        <f>'10U_M_Champ_35'!L68&amp;"-"&amp;'10U_M_Champ_35'!C68&amp;"-"&amp;TEXT('10U_M_Champ_35'!B68,"h:mm am/pm")</f>
        <v>10B-039-2-3 cross-5:00 PM</v>
      </c>
      <c r="F16" s="354" t="str">
        <f>'12U_M_Classic_53'!L100&amp;"-"&amp;'12U_M_Classic_53'!C100&amp;"-"&amp;TEXT('12U_M_Classic_53'!B100,"h:mm am/pm")</f>
        <v>12BX-055-Group-5:00 PM</v>
      </c>
      <c r="G16" s="354" t="str">
        <f>'12U_M_Classic_53'!L120&amp;"-"&amp;'12U_M_Classic_53'!C120&amp;"-"&amp;TEXT('12U_M_Classic_53'!B120,"h:mm am/pm")</f>
        <v>12BX-052-Group-5:00 PM</v>
      </c>
      <c r="I16" s="353">
        <v>0.70833333333333404</v>
      </c>
      <c r="K16" s="353">
        <v>0.70833333333333404</v>
      </c>
      <c r="L16" s="353"/>
      <c r="M16" s="353"/>
      <c r="N16" s="353"/>
      <c r="O16" s="353"/>
      <c r="P16" s="353">
        <v>0.70833333333333404</v>
      </c>
      <c r="W16" s="353"/>
      <c r="X16" s="353">
        <v>0.70833333333333404</v>
      </c>
      <c r="AB16" s="49"/>
      <c r="AC16" s="49"/>
      <c r="AD16" s="357" t="str">
        <f>'16U_M_Invite'!L25&amp;"-"&amp;'16U_M_Invite'!C25&amp;"-"&amp;TEXT('16U_M_Invite'!B25,"h:mm am/pm")</f>
        <v>16BQ-041-Group-5:00 PM</v>
      </c>
      <c r="AE16" s="357" t="str">
        <f>'16U_M_Invite'!L37&amp;"-"&amp;'16U_M_Invite'!C37&amp;"-"&amp;TEXT('16U_M_Invite'!B37,"h:mm am/pm")</f>
        <v>16BQ-045-Group-5:30 PM</v>
      </c>
      <c r="AT16" s="361" t="str">
        <f>'18U_M_INVITE_NEW_23'!L29&amp;"-"&amp;'18U_M_INVITE_NEW_23'!C29&amp;"-"&amp;TEXT('18U_M_INVITE_NEW_23'!B29,"h:mm am/pm")</f>
        <v>18BQ-099-Cross-5:00 PM</v>
      </c>
      <c r="AU16" s="353">
        <v>0.70833333333333404</v>
      </c>
      <c r="AZ16" s="49"/>
      <c r="BA16" s="353">
        <v>0.79166666666666696</v>
      </c>
      <c r="BB16" s="363" t="str">
        <f>'18U_M_Champ'!L30&amp;"-"&amp;'18U_M_Champ'!C30&amp;"-"&amp;TEXT('18U_M_Champ'!B30,"h:mm am/pm")</f>
        <v>18B-056-2-3 cross-7:00 PM</v>
      </c>
      <c r="BC16" s="363" t="str">
        <f>'18U_M_Champ'!L78&amp;"-"&amp;'18U_M_Champ'!C78&amp;"-"&amp;TEXT('18U_M_Champ'!B78,"h:mm am/pm")</f>
        <v>18B-059-2-3 cross-7:00 PM</v>
      </c>
      <c r="BD16" s="363" t="str">
        <f>'18U_M_Champ'!L46&amp;"-"&amp;'18U_M_Champ'!C46&amp;"-"&amp;TEXT('18U_M_Champ'!B46,"h:mm am/pm")</f>
        <v>18B-057-2-3 cross-7:00 PM</v>
      </c>
      <c r="BE16" s="363" t="str">
        <f>'18U_M_Champ'!L62&amp;"-"&amp;'18U_M_Champ'!C62&amp;"-"&amp;TEXT('18U_M_Champ'!B62,"h:mm am/pm")</f>
        <v>18B-058-2-3 cross-7:00 PM</v>
      </c>
      <c r="BF16" s="363" t="str">
        <f>'18U_M_Champ'!L94&amp;"-"&amp;'18U_M_Champ'!C94&amp;"-"&amp;TEXT('18U_M_Champ'!B94,"h:mm am/pm")</f>
        <v>18B-060-2-3 cross-7:00 PM</v>
      </c>
    </row>
    <row r="17" spans="1:61">
      <c r="A17" s="353">
        <v>0.74305555555555602</v>
      </c>
      <c r="B17" s="55" t="str">
        <f>'10U_M_Champ_35'!L69&amp;"-"&amp;'10U_M_Champ_35'!C69&amp;"-"&amp;TEXT('10U_M_Champ_35'!B69,"h:mm am/pm")</f>
        <v>10B-042-2-3 cross-5:50 PM</v>
      </c>
      <c r="C17" s="55" t="str">
        <f>'10U_M_Champ_35'!L29&amp;"-"&amp;'10U_M_Champ_35'!C29&amp;"-"&amp;TEXT('10U_M_Champ_35'!B29,"h:mm am/pm")</f>
        <v>10B-037-2-3 cross-5:50 PM</v>
      </c>
      <c r="D17" s="55" t="str">
        <f>'10U_M_Champ_35'!L49&amp;"-"&amp;'10U_M_Champ_35'!C49&amp;"-"&amp;TEXT('10U_M_Champ_35'!B49,"h:mm am/pm")</f>
        <v>10B-038-2-3 cross-5:50 PM</v>
      </c>
      <c r="G17" s="354" t="str">
        <f>'12U_M_Classic_53'!L121&amp;"-"&amp;'12U_M_Classic_53'!C121&amp;"-"&amp;TEXT('12U_M_Classic_53'!B121,"h:mm am/pm")</f>
        <v>12BX-056-Group-5:50 PM</v>
      </c>
      <c r="I17" s="353">
        <v>0.74305555555555602</v>
      </c>
      <c r="K17" s="353">
        <v>0.74305555555555602</v>
      </c>
      <c r="L17" s="56" t="str">
        <f>'12U_M_Champ'!L31&amp;"-"&amp;'12U_M_Champ'!C31&amp;"-"&amp;TEXT('12U_M_Champ'!B31,"h:mm am/pm")</f>
        <v>12B-049-2-3 cross-5:50 PM</v>
      </c>
      <c r="M17" s="56" t="str">
        <f>'12U_M_Champ'!L50&amp;"-"&amp;'12U_M_Champ'!C50&amp;"-"&amp;TEXT('12U_M_Champ'!B50,"h:mm am/pm")</f>
        <v>12B-050-2-3 cross-5:50 PM</v>
      </c>
      <c r="N17" s="56" t="str">
        <f>'12U_M_Champ'!L69&amp;"-"&amp;'12U_M_Champ'!C69&amp;"-"&amp;TEXT('12U_M_Champ'!B69,"h:mm am/pm")</f>
        <v>12B-051-2-3 cross-5:50 PM</v>
      </c>
      <c r="O17" s="56" t="str">
        <f>'12U_M_Champ'!L88&amp;"-"&amp;'12U_M_Champ'!C88&amp;"-"&amp;TEXT('12U_M_Champ'!B88,"h:mm am/pm")</f>
        <v>12B-052-2-3 cross-5:50 PM</v>
      </c>
      <c r="P17" s="353">
        <v>0.74305555555555602</v>
      </c>
      <c r="Q17" s="355" t="str">
        <f>'14U_M_Champ'!L31&amp;"-"&amp;'14U_M_Champ'!C31&amp;"-"&amp;TEXT('14U_M_Champ'!B31,"h:mm am/pm")</f>
        <v>14B-049-2-3 cross-5:50 PM</v>
      </c>
      <c r="R17" s="355" t="str">
        <f>'14U_M_Champ'!L50&amp;"-"&amp;'14U_M_Champ'!C50&amp;"-"&amp;TEXT('14U_M_Champ'!B50,"h:mm am/pm")</f>
        <v>14B-050-2-3 cross-5:50 PM</v>
      </c>
      <c r="S17" s="355" t="str">
        <f>'14U_M_Champ'!L69&amp;"-"&amp;'14U_M_Champ'!C69&amp;"-"&amp;TEXT('14U_M_Champ'!B69,"h:mm am/pm")</f>
        <v>14B-051-2-3 cross-5:50 PM</v>
      </c>
      <c r="T17" s="355" t="str">
        <f>'14U_M_Champ'!L88&amp;"-"&amp;'14U_M_Champ'!C88&amp;"-"&amp;TEXT('14U_M_Champ'!B88,"h:mm am/pm")</f>
        <v>14B-052-2-3 cross-5:50 PM</v>
      </c>
      <c r="U17" s="356" t="str">
        <f>'14U_M_Invite_36'!L69&amp;"-"&amp;'14U_M_Invite_36'!C69&amp;"-"&amp;TEXT('14U_M_Invite_36'!B69,"h:mm am/pm")</f>
        <v>14BQ-039-2-3 cross-5:50 PM</v>
      </c>
      <c r="V17" s="356" t="str">
        <f>'14U_M_Invite_36'!L49&amp;"-"&amp;'14U_M_Invite_36'!C49&amp;"-"&amp;TEXT('14U_M_Invite_36'!B49,"h:mm am/pm")</f>
        <v>14BQ-038-2-3 cross-5:50 PM</v>
      </c>
      <c r="W17" s="356" t="str">
        <f>'14U_M_Invite_36'!L29&amp;"-"&amp;'14U_M_Invite_36'!C29&amp;"-"&amp;TEXT('14U_M_Invite_36'!B29,"h:mm am/pm")</f>
        <v>14BQ-037-2-3 cross-5:50 PM</v>
      </c>
      <c r="X17" s="353">
        <v>0.74305555555555602</v>
      </c>
      <c r="Z17" s="357" t="str">
        <f>'16U_M_Invite'!L96&amp;"-"&amp;'16U_M_Invite'!C96&amp;"-"&amp;TEXT('16U_M_Invite'!B96,"h:mm am/pm")</f>
        <v>16BQ-052-2-3 cross-5:50 PM</v>
      </c>
      <c r="AA17" s="358" t="str">
        <f>'14U_M_Classic'!L31&amp;"-"&amp;'14U_M_Classic'!C31&amp;"-"&amp;TEXT('14U_M_Classic'!B31,"h:mm am/pm")</f>
        <v>14BX-052-2-3 cross-5:50 PM</v>
      </c>
      <c r="AB17" s="49"/>
      <c r="AC17" s="49"/>
      <c r="AD17" s="358" t="str">
        <f>'14U_M_Classic'!L94&amp;"-"&amp;'14U_M_Classic'!C94&amp;"-"&amp;TEXT('14U_M_Classic'!B94,"h:mm am/pm")</f>
        <v>14BX-049-2-3 cross-5:50 PM</v>
      </c>
      <c r="AF17" s="358" t="str">
        <f>'14U_M_Classic'!L72&amp;"-"&amp;'14U_M_Classic'!C72&amp;"-"&amp;TEXT('14U_M_Classic'!B72,"h:mm am/pm")</f>
        <v>14BX-050-2-3 cross-5:50 PM</v>
      </c>
      <c r="AG17" s="359" t="str">
        <f>'18U_M_Classic'!L88&amp;"-"&amp;'18U_M_Classic'!C88&amp;"-"&amp;TEXT('18U_M_Classic'!B88,"h:mm am/pm")</f>
        <v>18BX-052-2-3 cross-5:50 PM</v>
      </c>
      <c r="AH17" s="359" t="str">
        <f>'18U_M_Classic'!L50&amp;"-"&amp;'18U_M_Classic'!C50&amp;"-"&amp;TEXT('18U_M_Classic'!B50,"h:mm am/pm")</f>
        <v>18BX-050-2-3 cross-5:50 PM</v>
      </c>
      <c r="AI17" s="359" t="str">
        <f>'18U_M_Classic'!L69&amp;"-"&amp;'18U_M_Classic'!C69&amp;"-"&amp;TEXT('18U_M_Classic'!B69,"h:mm am/pm")</f>
        <v>18BX-051-2-3 cross-5:50 PM</v>
      </c>
      <c r="AJ17" s="359" t="str">
        <f>'18U_M_Classic'!L31&amp;"-"&amp;'18U_M_Classic'!C31&amp;"-"&amp;TEXT('18U_M_Classic'!B31,"h:mm am/pm")</f>
        <v>18BX-049-2-3 cross-5:50 PM</v>
      </c>
      <c r="AK17" s="357" t="str">
        <f>'16U_M_Invite'!L58&amp;"-"&amp;'16U_M_Invite'!C58&amp;"-"&amp;TEXT('16U_M_Invite'!B58,"h:mm am/pm")</f>
        <v>16BQ-050-2-3 cross-5:50 PM</v>
      </c>
      <c r="AL17" s="358" t="str">
        <f>'14U_M_Classic'!L50&amp;"-"&amp;'14U_M_Classic'!C50&amp;"-"&amp;TEXT('14U_M_Classic'!B50,"h:mm am/pm")</f>
        <v>14BX-051-2-3 cross-5:50 PM</v>
      </c>
      <c r="AM17" s="357" t="str">
        <f>'16U_M_Invite'!L77&amp;"-"&amp;'16U_M_Invite'!C77&amp;"-"&amp;TEXT('16U_M_Invite'!B77,"h:mm am/pm")</f>
        <v>16BQ-051-2-3 cross-5:50 PM</v>
      </c>
      <c r="AN17" s="360" t="str">
        <f>'16U_M_Classic'!L69&amp;"-"&amp;'16U_M_Classic'!C69&amp;"-"&amp;TEXT('16U_M_Classic'!B69,"h:mm am/pm")</f>
        <v>16BX-051-2-3 cross-5:50 PM</v>
      </c>
      <c r="AO17" s="360" t="str">
        <f>'16U_M_Classic'!L88&amp;"-"&amp;'16U_M_Classic'!C88&amp;"-"&amp;TEXT('16U_M_Classic'!B88,"h:mm am/pm")</f>
        <v>16BX-052-2-3 cross-5:50 PM</v>
      </c>
      <c r="AP17" s="360" t="str">
        <f>'16U_M_Classic'!L31&amp;"-"&amp;'16U_M_Classic'!C31&amp;"-"&amp;TEXT('16U_M_Classic'!B31,"h:mm am/pm")</f>
        <v>16BX-049-2-3 cross-5:50 PM</v>
      </c>
      <c r="AQ17" s="360" t="str">
        <f>'16U_M_Classic'!L50&amp;"-"&amp;'16U_M_Classic'!C50&amp;"-"&amp;TEXT('16U_M_Classic'!B50,"h:mm am/pm")</f>
        <v>16BX-050-2-3 cross-5:50 PM</v>
      </c>
      <c r="AR17" s="352" t="str">
        <f>'18U_M_INVITE_NEW_23'!L51&amp;"-"&amp;'18U_M_INVITE_NEW_23'!C51&amp;"-"&amp;TEXT('18U_M_INVITE_NEW_23'!B51,"h:mm am/pm")</f>
        <v>18BQ-026-Cross-6:00 PM</v>
      </c>
      <c r="AT17" s="361" t="str">
        <f>'18U_M_INVITE_NEW_23'!L30&amp;"-"&amp;'18U_M_INVITE_NEW_23'!C30&amp;"-"&amp;TEXT('18U_M_INVITE_NEW_23'!B30,"h:mm am/pm")</f>
        <v>18BQ-024-Cross-5:50 PM</v>
      </c>
      <c r="AU17" s="353">
        <v>0.74305555555555602</v>
      </c>
      <c r="AV17" s="362" t="str">
        <f>'16U_M_Champ'!L31&amp;"-"&amp;'16U_M_Champ'!C31&amp;"-"&amp;TEXT('16U_M_Champ'!B31,"h:mm am/pm")</f>
        <v>16B-049-2-3 cross-5:50 PM</v>
      </c>
      <c r="AW17" s="362" t="str">
        <f>'16U_M_Champ'!L50&amp;"-"&amp;'16U_M_Champ'!C50&amp;"-"&amp;TEXT('16U_M_Champ'!B50,"h:mm am/pm")</f>
        <v>16B-050-2-3 cross-5:50 PM</v>
      </c>
      <c r="AX17" s="362" t="str">
        <f>'16U_M_Champ'!L69&amp;"-"&amp;'16U_M_Champ'!C69&amp;"-"&amp;TEXT('16U_M_Champ'!B69,"h:mm am/pm")</f>
        <v>16B-051-2-3 cross-5:50 PM</v>
      </c>
      <c r="AY17" s="362" t="str">
        <f>'16U_M_Champ'!L88&amp;"-"&amp;'16U_M_Champ'!C88&amp;"-"&amp;TEXT('16U_M_Champ'!B88,"h:mm am/pm")</f>
        <v>16B-052-2-3 cross-5:50 PM</v>
      </c>
      <c r="AZ17" s="49"/>
      <c r="BA17" s="353">
        <v>0.83333333333333304</v>
      </c>
      <c r="BB17" s="353"/>
      <c r="BC17" s="353"/>
      <c r="BD17" s="353"/>
      <c r="BE17" s="353"/>
    </row>
    <row r="18" spans="1:61">
      <c r="A18" s="353">
        <v>0.77777777777777801</v>
      </c>
      <c r="B18" s="55" t="str">
        <f>'10U_M_Champ_35'!L70&amp;"-"&amp;'10U_M_Champ_35'!C70&amp;"-"&amp;TEXT('10U_M_Champ_35'!B70,"h:mm am/pm")</f>
        <v>10B-045-2-3 cross-6:40 PM</v>
      </c>
      <c r="C18" s="55" t="str">
        <f>'10U_M_Champ_35'!L30&amp;"-"&amp;'10U_M_Champ_35'!C30&amp;"-"&amp;TEXT('10U_M_Champ_35'!B30,"h:mm am/pm")</f>
        <v>10B-040-2-3 cross-6:40 PM</v>
      </c>
      <c r="D18" s="55" t="str">
        <f>'10U_M_Champ_35'!L50&amp;"-"&amp;'10U_M_Champ_35'!C50&amp;"-"&amp;TEXT('10U_M_Champ_35'!B50,"h:mm am/pm")</f>
        <v>10B-041-2-3 cross-6:40 PM</v>
      </c>
      <c r="E18" s="354" t="str">
        <f>'12U_M_Classic_53'!L82&amp;"-"&amp;'12U_M_Classic_53'!C82&amp;"-"&amp;TEXT('12U_M_Classic_53'!B82,"h:mm am/pm")</f>
        <v>12BX-059-2's cross 17v32-6:40 PM</v>
      </c>
      <c r="H18" s="354" t="str">
        <f>'12U_M_Classic_53'!L43&amp;"-"&amp;'12U_M_Classic_53'!C43&amp;"-"&amp;TEXT('12U_M_Classic_53'!B43,"h:mm am/pm")</f>
        <v>12BX-061-2's cross 21v28-6:40 PM</v>
      </c>
      <c r="I18" s="353">
        <v>0.77777777777777801</v>
      </c>
      <c r="J18" s="354" t="str">
        <f>'12U_M_Classic_53'!L62&amp;"-"&amp;'12U_M_Classic_53'!C62&amp;"-"&amp;TEXT('12U_M_Classic_53'!B62,"h:mm am/pm")</f>
        <v>12BX-058-2's cross 24v25-6:40 PM</v>
      </c>
      <c r="K18" s="353">
        <v>0.77777777777777801</v>
      </c>
      <c r="L18" s="56" t="str">
        <f>'12U_M_Champ'!L32&amp;"-"&amp;'12U_M_Champ'!C32&amp;"-"&amp;TEXT('12U_M_Champ'!B32,"h:mm am/pm")</f>
        <v>12B-053-2-3 cross-6:40 PM</v>
      </c>
      <c r="M18" s="56" t="str">
        <f>'12U_M_Champ'!L51&amp;"-"&amp;'12U_M_Champ'!C51&amp;"-"&amp;TEXT('12U_M_Champ'!B51,"h:mm am/pm")</f>
        <v>12B-054-2-3 cross-6:40 PM</v>
      </c>
      <c r="N18" s="56" t="str">
        <f>'12U_M_Champ'!L70&amp;"-"&amp;'12U_M_Champ'!C70&amp;"-"&amp;TEXT('12U_M_Champ'!B70,"h:mm am/pm")</f>
        <v>12B-055-2-3 cross-6:40 PM</v>
      </c>
      <c r="O18" s="56" t="str">
        <f>'12U_M_Champ'!L89&amp;"-"&amp;'12U_M_Champ'!C89&amp;"-"&amp;TEXT('12U_M_Champ'!B89,"h:mm am/pm")</f>
        <v>12B-056-2-3 cross-6:40 PM</v>
      </c>
      <c r="P18" s="353">
        <v>0.77777777777777801</v>
      </c>
      <c r="Q18" s="355" t="str">
        <f>'14U_M_Champ'!L32&amp;"-"&amp;'14U_M_Champ'!C32&amp;"-"&amp;TEXT('14U_M_Champ'!B32,"h:mm am/pm")</f>
        <v>14B-053-2-3 cross-6:40 PM</v>
      </c>
      <c r="R18" s="355" t="str">
        <f>'14U_M_Champ'!L51&amp;"-"&amp;'14U_M_Champ'!C51&amp;"-"&amp;TEXT('14U_M_Champ'!B51,"h:mm am/pm")</f>
        <v>14B-054-2-3 cross-6:40 PM</v>
      </c>
      <c r="S18" s="355" t="str">
        <f>'14U_M_Champ'!L70&amp;"-"&amp;'14U_M_Champ'!C70&amp;"-"&amp;TEXT('14U_M_Champ'!B70,"h:mm am/pm")</f>
        <v>14B-055-2-3 cross-6:40 PM</v>
      </c>
      <c r="T18" s="355" t="str">
        <f>'14U_M_Champ'!L89&amp;"-"&amp;'14U_M_Champ'!C89&amp;"-"&amp;TEXT('14U_M_Champ'!B89,"h:mm am/pm")</f>
        <v>14B-056-2-3 cross-6:40 PM</v>
      </c>
      <c r="U18" s="356" t="str">
        <f>'14U_M_Invite_36'!L70&amp;"-"&amp;'14U_M_Invite_36'!C70&amp;"-"&amp;TEXT('14U_M_Invite_36'!B70,"h:mm am/pm")</f>
        <v>14BQ-042-2-3 cross-6:40 PM</v>
      </c>
      <c r="V18" s="356" t="str">
        <f>'14U_M_Invite_36'!L50&amp;"-"&amp;'14U_M_Invite_36'!C50&amp;"-"&amp;TEXT('14U_M_Invite_36'!B50,"h:mm am/pm")</f>
        <v>14BQ-041-2-3 cross-6:40 PM</v>
      </c>
      <c r="W18" s="356" t="str">
        <f>'14U_M_Invite_36'!L30&amp;"-"&amp;'14U_M_Invite_36'!C30&amp;"-"&amp;TEXT('14U_M_Invite_36'!B30,"h:mm am/pm")</f>
        <v>14BQ-040-2-3 cross-6:40 PM</v>
      </c>
      <c r="X18" s="353">
        <v>0.77777777777777801</v>
      </c>
      <c r="Z18" s="357" t="str">
        <f>'16U_M_Invite'!L97&amp;"-"&amp;'16U_M_Invite'!C97&amp;"-"&amp;TEXT('16U_M_Invite'!B97,"h:mm am/pm")</f>
        <v>16BQ-056-2-3 cross-6:40 PM</v>
      </c>
      <c r="AA18" s="358" t="str">
        <f>'14U_M_Classic'!L32&amp;"-"&amp;'14U_M_Classic'!C32&amp;"-"&amp;TEXT('14U_M_Classic'!B32,"h:mm am/pm")</f>
        <v>14BX-056-2-3 cross-6:40 PM</v>
      </c>
      <c r="AB18" s="49"/>
      <c r="AC18" s="49"/>
      <c r="AD18" s="358" t="str">
        <f>'14U_M_Classic'!L95&amp;"-"&amp;'14U_M_Classic'!C95&amp;"-"&amp;TEXT('14U_M_Classic'!B95,"h:mm am/pm")</f>
        <v>14BX-053-2-3 cross-6:40 PM</v>
      </c>
      <c r="AE18" s="353"/>
      <c r="AF18" s="358" t="str">
        <f>'14U_M_Classic'!L73&amp;"-"&amp;'14U_M_Classic'!C73&amp;"-"&amp;TEXT('14U_M_Classic'!B73,"h:mm am/pm")</f>
        <v>14BX-054-2-3 cross-6:40 PM</v>
      </c>
      <c r="AG18" s="359" t="str">
        <f>'18U_M_Classic'!L89&amp;"-"&amp;'18U_M_Classic'!C89&amp;"-"&amp;TEXT('18U_M_Classic'!B89,"h:mm am/pm")</f>
        <v>18BX-056-2-3 cross-6:40 PM</v>
      </c>
      <c r="AH18" s="359" t="str">
        <f>'18U_M_Classic'!L51&amp;"-"&amp;'18U_M_Classic'!C51&amp;"-"&amp;TEXT('18U_M_Classic'!B51,"h:mm am/pm")</f>
        <v>18BX-054-2-3 cross-6:40 PM</v>
      </c>
      <c r="AI18" s="359" t="str">
        <f>'18U_M_Classic'!L70&amp;"-"&amp;'18U_M_Classic'!C70&amp;"-"&amp;TEXT('18U_M_Classic'!B70,"h:mm am/pm")</f>
        <v>18BX-055-2-3 cross-6:40 PM</v>
      </c>
      <c r="AJ18" s="359" t="str">
        <f>'18U_M_Classic'!L32&amp;"-"&amp;'18U_M_Classic'!C32&amp;"-"&amp;TEXT('18U_M_Classic'!B32,"h:mm am/pm")</f>
        <v>18BX-053-2-3 cross-6:40 PM</v>
      </c>
      <c r="AK18" s="357" t="str">
        <f>'16U_M_Invite'!L59&amp;"-"&amp;'16U_M_Invite'!C59&amp;"-"&amp;TEXT('16U_M_Invite'!B59,"h:mm am/pm")</f>
        <v>16BQ-054-2-3 cross-6:40 PM</v>
      </c>
      <c r="AL18" s="358" t="str">
        <f>'14U_M_Classic'!L51&amp;"-"&amp;'14U_M_Classic'!C51&amp;"-"&amp;TEXT('14U_M_Classic'!B51,"h:mm am/pm")</f>
        <v>14BX-055-2-3 cross-6:40 PM</v>
      </c>
      <c r="AM18" s="357" t="str">
        <f>'16U_M_Invite'!L78&amp;"-"&amp;'16U_M_Invite'!C78&amp;"-"&amp;TEXT('16U_M_Invite'!B78,"h:mm am/pm")</f>
        <v>16BQ-055-2-3 cross-6:40 PM</v>
      </c>
      <c r="AN18" s="360" t="str">
        <f>'16U_M_Classic'!L70&amp;"-"&amp;'16U_M_Classic'!C70&amp;"-"&amp;TEXT('16U_M_Classic'!B70,"h:mm am/pm")</f>
        <v>16BX-055-2-3 cross-6:40 PM</v>
      </c>
      <c r="AO18" s="360" t="str">
        <f>'16U_M_Classic'!L89&amp;"-"&amp;'16U_M_Classic'!C89&amp;"-"&amp;TEXT('16U_M_Classic'!B89,"h:mm am/pm")</f>
        <v>16BX-056-2-3 cross-6:40 PM</v>
      </c>
      <c r="AP18" s="360" t="str">
        <f>'16U_M_Classic'!L32&amp;"-"&amp;'16U_M_Classic'!C32&amp;"-"&amp;TEXT('16U_M_Classic'!B32,"h:mm am/pm")</f>
        <v>16BX-053-2-3 cross-6:40 PM</v>
      </c>
      <c r="AQ18" s="360" t="str">
        <f>'16U_M_Classic'!L51&amp;"-"&amp;'16U_M_Classic'!C51&amp;"-"&amp;TEXT('16U_M_Classic'!B51,"h:mm am/pm")</f>
        <v>16BX-054-2-3 cross-6:40 PM</v>
      </c>
      <c r="AR18" s="352" t="str">
        <f>'18U_M_INVITE_NEW_23'!L52&amp;"-"&amp;'18U_M_INVITE_NEW_23'!C52&amp;"-"&amp;TEXT('18U_M_INVITE_NEW_23'!B52,"h:mm am/pm")</f>
        <v>18BQ-028-Cross-6:50 PM</v>
      </c>
      <c r="AT18" s="361" t="str">
        <f>'18U_M_INVITE_NEW_23'!L31&amp;"-"&amp;'18U_M_INVITE_NEW_23'!C31&amp;"-"&amp;TEXT('18U_M_INVITE_NEW_23'!B31,"h:mm am/pm")</f>
        <v>18BQ-025-Cross-6:40 PM</v>
      </c>
      <c r="AU18" s="353">
        <v>0.77777777777777801</v>
      </c>
      <c r="AV18" s="362" t="str">
        <f>'16U_M_Champ'!L32&amp;"-"&amp;'16U_M_Champ'!C32&amp;"-"&amp;TEXT('16U_M_Champ'!B32,"h:mm am/pm")</f>
        <v>16B-053-2-3 cross-6:40 PM</v>
      </c>
      <c r="AW18" s="362" t="str">
        <f>'16U_M_Champ'!L51&amp;"-"&amp;'16U_M_Champ'!C51&amp;"-"&amp;TEXT('16U_M_Champ'!B51,"h:mm am/pm")</f>
        <v>16B-054-2-3 cross-6:40 PM</v>
      </c>
      <c r="AX18" s="362" t="str">
        <f>'16U_M_Champ'!L70&amp;"-"&amp;'16U_M_Champ'!C70&amp;"-"&amp;TEXT('16U_M_Champ'!B70,"h:mm am/pm")</f>
        <v>16B-055-2-3 cross-6:40 PM</v>
      </c>
      <c r="AY18" s="362" t="str">
        <f>'16U_M_Champ'!L89&amp;"-"&amp;'16U_M_Champ'!C89&amp;"-"&amp;TEXT('16U_M_Champ'!B89,"h:mm am/pm")</f>
        <v>16B-056-2-3 cross-6:40 PM</v>
      </c>
      <c r="AZ18" s="49"/>
      <c r="BA18" s="353"/>
      <c r="BB18" s="353"/>
      <c r="BC18" s="353"/>
      <c r="BD18" s="353"/>
      <c r="BE18" s="353"/>
    </row>
    <row r="19" spans="1:61">
      <c r="A19" s="353">
        <v>0.8125</v>
      </c>
      <c r="C19" s="55" t="str">
        <f>'10U_M_Champ_35'!L31&amp;"-"&amp;'10U_M_Champ_35'!C31&amp;"-"&amp;TEXT('10U_M_Champ_35'!B31,"h:mm am/pm")</f>
        <v>10B-043-2-3 cross-7:30 PM</v>
      </c>
      <c r="D19" s="55" t="str">
        <f>'10U_M_Champ_35'!L51&amp;"-"&amp;'10U_M_Champ_35'!C51&amp;"-"&amp;TEXT('10U_M_Champ_35'!B51,"h:mm am/pm")</f>
        <v>10B-044-2-3 cross-7:30 PM</v>
      </c>
      <c r="E19" s="354" t="str">
        <f>'12U_M_Classic_53'!L83&amp;"-"&amp;'12U_M_Classic_53'!C83&amp;"-"&amp;TEXT('12U_M_Classic_53'!B83,"h:mm am/pm")</f>
        <v>12BX-062-2's cross 18v31-7:30 PM</v>
      </c>
      <c r="F19" s="354" t="str">
        <f>'12U_M_Classic_53'!L103&amp;"-"&amp;'12U_M_Classic_53'!C103&amp;"-"&amp;TEXT('12U_M_Classic_53'!B103,"h:mm am/pm")</f>
        <v>12BX-060-2's cross 19v30-7:30 PM</v>
      </c>
      <c r="I19" s="353">
        <v>0.8125</v>
      </c>
      <c r="J19" s="354" t="str">
        <f>'12U_M_Classic_53'!L63&amp;"-"&amp;'12U_M_Classic_53'!C63&amp;"-"&amp;TEXT('12U_M_Classic_53'!B63,"h:mm am/pm")</f>
        <v>12BX-065-2's cross 23v26-7:30 PM</v>
      </c>
      <c r="K19" s="353">
        <v>0.8125</v>
      </c>
      <c r="L19" s="56" t="str">
        <f>'12U_M_Champ'!L33&amp;"-"&amp;'12U_M_Champ'!C33&amp;"-"&amp;TEXT('12U_M_Champ'!B33,"h:mm am/pm")</f>
        <v>12B-057-2-3 cross-7:30 PM</v>
      </c>
      <c r="M19" s="56" t="str">
        <f>'12U_M_Champ'!L52&amp;"-"&amp;'12U_M_Champ'!C52&amp;"-"&amp;TEXT('12U_M_Champ'!B52,"h:mm am/pm")</f>
        <v>12B-058-2-3 cross-7:30 PM</v>
      </c>
      <c r="N19" s="56" t="str">
        <f>'12U_M_Champ'!L71&amp;"-"&amp;'12U_M_Champ'!C71&amp;"-"&amp;TEXT('12U_M_Champ'!B71,"h:mm am/pm")</f>
        <v>12B-059-2-3 cross-7:30 PM</v>
      </c>
      <c r="O19" s="56" t="str">
        <f>'12U_M_Champ'!L90&amp;"-"&amp;'12U_M_Champ'!C90&amp;"-"&amp;TEXT('12U_M_Champ'!B90,"h:mm am/pm")</f>
        <v>12B-060-2-3 cross-7:30 PM</v>
      </c>
      <c r="P19" s="353">
        <v>0.8125</v>
      </c>
      <c r="Q19" s="355" t="str">
        <f>'14U_M_Champ'!L33&amp;"-"&amp;'14U_M_Champ'!C33&amp;"-"&amp;TEXT('14U_M_Champ'!B33,"h:mm am/pm")</f>
        <v>14B-057-2-3 cross-7:30 PM</v>
      </c>
      <c r="R19" s="355" t="str">
        <f>'14U_M_Champ'!L52&amp;"-"&amp;'14U_M_Champ'!C52&amp;"-"&amp;TEXT('14U_M_Champ'!B52,"h:mm am/pm")</f>
        <v>14B-058-2-3 cross-7:30 PM</v>
      </c>
      <c r="S19" s="355" t="str">
        <f>'14U_M_Champ'!L71&amp;"-"&amp;'14U_M_Champ'!C71&amp;"-"&amp;TEXT('14U_M_Champ'!B71,"h:mm am/pm")</f>
        <v>14B-059-2-3 cross-7:30 PM</v>
      </c>
      <c r="T19" s="355" t="str">
        <f>'14U_M_Champ'!L90&amp;"-"&amp;'14U_M_Champ'!C90&amp;"-"&amp;TEXT('14U_M_Champ'!B90,"h:mm am/pm")</f>
        <v>14B-060-2-3 cross-7:30 PM</v>
      </c>
      <c r="U19" s="356" t="str">
        <f>'14U_M_Invite_36'!L71&amp;"-"&amp;'14U_M_Invite_36'!C71&amp;"-"&amp;TEXT('14U_M_Invite_36'!B71,"h:mm am/pm")</f>
        <v>14BQ-045-2-3 cross-7:30 PM</v>
      </c>
      <c r="V19" s="356" t="str">
        <f>'14U_M_Invite_36'!L51&amp;"-"&amp;'14U_M_Invite_36'!C51&amp;"-"&amp;TEXT('14U_M_Invite_36'!B51,"h:mm am/pm")</f>
        <v>14BQ-044-2-3 cross-7:30 PM</v>
      </c>
      <c r="W19" s="356" t="str">
        <f>'14U_M_Invite_36'!L31&amp;"-"&amp;'14U_M_Invite_36'!C31&amp;"-"&amp;TEXT('14U_M_Invite_36'!B31,"h:mm am/pm")</f>
        <v>14BQ-043-2-3 cross-7:30 PM</v>
      </c>
      <c r="X19" s="353">
        <v>0.8125</v>
      </c>
      <c r="Z19" s="357" t="str">
        <f>'16U_M_Invite'!L98&amp;"-"&amp;'16U_M_Invite'!C98&amp;"-"&amp;TEXT('16U_M_Invite'!B98,"h:mm am/pm")</f>
        <v>16BQ-060-2-3 cross-7:30 PM</v>
      </c>
      <c r="AA19" s="358" t="str">
        <f>'14U_M_Classic'!L33&amp;"-"&amp;'14U_M_Classic'!C33&amp;"-"&amp;TEXT('14U_M_Classic'!B33,"h:mm am/pm")</f>
        <v>14BX-060-2-3 cross-7:30 PM</v>
      </c>
      <c r="AB19" s="49"/>
      <c r="AC19" s="49"/>
      <c r="AD19" s="358" t="str">
        <f>'14U_M_Classic'!L96&amp;"-"&amp;'14U_M_Classic'!C96&amp;"-"&amp;TEXT('14U_M_Classic'!B96,"h:mm am/pm")</f>
        <v>14BX-057-2-3 cross-7:30 PM</v>
      </c>
      <c r="AE19" s="357" t="str">
        <f>'16U_M_Invite'!L40&amp;"-"&amp;'16U_M_Invite'!C40&amp;"-"&amp;TEXT('16U_M_Invite'!B40,"h:mm am/pm")</f>
        <v>16BQ-049-2-3 cross-7:20 PM</v>
      </c>
      <c r="AF19" s="358" t="str">
        <f>'14U_M_Classic'!L74&amp;"-"&amp;'14U_M_Classic'!C74&amp;"-"&amp;TEXT('14U_M_Classic'!B74,"h:mm am/pm")</f>
        <v>14BX-058-2-3 cross-7:30 PM</v>
      </c>
      <c r="AG19" s="359" t="str">
        <f>'18U_M_Classic'!L90&amp;"-"&amp;'18U_M_Classic'!C90&amp;"-"&amp;TEXT('18U_M_Classic'!B90,"h:mm am/pm")</f>
        <v>18BX-060-2-3 cross-7:30 PM</v>
      </c>
      <c r="AH19" s="359" t="str">
        <f>'18U_M_Classic'!L52&amp;"-"&amp;'18U_M_Classic'!C52&amp;"-"&amp;TEXT('18U_M_Classic'!B52,"h:mm am/pm")</f>
        <v>18BX-058-2-3 cross-7:30 PM</v>
      </c>
      <c r="AI19" s="359" t="str">
        <f>'18U_M_Classic'!L71&amp;"-"&amp;'18U_M_Classic'!C71&amp;"-"&amp;TEXT('18U_M_Classic'!B71,"h:mm am/pm")</f>
        <v>18BX-059-2-3 cross-7:30 PM</v>
      </c>
      <c r="AJ19" s="359" t="str">
        <f>'18U_M_Classic'!L33&amp;"-"&amp;'18U_M_Classic'!C33&amp;"-"&amp;TEXT('18U_M_Classic'!B33,"h:mm am/pm")</f>
        <v>18BX-057-2-3 cross-7:30 PM</v>
      </c>
      <c r="AK19" s="357" t="str">
        <f>'16U_M_Invite'!L60&amp;"-"&amp;'16U_M_Invite'!C60&amp;"-"&amp;TEXT('16U_M_Invite'!B60,"h:mm am/pm")</f>
        <v>16BQ-058-2-3 cross-7:30 PM</v>
      </c>
      <c r="AL19" s="358" t="str">
        <f>'14U_M_Classic'!L52&amp;"-"&amp;'14U_M_Classic'!C52&amp;"-"&amp;TEXT('14U_M_Classic'!B52,"h:mm am/pm")</f>
        <v>14BX-059-2-3 cross-7:30 PM</v>
      </c>
      <c r="AM19" s="357" t="str">
        <f>'16U_M_Invite'!L79&amp;"-"&amp;'16U_M_Invite'!C79&amp;"-"&amp;TEXT('16U_M_Invite'!B79,"h:mm am/pm")</f>
        <v>16BQ-059-2-3 cross-7:30 PM</v>
      </c>
      <c r="AN19" s="360" t="str">
        <f>'16U_M_Classic'!L71&amp;"-"&amp;'16U_M_Classic'!C71&amp;"-"&amp;TEXT('16U_M_Classic'!B71,"h:mm am/pm")</f>
        <v>16BX-059-2-3 cross-7:30 PM</v>
      </c>
      <c r="AO19" s="360" t="str">
        <f>'16U_M_Classic'!L90&amp;"-"&amp;'16U_M_Classic'!C90&amp;"-"&amp;TEXT('16U_M_Classic'!B90,"h:mm am/pm")</f>
        <v>16BX-060-2-3 cross-7:30 PM</v>
      </c>
      <c r="AP19" s="360" t="str">
        <f>'16U_M_Classic'!L33&amp;"-"&amp;'16U_M_Classic'!C33&amp;"-"&amp;TEXT('16U_M_Classic'!B33,"h:mm am/pm")</f>
        <v>16BX-057-2-3 cross-7:30 PM</v>
      </c>
      <c r="AQ19" s="360" t="str">
        <f>'16U_M_Classic'!L52&amp;"-"&amp;'16U_M_Classic'!C52&amp;"-"&amp;TEXT('16U_M_Classic'!B52,"h:mm am/pm")</f>
        <v>16BX-058-2-3 cross-7:30 PM</v>
      </c>
      <c r="AT19" s="361" t="str">
        <f>'18U_M_INVITE_NEW_23'!L32&amp;"-"&amp;'18U_M_INVITE_NEW_23'!C32&amp;"-"&amp;TEXT('18U_M_INVITE_NEW_23'!B32,"h:mm am/pm")</f>
        <v>18BQ-027-Cross-7:30 PM</v>
      </c>
      <c r="AU19" s="353">
        <v>0.8125</v>
      </c>
      <c r="AV19" s="362" t="str">
        <f>'16U_M_Champ'!L33&amp;"-"&amp;'16U_M_Champ'!C33&amp;"-"&amp;TEXT('16U_M_Champ'!B33,"h:mm am/pm")</f>
        <v>16B-057-2-3 cross-7:30 PM</v>
      </c>
      <c r="AW19" s="362" t="str">
        <f>'16U_M_Champ'!L52&amp;"-"&amp;'16U_M_Champ'!C52&amp;"-"&amp;TEXT('16U_M_Champ'!B52,"h:mm am/pm")</f>
        <v>16B-058-2-3 cross-7:30 PM</v>
      </c>
      <c r="AX19" s="362" t="str">
        <f>'16U_M_Champ'!L71&amp;"-"&amp;'16U_M_Champ'!C71&amp;"-"&amp;TEXT('16U_M_Champ'!B71,"h:mm am/pm")</f>
        <v>16B-059-2-3 cross-7:30 PM</v>
      </c>
      <c r="AY19" s="362" t="str">
        <f>'16U_M_Champ'!L90&amp;"-"&amp;'16U_M_Champ'!C90&amp;"-"&amp;TEXT('16U_M_Champ'!B90,"h:mm am/pm")</f>
        <v>16B-060-2-3 cross-7:30 PM</v>
      </c>
      <c r="AZ19" s="49"/>
      <c r="BA19" s="353"/>
      <c r="BB19" s="353"/>
      <c r="BC19" s="353"/>
      <c r="BD19" s="353"/>
      <c r="BE19" s="353"/>
    </row>
    <row r="20" spans="1:61">
      <c r="A20" s="353">
        <v>0.84722222222222199</v>
      </c>
      <c r="C20" s="55" t="str">
        <f>'10U_M_Champ_35'!L32&amp;"-"&amp;'10U_M_Champ_35'!C32&amp;"-"&amp;TEXT('10U_M_Champ_35'!B32,"h:mm am/pm")</f>
        <v>10B-046-2-3 cross-8:20 PM</v>
      </c>
      <c r="D20" s="55" t="str">
        <f>'10U_M_Champ_35'!L52&amp;"-"&amp;'10U_M_Champ_35'!C52&amp;"-"&amp;TEXT('10U_M_Champ_35'!B52,"h:mm am/pm")</f>
        <v>10B-047-2-3 cross-8:20 PM</v>
      </c>
      <c r="E20" s="354" t="str">
        <f>'12U_M_Classic_53'!L272&amp;"-"&amp;'12U_M_Classic_53'!N272&amp;"-"&amp;TEXT('12U_M_Classic_53'!B272,"h:mm am/pm")</f>
        <v>12BX-146-ag_9th-12th-6:50 PM</v>
      </c>
      <c r="F20" s="354" t="str">
        <f>'12U_M_Classic_53'!L104&amp;"-"&amp;'12U_M_Classic_53'!C104&amp;"-"&amp;TEXT('12U_M_Classic_53'!B104,"h:mm am/pm")</f>
        <v>12BX-063-2's cross 20v29-8:20 PM</v>
      </c>
      <c r="G20" s="354" t="str">
        <f>'12U_M_Classic_53'!L124&amp;"-"&amp;'12U_M_Classic_53'!C124&amp;"-"&amp;TEXT('12U_M_Classic_53'!B124,"h:mm am/pm")</f>
        <v>12BX-064-2's cross 22v27-8:20 PM</v>
      </c>
      <c r="I20" s="353">
        <v>0.84722222222222199</v>
      </c>
      <c r="K20" s="353">
        <v>0.84722222222222199</v>
      </c>
      <c r="L20" s="353"/>
      <c r="M20" s="353"/>
      <c r="N20" s="353"/>
      <c r="O20" s="353"/>
      <c r="P20" s="353">
        <v>0.84722222222222199</v>
      </c>
      <c r="U20" s="356" t="str">
        <f>'14U_M_Invite_36'!L72&amp;"-"&amp;'14U_M_Invite_36'!C72&amp;"-"&amp;TEXT('14U_M_Invite_36'!B72,"h:mm am/pm")</f>
        <v>14BQ-048-2-3 cross-8:20 PM</v>
      </c>
      <c r="V20" s="356" t="str">
        <f>'14U_M_Invite_36'!L52&amp;"-"&amp;'14U_M_Invite_36'!C52&amp;"-"&amp;TEXT('14U_M_Invite_36'!B52,"h:mm am/pm")</f>
        <v>14BQ-047-2-3 cross-8:20 PM</v>
      </c>
      <c r="W20" s="356" t="str">
        <f>'14U_M_Invite_36'!L32&amp;"-"&amp;'14U_M_Invite_36'!C32&amp;"-"&amp;TEXT('14U_M_Invite_36'!B32,"h:mm am/pm")</f>
        <v>14BQ-046-2-3 cross-8:20 PM</v>
      </c>
      <c r="X20" s="353">
        <v>0.84722222222222199</v>
      </c>
      <c r="AB20" s="49"/>
      <c r="AC20" s="49"/>
      <c r="AD20" s="357" t="str">
        <f>'16U_M_Invite'!L27&amp;"-"&amp;'16U_M_Invite'!C27&amp;"-"&amp;TEXT('16U_M_Invite'!B27,"h:mm am/pm")</f>
        <v>16BQ-057-2-3 cross-8:20 PM</v>
      </c>
      <c r="AE20" s="357" t="str">
        <f>'16U_M_Invite'!L41&amp;"-"&amp;'16U_M_Invite'!C41&amp;"-"&amp;TEXT('16U_M_Invite'!B41,"h:mm am/pm")</f>
        <v>16BQ-053-2-3 cross-8:10 PM</v>
      </c>
      <c r="AU20" s="353">
        <v>0.84722222222222199</v>
      </c>
      <c r="BA20" s="353"/>
    </row>
    <row r="21" spans="1:61">
      <c r="A21" s="353"/>
      <c r="I21" s="353"/>
      <c r="K21" s="353"/>
      <c r="L21" s="353"/>
      <c r="M21" s="353"/>
      <c r="N21" s="353"/>
      <c r="O21" s="353"/>
      <c r="P21" s="353"/>
      <c r="W21" s="353"/>
      <c r="X21" s="353">
        <v>0.88194444444444398</v>
      </c>
      <c r="AB21" s="353"/>
      <c r="AD21" s="353"/>
      <c r="AU21" s="353"/>
      <c r="BA21" s="353"/>
    </row>
    <row r="22" spans="1:61">
      <c r="L22" s="353"/>
      <c r="M22" s="353"/>
      <c r="N22" s="353"/>
      <c r="O22" s="353"/>
      <c r="W22" s="353"/>
    </row>
    <row r="24" spans="1:6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</row>
    <row r="26" spans="1:61">
      <c r="A26" s="45" t="s">
        <v>60</v>
      </c>
      <c r="I26" s="45" t="s">
        <v>60</v>
      </c>
      <c r="K26" s="45" t="s">
        <v>60</v>
      </c>
      <c r="L26" s="45"/>
      <c r="M26" s="45"/>
      <c r="N26" s="45"/>
      <c r="O26" s="45"/>
      <c r="P26" s="45" t="s">
        <v>60</v>
      </c>
      <c r="V26" s="45"/>
      <c r="X26" s="45" t="s">
        <v>60</v>
      </c>
      <c r="AA26" s="45"/>
      <c r="AB26" s="45"/>
      <c r="AC26" s="46" t="s">
        <v>3</v>
      </c>
      <c r="AD26" s="48" t="s">
        <v>4</v>
      </c>
      <c r="AE26" s="45"/>
      <c r="AH26" s="45"/>
      <c r="AI26" s="45"/>
      <c r="AJ26" s="45"/>
      <c r="AL26" s="45"/>
      <c r="AU26" s="45" t="s">
        <v>60</v>
      </c>
      <c r="BA26" s="45" t="s">
        <v>60</v>
      </c>
      <c r="BB26" s="45"/>
      <c r="BC26" s="45"/>
    </row>
    <row r="27" spans="1:61">
      <c r="B27" s="44" t="s">
        <v>9</v>
      </c>
      <c r="C27" s="44" t="s">
        <v>10</v>
      </c>
      <c r="D27" s="44" t="s">
        <v>11</v>
      </c>
      <c r="E27" s="44" t="s">
        <v>12</v>
      </c>
      <c r="F27" s="44" t="s">
        <v>13</v>
      </c>
      <c r="G27" s="44" t="s">
        <v>14</v>
      </c>
      <c r="H27" s="44" t="s">
        <v>15</v>
      </c>
      <c r="J27" s="44" t="s">
        <v>16</v>
      </c>
      <c r="L27" s="44" t="s">
        <v>17</v>
      </c>
      <c r="M27" s="44" t="s">
        <v>18</v>
      </c>
      <c r="N27" s="44" t="s">
        <v>19</v>
      </c>
      <c r="O27" s="44" t="s">
        <v>20</v>
      </c>
      <c r="Q27" s="44" t="s">
        <v>21</v>
      </c>
      <c r="R27" s="44" t="s">
        <v>22</v>
      </c>
      <c r="S27" s="44" t="s">
        <v>23</v>
      </c>
      <c r="T27" s="44" t="s">
        <v>24</v>
      </c>
      <c r="U27" s="44" t="s">
        <v>25</v>
      </c>
      <c r="V27" s="44" t="s">
        <v>26</v>
      </c>
      <c r="W27" s="44" t="s">
        <v>27</v>
      </c>
      <c r="Y27" s="44" t="s">
        <v>28</v>
      </c>
      <c r="Z27" s="44" t="s">
        <v>29</v>
      </c>
      <c r="AA27" s="44" t="s">
        <v>30</v>
      </c>
      <c r="AB27" s="44" t="s">
        <v>31</v>
      </c>
      <c r="AC27" s="44" t="s">
        <v>32</v>
      </c>
      <c r="AD27" s="44" t="s">
        <v>33</v>
      </c>
      <c r="AE27" s="44" t="s">
        <v>34</v>
      </c>
      <c r="AF27" s="44" t="s">
        <v>35</v>
      </c>
      <c r="AG27" s="44" t="s">
        <v>36</v>
      </c>
      <c r="AH27" s="44" t="s">
        <v>37</v>
      </c>
      <c r="AI27" s="44" t="s">
        <v>38</v>
      </c>
      <c r="AJ27" s="44" t="s">
        <v>39</v>
      </c>
      <c r="AK27" s="44" t="s">
        <v>40</v>
      </c>
      <c r="AL27" s="44" t="s">
        <v>41</v>
      </c>
      <c r="AM27" s="44" t="s">
        <v>42</v>
      </c>
      <c r="AN27" s="44" t="s">
        <v>43</v>
      </c>
      <c r="AO27" s="44" t="s">
        <v>44</v>
      </c>
      <c r="AP27" s="44" t="s">
        <v>45</v>
      </c>
      <c r="AQ27" s="44" t="s">
        <v>46</v>
      </c>
      <c r="AR27" s="44" t="s">
        <v>47</v>
      </c>
      <c r="AS27" s="44" t="s">
        <v>48</v>
      </c>
      <c r="AT27" s="44" t="s">
        <v>49</v>
      </c>
      <c r="AV27" s="44" t="s">
        <v>50</v>
      </c>
      <c r="AW27" s="44" t="s">
        <v>51</v>
      </c>
      <c r="AX27" s="44" t="s">
        <v>52</v>
      </c>
      <c r="AY27" s="44" t="s">
        <v>53</v>
      </c>
      <c r="AZ27" s="44" t="s">
        <v>54</v>
      </c>
      <c r="BB27" s="44" t="s">
        <v>55</v>
      </c>
      <c r="BC27" s="44" t="s">
        <v>56</v>
      </c>
      <c r="BD27" s="44" t="s">
        <v>57</v>
      </c>
      <c r="BE27" s="44" t="s">
        <v>58</v>
      </c>
      <c r="BF27" s="44" t="s">
        <v>59</v>
      </c>
      <c r="BI27" s="44">
        <f>COUNTA(B27:BG27)</f>
        <v>51</v>
      </c>
    </row>
    <row r="28" spans="1:61">
      <c r="A28" s="353">
        <v>0.29166666666666669</v>
      </c>
      <c r="C28" s="55" t="str">
        <f>'10U_M_Champ_35'!L88&amp;"-"&amp;'10U_M_Champ_35'!O88&amp;"-"&amp;TEXT('10U_M_Champ_35'!B88,"h:mm am/pm")</f>
        <v>10B-049-pt_Group-7:00 AM</v>
      </c>
      <c r="D28" s="55" t="str">
        <f>'10U_M_Champ_35'!L107&amp;"-"&amp;'10U_M_Champ_35'!O107&amp;"-"&amp;TEXT('10U_M_Champ_35'!B107,"h:mm am/pm")</f>
        <v>10B-050-pt_Group-7:00 AM</v>
      </c>
      <c r="F28" s="354" t="str">
        <f>'12U_M_Classic_53'!L208&amp;"-"&amp;'12U_M_Classic_53'!N208&amp;"-"&amp;TEXT('12U_M_Classic_53'!B208,"h:mm am/pm")</f>
        <v>12BX-066-bz_Group-7:00 AM</v>
      </c>
      <c r="H28" s="354" t="str">
        <f>'12U_M_Classic_53'!L191&amp;"-"&amp;'12U_M_Classic_53'!N191&amp;"-"&amp;TEXT('12U_M_Classic_53'!B191,"h:mm am/pm")</f>
        <v>12BX-65C-bz_Group-7:00 AM</v>
      </c>
      <c r="I28" s="353">
        <v>0.29166666666666669</v>
      </c>
      <c r="K28" s="353">
        <v>0.29166666666666669</v>
      </c>
      <c r="L28" s="56" t="str">
        <f>'12U_M_Champ'!L118&amp;"-"&amp;'12U_M_Champ'!N118&amp;"-"&amp;TEXT('12U_M_Champ'!B118,"h:mm am/pm")</f>
        <v>12B-061-pt_Group-7:00 AM</v>
      </c>
      <c r="N28" s="56" t="str">
        <f>'12U_M_Champ'!L156&amp;"-"&amp;'12U_M_Champ'!N156&amp;"-"&amp;TEXT('12U_M_Champ'!B156,"h:mm am/pm")</f>
        <v>12B-063-au_Group-7:00 AM</v>
      </c>
      <c r="O28" s="56" t="str">
        <f>'12U_M_Champ'!L175&amp;"-"&amp;'12U_M_Champ'!N175&amp;"-"&amp;TEXT('12U_M_Champ'!B175,"h:mm am/pm")</f>
        <v>12B-064-au_Group-7:00 AM</v>
      </c>
      <c r="P28" s="353">
        <v>0.29166666666666669</v>
      </c>
      <c r="Q28" s="355" t="str">
        <f>'14U_M_Champ'!L118&amp;"-"&amp;'14U_M_Champ'!N118&amp;"-"&amp;TEXT('14U_M_Champ'!B118,"h:mm am/pm")</f>
        <v>14B-061-pt_Group-7:00 AM</v>
      </c>
      <c r="R28" s="355" t="str">
        <f>'14U_M_Champ'!L137&amp;"-"&amp;'14U_M_Champ'!N137&amp;"-"&amp;TEXT('14U_M_Champ'!B137,"h:mm am/pm")</f>
        <v>14B-062-pt_Group-7:00 AM</v>
      </c>
      <c r="S28" s="355" t="str">
        <f>'14U_M_Champ'!L156&amp;"-"&amp;'14U_M_Champ'!N156&amp;"-"&amp;TEXT('14U_M_Champ'!B156,"h:mm am/pm")</f>
        <v>14B-063-au_Group-7:00 AM</v>
      </c>
      <c r="T28" s="355" t="str">
        <f>'14U_M_Champ'!L175&amp;"-"&amp;'14U_M_Champ'!N175&amp;"-"&amp;TEXT('14U_M_Champ'!B175,"h:mm am/pm")</f>
        <v>14B-064-au_Group-7:00 AM</v>
      </c>
      <c r="U28" s="56" t="str">
        <f>'12U_M_Champ'!L137&amp;"-"&amp;'12U_M_Champ'!N137&amp;"-"&amp;TEXT('12U_M_Champ'!B137,"h:mm am/pm")</f>
        <v>12B-062-pt_Group-7:00 AM</v>
      </c>
      <c r="V28" s="356" t="str">
        <f>'14U_M_Invite_36'!L109&amp;"-"&amp;'14U_M_Invite_36'!O109&amp;"-"&amp;TEXT('14U_M_Invite_36'!B109,"h:mm am/pm")</f>
        <v>14BQ-050-ni_Group-7:00 AM</v>
      </c>
      <c r="W28" s="356" t="str">
        <f>'14U_M_Invite_36'!L134&amp;"-"&amp;'14U_M_Invite_36'!O134&amp;"-"&amp;TEXT('14U_M_Invite_36'!B134,"h:mm am/pm")</f>
        <v>14BQ-053-cu_Group-7:00 AM</v>
      </c>
      <c r="X28" s="353">
        <v>0.29166666666666669</v>
      </c>
      <c r="Z28" s="49"/>
      <c r="AA28" s="358" t="str">
        <f>'14U_M_Classic'!L165&amp;"-"&amp;'14U_M_Classic'!C165&amp;"-"&amp;TEXT('14U_M_Classic'!B165,"h:mm am/pm")</f>
        <v>14BX-063-Group-7:00 AM</v>
      </c>
      <c r="AB28" s="358" t="str">
        <f>'14U_M_Classic'!L184&amp;"-"&amp;'14U_M_Classic'!C184&amp;"-"&amp;TEXT('14U_M_Classic'!B184,"h:mm am/pm")</f>
        <v>14BX-064-Group-7:00 AM</v>
      </c>
      <c r="AC28" s="358" t="str">
        <f>'14U_M_Classic'!L124&amp;"-"&amp;'14U_M_Classic'!N124&amp;"-"&amp;TEXT('14U_M_Classic'!B124,"h:mm am/pm")</f>
        <v>14BX-061-ag_Group-7:00 AM</v>
      </c>
      <c r="AD28" s="49"/>
      <c r="AE28" s="360" t="str">
        <f>'16U_M_Classic'!L118&amp;"-"&amp;'16U_M_Classic'!O118&amp;"-"&amp;TEXT('16U_M_Classic'!B118,"h:mm am/pm")</f>
        <v>16BX-061-ag_Group-7:00 AM</v>
      </c>
      <c r="AF28" s="361" t="str">
        <f>'18U_M_INVITE_NEW_23'!L72&amp;"-"&amp;'18U_M_INVITE_NEW_23'!N72&amp;"-"&amp;TEXT('18U_M_INVITE_NEW_23'!B72,"h:mm am/pm")</f>
        <v>18BQ-029-ni_Group-7:00 AM</v>
      </c>
      <c r="AG28" s="357" t="str">
        <f>'16U_M_Invite'!L126&amp;"-"&amp;'16U_M_Invite'!O126&amp;"-"&amp;TEXT('16U_M_Invite'!B126,"h:mm am/pm")</f>
        <v>16BQ-061-ni_Group-7:00 AM</v>
      </c>
      <c r="AH28" s="359" t="str">
        <f>'18U_M_Classic'!L137&amp;"-"&amp;'18U_M_Classic'!O137&amp;"-"&amp;TEXT('18U_M_Classic'!B137,"h:mm am/pm")</f>
        <v>18BX-062-ag_Group-7:00 AM</v>
      </c>
      <c r="AI28" s="359" t="str">
        <f>'18U_M_Classic'!L156&amp;"-"&amp;'18U_M_Classic'!O156&amp;"-"&amp;TEXT('18U_M_Classic'!B156,"h:mm am/pm")</f>
        <v>18BX-063-bz_Group-7:00 AM</v>
      </c>
      <c r="AJ28" s="359" t="str">
        <f>'18U_M_Classic'!L118&amp;"-"&amp;'18U_M_Classic'!O118&amp;"-"&amp;TEXT('18U_M_Classic'!B118,"h:mm am/pm")</f>
        <v>18BX-061-ag_Group-7:00 AM</v>
      </c>
      <c r="AK28" s="357" t="str">
        <f>'16U_M_Invite'!L164&amp;"-"&amp;'16U_M_Invite'!O164&amp;"-"&amp;TEXT('16U_M_Invite'!B164,"h:mm am/pm")</f>
        <v>16BQ-063-cu_Group-7:00 AM</v>
      </c>
      <c r="AL28" s="357" t="str">
        <f>'16U_M_Invite'!L183&amp;"-"&amp;'16U_M_Invite'!O183&amp;"-"&amp;TEXT('16U_M_Invite'!B183,"h:mm am/pm")</f>
        <v>16BQ-064-cu_Group-7:00 AM</v>
      </c>
      <c r="AM28" s="358" t="str">
        <f>'14U_M_Classic'!L146&amp;"-"&amp;'14U_M_Classic'!C146&amp;"-"&amp;TEXT('14U_M_Classic'!B146,"h:mm am/pm")</f>
        <v>14BX-062-Group-7:00 AM</v>
      </c>
      <c r="AN28" s="360" t="str">
        <f>'16U_M_Classic'!L137&amp;"-"&amp;'16U_M_Classic'!O137&amp;"-"&amp;TEXT('16U_M_Classic'!B137,"h:mm am/pm")</f>
        <v>16BX-062-ag_Group-7:00 AM</v>
      </c>
      <c r="AO28" s="357" t="str">
        <f>'16U_M_Invite'!L145&amp;"-"&amp;'16U_M_Invite'!O145&amp;"-"&amp;TEXT('16U_M_Invite'!B145,"h:mm am/pm")</f>
        <v>16BQ-062-ni_Group-7:00 AM</v>
      </c>
      <c r="AP28" s="360" t="str">
        <f>'16U_M_Classic'!L175&amp;"-"&amp;'16U_M_Classic'!O175&amp;"-"&amp;TEXT('16U_M_Classic'!B175,"h:mm am/pm")</f>
        <v>16BX-064-bz_Group-7:00 AM</v>
      </c>
      <c r="AQ28" s="360" t="str">
        <f>'16U_M_Classic'!L156&amp;"-"&amp;'16U_M_Classic'!O156&amp;"-"&amp;TEXT('16U_M_Classic'!B156,"h:mm am/pm")</f>
        <v>16BX-063-bz_Group-7:00 AM</v>
      </c>
      <c r="AR28" s="356" t="str">
        <f>'14U_M_Invite_36'!L90&amp;"-"&amp;'14U_M_Invite_36'!O90&amp;"-"&amp;TEXT('14U_M_Invite_36'!B90,"h:mm am/pm")</f>
        <v>14BQ-049-ni_Group-7:00 AM</v>
      </c>
      <c r="AS28" s="359" t="str">
        <f>'18U_M_Classic'!L175&amp;"-"&amp;'18U_M_Classic'!O175&amp;"-"&amp;TEXT('18U_M_Classic'!B175,"h:mm am/pm")</f>
        <v>18BX-064-bz_Group-7:00 AM</v>
      </c>
      <c r="AT28" s="361" t="str">
        <f>'18U_M_INVITE_NEW_23'!L87&amp;"-"&amp;'18U_M_INVITE_NEW_23'!N87&amp;"-"&amp;TEXT('18U_M_INVITE_NEW_23'!B87,"h:mm am/pm")</f>
        <v>18BQ-030-cu_Group-7:00 AM</v>
      </c>
      <c r="AU28" s="353">
        <v>0.29166666666666669</v>
      </c>
      <c r="AV28" s="362" t="str">
        <f>'16U_M_Champ'!L118&amp;"-"&amp;'16U_M_Champ'!O118&amp;"-"&amp;TEXT('16U_M_Champ'!B118,"h:mm am/pm")</f>
        <v>16B-061-pt_Group-7:00 AM</v>
      </c>
      <c r="AW28" s="362" t="str">
        <f>'16U_M_Champ'!L137&amp;"-"&amp;'16U_M_Champ'!O137&amp;"-"&amp;TEXT('16U_M_Champ'!B137,"h:mm am/pm")</f>
        <v>16B-062-pt_Group-7:00 AM</v>
      </c>
      <c r="AX28" s="362" t="str">
        <f>'16U_M_Champ'!L156&amp;"-"&amp;'16U_M_Champ'!O156&amp;"-"&amp;TEXT('16U_M_Champ'!B156,"h:mm am/pm")</f>
        <v>16B-063-au_Group-7:00 AM</v>
      </c>
      <c r="AY28" s="362" t="str">
        <f>'16U_M_Champ'!L175&amp;"-"&amp;'16U_M_Champ'!O175&amp;"-"&amp;TEXT('16U_M_Champ'!B175,"h:mm am/pm")</f>
        <v>16B-064-au_Group-7:00 AM</v>
      </c>
      <c r="AZ28" s="49"/>
      <c r="BA28" s="353">
        <v>0.29166666666666669</v>
      </c>
      <c r="BC28" s="363" t="str">
        <f>'18U_M_Champ'!L182&amp;"-"&amp;'18U_M_Champ'!N182&amp;"-"&amp;TEXT('18U_M_Champ'!B182,"h:mm am/pm")</f>
        <v>18B-063-au_Group-7:00 AM</v>
      </c>
      <c r="BD28" s="363" t="str">
        <f>'18U_M_Champ'!L134&amp;"-"&amp;'18U_M_Champ'!N134&amp;"-"&amp;TEXT('18U_M_Champ'!B134,"h:mm am/pm")</f>
        <v>18B-065-pt_Group-7:00 AM</v>
      </c>
      <c r="BE28" s="363" t="str">
        <f>'18U_M_Champ'!L150&amp;"-"&amp;'18U_M_Champ'!N150&amp;"-"&amp;TEXT('18U_M_Champ'!B150,"h:mm am/pm")</f>
        <v>18B-061-au_Group-7:00 AM</v>
      </c>
      <c r="BF28" s="363" t="str">
        <f>'18U_M_Champ'!L166&amp;"-"&amp;'18U_M_Champ'!N166&amp;"-"&amp;TEXT('18U_M_Champ'!B166,"h:mm am/pm")</f>
        <v>18B-062-au_Group-7:00 AM</v>
      </c>
    </row>
    <row r="29" spans="1:61">
      <c r="A29" s="353">
        <v>0.3263888888888889</v>
      </c>
      <c r="C29" s="55" t="str">
        <f>'10U_M_Champ_35'!L89&amp;"-"&amp;'10U_M_Champ_35'!O89&amp;"-"&amp;TEXT('10U_M_Champ_35'!B89,"h:mm am/pm")</f>
        <v>10B-051-pt_Group-7:50 AM</v>
      </c>
      <c r="D29" s="55" t="str">
        <f>'10U_M_Champ_35'!L108&amp;"-"&amp;'10U_M_Champ_35'!O108&amp;"-"&amp;TEXT('10U_M_Champ_35'!B108,"h:mm am/pm")</f>
        <v>10B-052-pt_Group-7:50 AM</v>
      </c>
      <c r="F29" s="354" t="str">
        <f>'12U_M_Classic_53'!L209&amp;"-"&amp;'12U_M_Classic_53'!N209&amp;"-"&amp;TEXT('12U_M_Classic_53'!B209,"h:mm am/pm")</f>
        <v>12BX-070-bz_U Group of 4-7:50 AM</v>
      </c>
      <c r="H29" s="354" t="str">
        <f>'12U_M_Classic_53'!L192&amp;"-"&amp;'12U_M_Classic_53'!N192&amp;"-"&amp;TEXT('12U_M_Classic_53'!B192,"h:mm am/pm")</f>
        <v>12BX-069-bz_Group-7:50 AM</v>
      </c>
      <c r="I29" s="353">
        <v>0.3263888888888889</v>
      </c>
      <c r="K29" s="353">
        <v>0.3263888888888889</v>
      </c>
      <c r="L29" s="56" t="str">
        <f>'12U_M_Champ'!L119&amp;"-"&amp;'12U_M_Champ'!N119&amp;"-"&amp;TEXT('12U_M_Champ'!B119,"h:mm am/pm")</f>
        <v>12B-065-pt_Group-7:50 AM</v>
      </c>
      <c r="N29" s="56" t="str">
        <f>'12U_M_Champ'!L157&amp;"-"&amp;'12U_M_Champ'!N157&amp;"-"&amp;TEXT('12U_M_Champ'!B157,"h:mm am/pm")</f>
        <v>12B-067-au_Group-7:50 AM</v>
      </c>
      <c r="O29" s="56" t="str">
        <f>'12U_M_Champ'!L176&amp;"-"&amp;'12U_M_Champ'!N176&amp;"-"&amp;TEXT('12U_M_Champ'!B176,"h:mm am/pm")</f>
        <v>12B-068-au_Group-7:50 AM</v>
      </c>
      <c r="P29" s="353">
        <v>0.3263888888888889</v>
      </c>
      <c r="Q29" s="355" t="str">
        <f>'14U_M_Champ'!L119&amp;"-"&amp;'14U_M_Champ'!N119&amp;"-"&amp;TEXT('14U_M_Champ'!B119,"h:mm am/pm")</f>
        <v>14B-065-pt_Group-7:50 AM</v>
      </c>
      <c r="R29" s="355" t="str">
        <f>'14U_M_Champ'!L138&amp;"-"&amp;'14U_M_Champ'!N138&amp;"-"&amp;TEXT('14U_M_Champ'!B138,"h:mm am/pm")</f>
        <v>14B-066-pt_Group-7:50 AM</v>
      </c>
      <c r="S29" s="355" t="str">
        <f>'14U_M_Champ'!L157&amp;"-"&amp;'14U_M_Champ'!N157&amp;"-"&amp;TEXT('14U_M_Champ'!B157,"h:mm am/pm")</f>
        <v>14B-067-au_Group-7:50 AM</v>
      </c>
      <c r="T29" s="355" t="str">
        <f>'14U_M_Champ'!L176&amp;"-"&amp;'14U_M_Champ'!N176&amp;"-"&amp;TEXT('14U_M_Champ'!B176,"h:mm am/pm")</f>
        <v>14B-068-au_Group-7:50 AM</v>
      </c>
      <c r="U29" s="56" t="str">
        <f>'12U_M_Champ'!L138&amp;"-"&amp;'12U_M_Champ'!N138&amp;"-"&amp;TEXT('12U_M_Champ'!B138,"h:mm am/pm")</f>
        <v>12B-066-pt_Group-7:50 AM</v>
      </c>
      <c r="V29" s="356" t="str">
        <f>'14U_M_Invite_36'!L110&amp;"-"&amp;'14U_M_Invite_36'!O110&amp;"-"&amp;TEXT('14U_M_Invite_36'!B110,"h:mm am/pm")</f>
        <v>14BQ-052-ni_Group-7:50 AM</v>
      </c>
      <c r="W29" s="356" t="str">
        <f>'14U_M_Invite_36'!L135&amp;"-"&amp;'14U_M_Invite_36'!O135&amp;"-"&amp;TEXT('14U_M_Invite_36'!B135,"h:mm am/pm")</f>
        <v>14BQ-056-cu_Group-7:50 AM</v>
      </c>
      <c r="X29" s="353">
        <v>0.3263888888888889</v>
      </c>
      <c r="Z29" s="49"/>
      <c r="AA29" s="358" t="str">
        <f>'14U_M_Classic'!L166&amp;"-"&amp;'14U_M_Classic'!C166&amp;"-"&amp;TEXT('14U_M_Classic'!B166,"h:mm am/pm")</f>
        <v>14BX-067-Group-7:50 AM</v>
      </c>
      <c r="AB29" s="358" t="str">
        <f>'14U_M_Classic'!L185&amp;"-"&amp;'14U_M_Classic'!C185&amp;"-"&amp;TEXT('14U_M_Classic'!B185,"h:mm am/pm")</f>
        <v>14BX-068-Group-7:50 AM</v>
      </c>
      <c r="AC29" s="358" t="str">
        <f>'14U_M_Classic'!L125&amp;"-"&amp;'14U_M_Classic'!C125&amp;"-"&amp;TEXT('14U_M_Classic'!B125,"h:mm am/pm")</f>
        <v>14BX-065-Group-7:50 AM</v>
      </c>
      <c r="AD29" s="49"/>
      <c r="AE29" s="360" t="str">
        <f>'16U_M_Classic'!L119&amp;"-"&amp;'16U_M_Classic'!O119&amp;"-"&amp;TEXT('16U_M_Classic'!B119,"h:mm am/pm")</f>
        <v>16BX-065-ag_Group-7:50 AM</v>
      </c>
      <c r="AF29" s="361" t="str">
        <f>'18U_M_INVITE_NEW_23'!L73&amp;"-"&amp;'18U_M_INVITE_NEW_23'!N73&amp;"-"&amp;TEXT('18U_M_INVITE_NEW_23'!B73,"h:mm am/pm")</f>
        <v>18BQ-031-ni_Group-7:50 AM</v>
      </c>
      <c r="AG29" s="357" t="str">
        <f>'16U_M_Invite'!L127&amp;"-"&amp;'16U_M_Invite'!O127&amp;"-"&amp;TEXT('16U_M_Invite'!B127,"h:mm am/pm")</f>
        <v>16BQ-065-ni_Group-7:50 AM</v>
      </c>
      <c r="AH29" s="359" t="str">
        <f>'18U_M_Classic'!L138&amp;"-"&amp;'18U_M_Classic'!O138&amp;"-"&amp;TEXT('18U_M_Classic'!B138,"h:mm am/pm")</f>
        <v>18BX-066-ag_Group-7:50 AM</v>
      </c>
      <c r="AI29" s="359" t="str">
        <f>'18U_M_Classic'!L157&amp;"-"&amp;'18U_M_Classic'!O157&amp;"-"&amp;TEXT('18U_M_Classic'!B157,"h:mm am/pm")</f>
        <v>18BX-067-bz_Group-7:50 AM</v>
      </c>
      <c r="AJ29" s="359" t="str">
        <f>'18U_M_Classic'!L119&amp;"-"&amp;'18U_M_Classic'!O119&amp;"-"&amp;TEXT('18U_M_Classic'!B119,"h:mm am/pm")</f>
        <v>18BX-065-ag_Group-7:50 AM</v>
      </c>
      <c r="AK29" s="357" t="str">
        <f>'16U_M_Invite'!L165&amp;"-"&amp;'16U_M_Invite'!O165&amp;"-"&amp;TEXT('16U_M_Invite'!B165,"h:mm am/pm")</f>
        <v>16BQ-067-cu_Group-7:50 AM</v>
      </c>
      <c r="AL29" s="357" t="str">
        <f>'16U_M_Invite'!L184&amp;"-"&amp;'16U_M_Invite'!O184&amp;"-"&amp;TEXT('16U_M_Invite'!B184,"h:mm am/pm")</f>
        <v>16BQ-068-cu_Group-7:50 AM</v>
      </c>
      <c r="AM29" s="358" t="str">
        <f>'14U_M_Classic'!L147&amp;"-"&amp;'14U_M_Classic'!C147&amp;"-"&amp;TEXT('14U_M_Classic'!B147,"h:mm am/pm")</f>
        <v>14BX-066-Group-7:50 AM</v>
      </c>
      <c r="AN29" s="360" t="str">
        <f>'16U_M_Classic'!L138&amp;"-"&amp;'16U_M_Classic'!O138&amp;"-"&amp;TEXT('16U_M_Classic'!B138,"h:mm am/pm")</f>
        <v>16BX-066-ag_Group-7:50 AM</v>
      </c>
      <c r="AO29" s="357" t="str">
        <f>'16U_M_Invite'!L146&amp;"-"&amp;'16U_M_Invite'!O146&amp;"-"&amp;TEXT('16U_M_Invite'!B146,"h:mm am/pm")</f>
        <v>16BQ-066-ni_Group-7:50 AM</v>
      </c>
      <c r="AP29" s="360" t="str">
        <f>'16U_M_Classic'!L176&amp;"-"&amp;'16U_M_Classic'!O176&amp;"-"&amp;TEXT('16U_M_Classic'!B176,"h:mm am/pm")</f>
        <v>16BX-068-bz_Group-7:50 AM</v>
      </c>
      <c r="AQ29" s="360" t="str">
        <f>'16U_M_Classic'!L157&amp;"-"&amp;'16U_M_Classic'!O157&amp;"-"&amp;TEXT('16U_M_Classic'!B157,"h:mm am/pm")</f>
        <v>16BX-067-bz_Group-7:50 AM</v>
      </c>
      <c r="AR29" s="356" t="str">
        <f>'14U_M_Invite_36'!L91&amp;"-"&amp;'14U_M_Invite_36'!O91&amp;"-"&amp;TEXT('14U_M_Invite_36'!B91,"h:mm am/pm")</f>
        <v>14BQ-051-ni_Group-7:50 AM</v>
      </c>
      <c r="AS29" s="359" t="str">
        <f>'18U_M_Classic'!L176&amp;"-"&amp;'18U_M_Classic'!O176&amp;"-"&amp;TEXT('18U_M_Classic'!B176,"h:mm am/pm")</f>
        <v>18BX-068-bz_Group-7:50 AM</v>
      </c>
      <c r="AT29" s="361" t="str">
        <f>'18U_M_INVITE_NEW_23'!L88&amp;"-"&amp;'18U_M_INVITE_NEW_23'!N88&amp;"-"&amp;TEXT('18U_M_INVITE_NEW_23'!B88,"h:mm am/pm")</f>
        <v>18BQ-032-cu_Group-7:50 AM</v>
      </c>
      <c r="AU29" s="353">
        <v>0.3263888888888889</v>
      </c>
      <c r="AV29" s="362" t="str">
        <f>'16U_M_Champ'!L119&amp;"-"&amp;'16U_M_Champ'!O119&amp;"-"&amp;TEXT('16U_M_Champ'!B119,"h:mm am/pm")</f>
        <v>16B-065-pt_Group-7:50 AM</v>
      </c>
      <c r="AW29" s="362" t="str">
        <f>'16U_M_Champ'!L138&amp;"-"&amp;'16U_M_Champ'!O138&amp;"-"&amp;TEXT('16U_M_Champ'!B138,"h:mm am/pm")</f>
        <v>16B-066-pt_Group-7:50 AM</v>
      </c>
      <c r="AX29" s="362" t="str">
        <f>'16U_M_Champ'!L157&amp;"-"&amp;'16U_M_Champ'!O157&amp;"-"&amp;TEXT('16U_M_Champ'!B157,"h:mm am/pm")</f>
        <v>16B-067-au_Group-7:50 AM</v>
      </c>
      <c r="AY29" s="362" t="str">
        <f>'16U_M_Champ'!L176&amp;"-"&amp;'16U_M_Champ'!O176&amp;"-"&amp;TEXT('16U_M_Champ'!B176,"h:mm am/pm")</f>
        <v>16B-068-au_Group-7:50 AM</v>
      </c>
      <c r="AZ29" s="49"/>
      <c r="BA29" s="353">
        <v>0.33333333333333298</v>
      </c>
      <c r="BB29" s="363" t="str">
        <f>'18U_M_Champ'!L122&amp;"-"&amp;'18U_M_Champ'!N122&amp;"-"&amp;TEXT('18U_M_Champ'!B122,"h:mm am/pm")</f>
        <v>18B-064-pt_Group-8:00 AM</v>
      </c>
      <c r="BC29" s="363" t="str">
        <f>'18U_M_Champ'!L183&amp;"-"&amp;'18U_M_Champ'!N183&amp;"-"&amp;TEXT('18U_M_Champ'!B183,"h:mm am/pm")</f>
        <v>18B-069-pt_Group-8:00 AM</v>
      </c>
      <c r="BD29" s="363" t="str">
        <f>'18U_M_Champ'!L135&amp;"-"&amp;'18U_M_Champ'!N135&amp;"-"&amp;TEXT('18U_M_Champ'!B135,"h:mm am/pm")</f>
        <v>18B-070-pt_Group-8:00 AM</v>
      </c>
      <c r="BE29" s="363" t="str">
        <f>'18U_M_Champ'!L151&amp;"-"&amp;'18U_M_Champ'!N151&amp;"-"&amp;TEXT('18U_M_Champ'!B151,"h:mm am/pm")</f>
        <v>18B-066-au_Group-8:00 AM</v>
      </c>
      <c r="BF29" s="363" t="str">
        <f>'18U_M_Champ'!L167&amp;"-"&amp;'18U_M_Champ'!N167&amp;"-"&amp;TEXT('18U_M_Champ'!B167,"h:mm am/pm")</f>
        <v>18B-067-au_Group-8:00 AM</v>
      </c>
    </row>
    <row r="30" spans="1:61">
      <c r="A30" s="353">
        <v>0.36111111111111099</v>
      </c>
      <c r="B30" s="55" t="str">
        <f>'10U_M_Champ_35'!L134&amp;"-"&amp;'10U_M_Champ_35'!O134&amp;"-"&amp;TEXT('10U_M_Champ_35'!B134,"h:mm am/pm")</f>
        <v>10B-053-au_Group-8:40 AM</v>
      </c>
      <c r="C30" s="55" t="str">
        <f>'10U_M_Champ_35'!L90&amp;"-"&amp;'10U_M_Champ_35'!O90&amp;"-"&amp;TEXT('10U_M_Champ_35'!B90,"h:mm am/pm")</f>
        <v>10B-054-pt_Group-8:40 AM</v>
      </c>
      <c r="D30" s="55" t="str">
        <f>'10U_M_Champ_35'!L109&amp;"-"&amp;'10U_M_Champ_35'!O109&amp;"-"&amp;TEXT('10U_M_Champ_35'!B109,"h:mm am/pm")</f>
        <v>10B-055-pt_Group-8:40 AM</v>
      </c>
      <c r="F30" s="354" t="str">
        <f>'12U_M_Classic_53'!L210&amp;"-"&amp;'12U_M_Classic_53'!N210&amp;"-"&amp;TEXT('12U_M_Classic_53'!B210,"h:mm am/pm")</f>
        <v>12BX-106-bz_U Group of 4-8:40 AM</v>
      </c>
      <c r="H30" s="354" t="str">
        <f>'12U_M_Classic_53'!L193&amp;"-"&amp;'12U_M_Classic_53'!N193&amp;"-"&amp;TEXT('12U_M_Classic_53'!B193,"h:mm am/pm")</f>
        <v>12BX-073-bz_R Group of 4-8:40 AM</v>
      </c>
      <c r="I30" s="353">
        <v>0.36111111111111099</v>
      </c>
      <c r="J30" s="354" t="str">
        <f>'12U_M_Classic_53'!L161&amp;"-"&amp;'12U_M_Classic_53'!N161&amp;"-"&amp;TEXT('12U_M_Classic_53'!B161,"h:mm am/pm")</f>
        <v>12BX-65A-ag_Group-8:40 AM</v>
      </c>
      <c r="K30" s="353">
        <v>0.36111111111111099</v>
      </c>
      <c r="L30" s="56" t="str">
        <f>'12U_M_Champ'!L120&amp;"-"&amp;'12U_M_Champ'!N120&amp;"-"&amp;TEXT('12U_M_Champ'!B120,"h:mm am/pm")</f>
        <v>12B-069-pt_Group-8:40 AM</v>
      </c>
      <c r="M30" s="354" t="str">
        <f>'12U_M_Classic_53'!L176&amp;"-"&amp;'12U_M_Classic_53'!N176&amp;"-"&amp;TEXT('12U_M_Classic_53'!B176,"h:mm am/pm")</f>
        <v>12BX-65B-ag_Group-8:40 AM</v>
      </c>
      <c r="N30" s="56" t="str">
        <f>'12U_M_Champ'!L158&amp;"-"&amp;'12U_M_Champ'!N158&amp;"-"&amp;TEXT('12U_M_Champ'!B158,"h:mm am/pm")</f>
        <v>12B-071-au_Group-8:40 AM</v>
      </c>
      <c r="O30" s="56" t="str">
        <f>'12U_M_Champ'!L177&amp;"-"&amp;'12U_M_Champ'!N177&amp;"-"&amp;TEXT('12U_M_Champ'!B177,"h:mm am/pm")</f>
        <v>12B-072-au_Group-8:40 AM</v>
      </c>
      <c r="P30" s="353">
        <v>0.36111111111111099</v>
      </c>
      <c r="Q30" s="355" t="str">
        <f>'14U_M_Champ'!L120&amp;"-"&amp;'14U_M_Champ'!N120&amp;"-"&amp;TEXT('14U_M_Champ'!B120,"h:mm am/pm")</f>
        <v>14B-069-pt_Group-8:40 AM</v>
      </c>
      <c r="R30" s="355" t="str">
        <f>'14U_M_Champ'!L139&amp;"-"&amp;'14U_M_Champ'!N139&amp;"-"&amp;TEXT('14U_M_Champ'!B139,"h:mm am/pm")</f>
        <v>14B-070-pt_Group-8:40 AM</v>
      </c>
      <c r="S30" s="355" t="str">
        <f>'14U_M_Champ'!L158&amp;"-"&amp;'14U_M_Champ'!N158&amp;"-"&amp;TEXT('14U_M_Champ'!B158,"h:mm am/pm")</f>
        <v>14B-071-au_Group-8:40 AM</v>
      </c>
      <c r="T30" s="355" t="str">
        <f>'14U_M_Champ'!L177&amp;"-"&amp;'14U_M_Champ'!N177&amp;"-"&amp;TEXT('14U_M_Champ'!B177,"h:mm am/pm")</f>
        <v>14B-072-au_Group-8:40 AM</v>
      </c>
      <c r="U30" s="56" t="str">
        <f>'12U_M_Champ'!L139&amp;"-"&amp;'12U_M_Champ'!N139&amp;"-"&amp;TEXT('12U_M_Champ'!B139,"h:mm am/pm")</f>
        <v>12B-070-pt_Group-8:40 AM</v>
      </c>
      <c r="V30" s="356" t="str">
        <f>'14U_M_Invite_36'!L111&amp;"-"&amp;'14U_M_Invite_36'!O111&amp;"-"&amp;TEXT('14U_M_Invite_36'!B111,"h:mm am/pm")</f>
        <v>14BQ-055-ni_Group-8:40 AM</v>
      </c>
      <c r="W30" s="356" t="str">
        <f>'14U_M_Invite_36'!L136&amp;"-"&amp;'14U_M_Invite_36'!O136&amp;"-"&amp;TEXT('14U_M_Invite_36'!B136,"h:mm am/pm")</f>
        <v>14BQ-059-cu_Group-8:40 AM</v>
      </c>
      <c r="X30" s="353">
        <v>0.36111111111111099</v>
      </c>
      <c r="Z30" s="49"/>
      <c r="AA30" s="358" t="str">
        <f>'14U_M_Classic'!L167&amp;"-"&amp;'14U_M_Classic'!C167&amp;"-"&amp;TEXT('14U_M_Classic'!B167,"h:mm am/pm")</f>
        <v>14BX-071-Group-8:40 AM</v>
      </c>
      <c r="AB30" s="358" t="str">
        <f>'14U_M_Classic'!L186&amp;"-"&amp;'14U_M_Classic'!C186&amp;"-"&amp;TEXT('14U_M_Classic'!B186,"h:mm am/pm")</f>
        <v>14BX-072-Group-8:40 AM</v>
      </c>
      <c r="AC30" s="358" t="str">
        <f>'14U_M_Classic'!L126&amp;"-"&amp;'14U_M_Classic'!C126&amp;"-"&amp;TEXT('14U_M_Classic'!B126,"h:mm am/pm")</f>
        <v>14BX-069-Group-8:40 AM</v>
      </c>
      <c r="AD30" s="49"/>
      <c r="AE30" s="360" t="str">
        <f>'16U_M_Classic'!L120&amp;"-"&amp;'16U_M_Classic'!O120&amp;"-"&amp;TEXT('16U_M_Classic'!B120,"h:mm am/pm")</f>
        <v>16BX-069-ag_Group-8:40 AM</v>
      </c>
      <c r="AF30" s="361" t="str">
        <f>'18U_M_INVITE_NEW_23'!L74&amp;"-"&amp;'18U_M_INVITE_NEW_23'!N74&amp;"-"&amp;TEXT('18U_M_INVITE_NEW_23'!B74,"h:mm am/pm")</f>
        <v>18BQ-033-ni_Group-8:40 AM</v>
      </c>
      <c r="AG30" s="357" t="str">
        <f>'16U_M_Invite'!L128&amp;"-"&amp;'16U_M_Invite'!O128&amp;"-"&amp;TEXT('16U_M_Invite'!B128,"h:mm am/pm")</f>
        <v>16BQ-069-ni_Group-8:40 AM</v>
      </c>
      <c r="AH30" s="359" t="str">
        <f>'18U_M_Classic'!L139&amp;"-"&amp;'18U_M_Classic'!O139&amp;"-"&amp;TEXT('18U_M_Classic'!B139,"h:mm am/pm")</f>
        <v>18BX-070-ag_Group-8:40 AM</v>
      </c>
      <c r="AI30" s="359" t="str">
        <f>'18U_M_Classic'!L158&amp;"-"&amp;'18U_M_Classic'!O158&amp;"-"&amp;TEXT('18U_M_Classic'!B158,"h:mm am/pm")</f>
        <v>18BX-071-bz_Group-8:40 AM</v>
      </c>
      <c r="AJ30" s="359" t="str">
        <f>'18U_M_Classic'!L120&amp;"-"&amp;'18U_M_Classic'!O120&amp;"-"&amp;TEXT('18U_M_Classic'!B120,"h:mm am/pm")</f>
        <v>18BX-069-ag_Group-8:40 AM</v>
      </c>
      <c r="AK30" s="357" t="str">
        <f>'16U_M_Invite'!L166&amp;"-"&amp;'16U_M_Invite'!O166&amp;"-"&amp;TEXT('16U_M_Invite'!B166,"h:mm am/pm")</f>
        <v>16BQ-071-cu_Group-8:40 AM</v>
      </c>
      <c r="AL30" s="357" t="str">
        <f>'16U_M_Invite'!L185&amp;"-"&amp;'16U_M_Invite'!O185&amp;"-"&amp;TEXT('16U_M_Invite'!B185,"h:mm am/pm")</f>
        <v>16BQ-072-cu_Group-8:40 AM</v>
      </c>
      <c r="AM30" s="358" t="str">
        <f>'14U_M_Classic'!L148&amp;"-"&amp;'14U_M_Classic'!C148&amp;"-"&amp;TEXT('14U_M_Classic'!B148,"h:mm am/pm")</f>
        <v>14BX-070-Group-8:40 AM</v>
      </c>
      <c r="AN30" s="360" t="str">
        <f>'16U_M_Classic'!L139&amp;"-"&amp;'16U_M_Classic'!O139&amp;"-"&amp;TEXT('16U_M_Classic'!B139,"h:mm am/pm")</f>
        <v>16BX-070-ag_Group-8:40 AM</v>
      </c>
      <c r="AO30" s="357" t="str">
        <f>'16U_M_Invite'!L147&amp;"-"&amp;'16U_M_Invite'!O147&amp;"-"&amp;TEXT('16U_M_Invite'!B147,"h:mm am/pm")</f>
        <v>16BQ-070-ni_Group-8:40 AM</v>
      </c>
      <c r="AP30" s="360" t="str">
        <f>'16U_M_Classic'!L177&amp;"-"&amp;'16U_M_Classic'!O177&amp;"-"&amp;TEXT('16U_M_Classic'!B177,"h:mm am/pm")</f>
        <v>16BX-072-bz_Group-8:40 AM</v>
      </c>
      <c r="AQ30" s="360" t="str">
        <f>'16U_M_Classic'!L158&amp;"-"&amp;'16U_M_Classic'!O158&amp;"-"&amp;TEXT('16U_M_Classic'!B158,"h:mm am/pm")</f>
        <v>16BX-071-bz_Group-8:40 AM</v>
      </c>
      <c r="AR30" s="356" t="str">
        <f>'14U_M_Invite_36'!L92&amp;"-"&amp;'14U_M_Invite_36'!O92&amp;"-"&amp;TEXT('14U_M_Invite_36'!B92,"h:mm am/pm")</f>
        <v>14BQ-054-ni_Group-8:40 AM</v>
      </c>
      <c r="AS30" s="359" t="str">
        <f>'18U_M_Classic'!L177&amp;"-"&amp;'18U_M_Classic'!O177&amp;"-"&amp;TEXT('18U_M_Classic'!B177,"h:mm am/pm")</f>
        <v>18BX-072-bz_Group-8:40 AM</v>
      </c>
      <c r="AT30" s="361" t="str">
        <f>'18U_M_INVITE_NEW_23'!L89&amp;"-"&amp;'18U_M_INVITE_NEW_23'!N89&amp;"-"&amp;TEXT('18U_M_INVITE_NEW_23'!B89,"h:mm am/pm")</f>
        <v>18BQ-034-cu_Group-8:40 AM</v>
      </c>
      <c r="AU30" s="353">
        <v>0.36111111111111099</v>
      </c>
      <c r="AV30" s="362" t="str">
        <f>'16U_M_Champ'!L120&amp;"-"&amp;'16U_M_Champ'!O120&amp;"-"&amp;TEXT('16U_M_Champ'!B120,"h:mm am/pm")</f>
        <v>16B-069-pt_Group-8:40 AM</v>
      </c>
      <c r="AW30" s="362" t="str">
        <f>'16U_M_Champ'!L139&amp;"-"&amp;'16U_M_Champ'!O139&amp;"-"&amp;TEXT('16U_M_Champ'!B139,"h:mm am/pm")</f>
        <v>16B-070-pt_Group-8:40 AM</v>
      </c>
      <c r="AX30" s="362" t="str">
        <f>'16U_M_Champ'!L158&amp;"-"&amp;'16U_M_Champ'!O158&amp;"-"&amp;TEXT('16U_M_Champ'!B158,"h:mm am/pm")</f>
        <v>16B-071-au_Group-8:40 AM</v>
      </c>
      <c r="AY30" s="362" t="str">
        <f>'16U_M_Champ'!L177&amp;"-"&amp;'16U_M_Champ'!O177&amp;"-"&amp;TEXT('16U_M_Champ'!B177,"h:mm am/pm")</f>
        <v>16B-072-au_Group-8:40 AM</v>
      </c>
      <c r="AZ30" s="49"/>
      <c r="BA30" s="353">
        <v>0.375</v>
      </c>
      <c r="BB30" s="363" t="str">
        <f>'18U_M_Champ'!L123&amp;"-"&amp;'18U_M_Champ'!N123&amp;"-"&amp;TEXT('18U_M_Champ'!B123,"h:mm am/pm")</f>
        <v>18B-068-pt_Group-9:00 AM</v>
      </c>
      <c r="BC30" s="363" t="str">
        <f>'18U_M_Champ'!L184&amp;"-"&amp;'18U_M_Champ'!N184&amp;"-"&amp;TEXT('18U_M_Champ'!B184,"h:mm am/pm")</f>
        <v>18B-073-pt_Group-9:00 AM</v>
      </c>
      <c r="BD30" s="363" t="str">
        <f>'18U_M_Champ'!L136&amp;"-"&amp;'18U_M_Champ'!N136&amp;"-"&amp;TEXT('18U_M_Champ'!B136,"h:mm am/pm")</f>
        <v>18B-075-pt_Group-9:00 AM</v>
      </c>
      <c r="BE30" s="363" t="str">
        <f>'18U_M_Champ'!L152&amp;"-"&amp;'18U_M_Champ'!N152&amp;"-"&amp;TEXT('18U_M_Champ'!B152,"h:mm am/pm")</f>
        <v>18B-071-au_Group-9:00 AM</v>
      </c>
      <c r="BF30" s="363" t="str">
        <f>'18U_M_Champ'!L168&amp;"-"&amp;'18U_M_Champ'!N168&amp;"-"&amp;TEXT('18U_M_Champ'!B168,"h:mm am/pm")</f>
        <v>18B-072-au_Group-9:00 AM</v>
      </c>
    </row>
    <row r="31" spans="1:61">
      <c r="A31" s="353">
        <v>0.39583333333333398</v>
      </c>
      <c r="B31" s="55" t="str">
        <f>'10U_M_Champ_35'!L135&amp;"-"&amp;'10U_M_Champ_35'!O135&amp;"-"&amp;TEXT('10U_M_Champ_35'!B135,"h:mm am/pm")</f>
        <v>10B-056-au_W/L-9:30 AM</v>
      </c>
      <c r="C31" s="55" t="str">
        <f>'10U_M_Champ_35'!L91&amp;"-"&amp;'10U_M_Champ_35'!O91&amp;"-"&amp;TEXT('10U_M_Champ_35'!B91,"h:mm am/pm")</f>
        <v>10B-057-pt_Group-9:30 AM</v>
      </c>
      <c r="D31" s="55" t="str">
        <f>'10U_M_Champ_35'!L110&amp;"-"&amp;'10U_M_Champ_35'!O110&amp;"-"&amp;TEXT('10U_M_Champ_35'!B110,"h:mm am/pm")</f>
        <v>10B-058-pt_Group-9:30 AM</v>
      </c>
      <c r="F31" s="354" t="str">
        <f>'12U_M_Classic_53'!L211&amp;"-"&amp;'12U_M_Classic_53'!N211&amp;"-"&amp;TEXT('12U_M_Classic_53'!B211,"h:mm am/pm")</f>
        <v>12BX-074-bz_P group of 4-9:30 AM</v>
      </c>
      <c r="H31" s="354" t="str">
        <f>'12U_M_Classic_53'!L194&amp;"-"&amp;'12U_M_Classic_53'!N194&amp;"-"&amp;TEXT('12U_M_Classic_53'!B194,"h:mm am/pm")</f>
        <v>12BX-73A-bz_R Group of 4-9:30 AM</v>
      </c>
      <c r="I31" s="353">
        <v>0.39583333333333398</v>
      </c>
      <c r="J31" s="354" t="str">
        <f>'12U_M_Classic_53'!L162&amp;"-"&amp;'12U_M_Classic_53'!N162&amp;"-"&amp;TEXT('12U_M_Classic_53'!B162,"h:mm am/pm")</f>
        <v>12BX-067-ag_Group-9:30 AM</v>
      </c>
      <c r="K31" s="353">
        <v>0.39583333333333398</v>
      </c>
      <c r="L31" s="56" t="str">
        <f>'12U_M_Champ'!L121&amp;"-"&amp;'12U_M_Champ'!N121&amp;"-"&amp;TEXT('12U_M_Champ'!B121,"h:mm am/pm")</f>
        <v>12B-073-pt_Group-9:30 AM</v>
      </c>
      <c r="M31" s="354" t="str">
        <f>'12U_M_Classic_53'!L177&amp;"-"&amp;'12U_M_Classic_53'!N177&amp;"-"&amp;TEXT('12U_M_Classic_53'!B177,"h:mm am/pm")</f>
        <v>12BX-068-ag_Group-9:30 AM</v>
      </c>
      <c r="N31" s="56" t="str">
        <f>'12U_M_Champ'!L159&amp;"-"&amp;'12U_M_Champ'!N159&amp;"-"&amp;TEXT('12U_M_Champ'!B159,"h:mm am/pm")</f>
        <v>12B-075-au_Group-9:30 AM</v>
      </c>
      <c r="O31" s="56" t="str">
        <f>'12U_M_Champ'!L178&amp;"-"&amp;'12U_M_Champ'!N178&amp;"-"&amp;TEXT('12U_M_Champ'!B178,"h:mm am/pm")</f>
        <v>12B-076-au_Group-9:30 AM</v>
      </c>
      <c r="P31" s="353">
        <v>0.39583333333333398</v>
      </c>
      <c r="Q31" s="355" t="str">
        <f>'14U_M_Champ'!L121&amp;"-"&amp;'14U_M_Champ'!N121&amp;"-"&amp;TEXT('14U_M_Champ'!B121,"h:mm am/pm")</f>
        <v>14B-073-pt_Group-9:30 AM</v>
      </c>
      <c r="R31" s="355" t="str">
        <f>'14U_M_Champ'!L140&amp;"-"&amp;'14U_M_Champ'!N140&amp;"-"&amp;TEXT('14U_M_Champ'!B140,"h:mm am/pm")</f>
        <v>14B-074-pt_Group-9:30 AM</v>
      </c>
      <c r="S31" s="355" t="str">
        <f>'14U_M_Champ'!L159&amp;"-"&amp;'14U_M_Champ'!N159&amp;"-"&amp;TEXT('14U_M_Champ'!B159,"h:mm am/pm")</f>
        <v>14B-075-au_Group-9:30 AM</v>
      </c>
      <c r="T31" s="355" t="str">
        <f>'14U_M_Champ'!L178&amp;"-"&amp;'14U_M_Champ'!N178&amp;"-"&amp;TEXT('14U_M_Champ'!B178,"h:mm am/pm")</f>
        <v>14B-076-au_Group-9:30 AM</v>
      </c>
      <c r="U31" s="56" t="str">
        <f>'12U_M_Champ'!L140&amp;"-"&amp;'12U_M_Champ'!N140&amp;"-"&amp;TEXT('12U_M_Champ'!B140,"h:mm am/pm")</f>
        <v>12B-074-pt_Group-9:30 AM</v>
      </c>
      <c r="V31" s="356" t="str">
        <f>'14U_M_Invite_36'!L112&amp;"-"&amp;'14U_M_Invite_36'!O112&amp;"-"&amp;TEXT('14U_M_Invite_36'!B112,"h:mm am/pm")</f>
        <v>14BQ-058-ni_Group-9:30 AM</v>
      </c>
      <c r="W31" s="356" t="str">
        <f>'14U_M_Invite_36'!L137&amp;"-"&amp;'14U_M_Invite_36'!O137&amp;"-"&amp;TEXT('14U_M_Invite_36'!B137,"h:mm am/pm")</f>
        <v>14BQ-062-cu_Group-9:30 AM</v>
      </c>
      <c r="X31" s="353">
        <v>0.39583333333333398</v>
      </c>
      <c r="Z31" s="49"/>
      <c r="AA31" s="358" t="str">
        <f>'14U_M_Classic'!L168&amp;"-"&amp;'14U_M_Classic'!C168&amp;"-"&amp;TEXT('14U_M_Classic'!B168,"h:mm am/pm")</f>
        <v>14BX-075-Group-9:30 AM</v>
      </c>
      <c r="AB31" s="358" t="str">
        <f>'14U_M_Classic'!L187&amp;"-"&amp;'14U_M_Classic'!C187&amp;"-"&amp;TEXT('14U_M_Classic'!B187,"h:mm am/pm")</f>
        <v>14BX-076-Group-9:30 AM</v>
      </c>
      <c r="AC31" s="358" t="str">
        <f>'14U_M_Classic'!L127&amp;"-"&amp;'14U_M_Classic'!C127&amp;"-"&amp;TEXT('14U_M_Classic'!B127,"h:mm am/pm")</f>
        <v>14BX-073-Group-9:30 AM</v>
      </c>
      <c r="AD31" s="49"/>
      <c r="AE31" s="360" t="str">
        <f>'16U_M_Classic'!L121&amp;"-"&amp;'16U_M_Classic'!O121&amp;"-"&amp;TEXT('16U_M_Classic'!B121,"h:mm am/pm")</f>
        <v>16BX-073-ag_Group-9:30 AM</v>
      </c>
      <c r="AF31" s="361" t="str">
        <f>'18U_M_INVITE_NEW_23'!L75&amp;"-"&amp;'18U_M_INVITE_NEW_23'!N75&amp;"-"&amp;TEXT('18U_M_INVITE_NEW_23'!B75,"h:mm am/pm")</f>
        <v>18BQ-035-ni_Group-9:30 AM</v>
      </c>
      <c r="AG31" s="357" t="str">
        <f>'16U_M_Invite'!L129&amp;"-"&amp;'16U_M_Invite'!O129&amp;"-"&amp;TEXT('16U_M_Invite'!B129,"h:mm am/pm")</f>
        <v>16BQ-073-ni_Group-9:30 AM</v>
      </c>
      <c r="AH31" s="359" t="str">
        <f>'18U_M_Classic'!L140&amp;"-"&amp;'18U_M_Classic'!O140&amp;"-"&amp;TEXT('18U_M_Classic'!B140,"h:mm am/pm")</f>
        <v>18BX-074-ag_Group-9:30 AM</v>
      </c>
      <c r="AI31" s="359" t="str">
        <f>'18U_M_Classic'!L159&amp;"-"&amp;'18U_M_Classic'!O159&amp;"-"&amp;TEXT('18U_M_Classic'!B159,"h:mm am/pm")</f>
        <v>18BX-075-bz_Group-9:30 AM</v>
      </c>
      <c r="AJ31" s="359" t="str">
        <f>'18U_M_Classic'!L121&amp;"-"&amp;'18U_M_Classic'!O121&amp;"-"&amp;TEXT('18U_M_Classic'!B121,"h:mm am/pm")</f>
        <v>18BX-073-ag_Group-9:30 AM</v>
      </c>
      <c r="AK31" s="357" t="str">
        <f>'16U_M_Invite'!L167&amp;"-"&amp;'16U_M_Invite'!O167&amp;"-"&amp;TEXT('16U_M_Invite'!B167,"h:mm am/pm")</f>
        <v>16BQ-075-cu_Group-9:30 AM</v>
      </c>
      <c r="AL31" s="357" t="str">
        <f>'16U_M_Invite'!L186&amp;"-"&amp;'16U_M_Invite'!O186&amp;"-"&amp;TEXT('16U_M_Invite'!B186,"h:mm am/pm")</f>
        <v>16BQ-076-cu_Group-9:30 AM</v>
      </c>
      <c r="AM31" s="358" t="str">
        <f>'14U_M_Classic'!L149&amp;"-"&amp;'14U_M_Classic'!C149&amp;"-"&amp;TEXT('14U_M_Classic'!B149,"h:mm am/pm")</f>
        <v>14BX-074-Group-9:30 AM</v>
      </c>
      <c r="AN31" s="360" t="str">
        <f>'16U_M_Classic'!L140&amp;"-"&amp;'16U_M_Classic'!O140&amp;"-"&amp;TEXT('16U_M_Classic'!B140,"h:mm am/pm")</f>
        <v>16BX-074-ag_Group-9:30 AM</v>
      </c>
      <c r="AO31" s="357" t="str">
        <f>'16U_M_Invite'!L148&amp;"-"&amp;'16U_M_Invite'!O148&amp;"-"&amp;TEXT('16U_M_Invite'!B148,"h:mm am/pm")</f>
        <v>16BQ-074-ni_Group-9:30 AM</v>
      </c>
      <c r="AP31" s="360" t="str">
        <f>'16U_M_Classic'!L178&amp;"-"&amp;'16U_M_Classic'!O178&amp;"-"&amp;TEXT('16U_M_Classic'!B178,"h:mm am/pm")</f>
        <v>16BX-076-bz_Group-9:30 AM</v>
      </c>
      <c r="AQ31" s="360" t="str">
        <f>'16U_M_Classic'!L159&amp;"-"&amp;'16U_M_Classic'!O159&amp;"-"&amp;TEXT('16U_M_Classic'!B159,"h:mm am/pm")</f>
        <v>16BX-075-bz_Group-9:30 AM</v>
      </c>
      <c r="AR31" s="356" t="str">
        <f>'14U_M_Invite_36'!L93&amp;"-"&amp;'14U_M_Invite_36'!O93&amp;"-"&amp;TEXT('14U_M_Invite_36'!B93,"h:mm am/pm")</f>
        <v>14BQ-057-ni_Group-9:30 AM</v>
      </c>
      <c r="AS31" s="359" t="str">
        <f>'18U_M_Classic'!L178&amp;"-"&amp;'18U_M_Classic'!O178&amp;"-"&amp;TEXT('18U_M_Classic'!B178,"h:mm am/pm")</f>
        <v>18BX-076-bz_Group-9:30 AM</v>
      </c>
      <c r="AT31" s="361" t="str">
        <f>'18U_M_INVITE_NEW_23'!L90&amp;"-"&amp;'18U_M_INVITE_NEW_23'!N90&amp;"-"&amp;TEXT('18U_M_INVITE_NEW_23'!B90,"h:mm am/pm")</f>
        <v>18BQ-036-cu_Group-9:30 AM</v>
      </c>
      <c r="AU31" s="353">
        <v>0.39583333333333398</v>
      </c>
      <c r="AV31" s="362" t="str">
        <f>'16U_M_Champ'!L121&amp;"-"&amp;'16U_M_Champ'!O121&amp;"-"&amp;TEXT('16U_M_Champ'!B121,"h:mm am/pm")</f>
        <v>16B-073-pt_Group-9:30 AM</v>
      </c>
      <c r="AW31" s="362" t="str">
        <f>'16U_M_Champ'!L140&amp;"-"&amp;'16U_M_Champ'!O140&amp;"-"&amp;TEXT('16U_M_Champ'!B140,"h:mm am/pm")</f>
        <v>16B-074-pt_Group-9:30 AM</v>
      </c>
      <c r="AX31" s="362" t="str">
        <f>'16U_M_Champ'!L159&amp;"-"&amp;'16U_M_Champ'!O159&amp;"-"&amp;TEXT('16U_M_Champ'!B159,"h:mm am/pm")</f>
        <v>16B-075-au_Group-9:30 AM</v>
      </c>
      <c r="AY31" s="362" t="str">
        <f>'16U_M_Champ'!L178&amp;"-"&amp;'16U_M_Champ'!O178&amp;"-"&amp;TEXT('16U_M_Champ'!B178,"h:mm am/pm")</f>
        <v>16B-076-au_Group-9:30 AM</v>
      </c>
      <c r="AZ31" s="49"/>
      <c r="BA31" s="353">
        <v>0.41666666666666702</v>
      </c>
      <c r="BB31" s="363" t="str">
        <f>'18U_M_Champ'!L124&amp;"-"&amp;'18U_M_Champ'!N124&amp;"-"&amp;TEXT('18U_M_Champ'!B124,"h:mm am/pm")</f>
        <v>18B-074-pt_Group-10:00 AM</v>
      </c>
      <c r="BC31" s="363" t="str">
        <f>'18U_M_Champ'!L185&amp;"-"&amp;'18U_M_Champ'!N185&amp;"-"&amp;TEXT('18U_M_Champ'!B185,"h:mm am/pm")</f>
        <v>18B-078-au_Group-10:00 AM</v>
      </c>
      <c r="BD31" s="363" t="str">
        <f>'18U_M_Champ'!L137&amp;"-"&amp;'18U_M_Champ'!N137&amp;"-"&amp;TEXT('18U_M_Champ'!B137,"h:mm am/pm")</f>
        <v>18B-080-pt_Group-10:00 AM</v>
      </c>
      <c r="BE31" s="363" t="str">
        <f>'18U_M_Champ'!L153&amp;"-"&amp;'18U_M_Champ'!N153&amp;"-"&amp;TEXT('18U_M_Champ'!B153,"h:mm am/pm")</f>
        <v>18B-076-au_Group-10:00 AM</v>
      </c>
      <c r="BF31" s="363" t="str">
        <f>'18U_M_Champ'!L169&amp;"-"&amp;'18U_M_Champ'!N169&amp;"-"&amp;TEXT('18U_M_Champ'!B169,"h:mm am/pm")</f>
        <v>18B-102-au_Group-10:00 AM</v>
      </c>
    </row>
    <row r="32" spans="1:61">
      <c r="A32" s="353">
        <v>0.43055555555555602</v>
      </c>
      <c r="B32" s="55" t="str">
        <f>'10U_M_Champ_35'!L136&amp;"-"&amp;'10U_M_Champ_35'!O136&amp;"-"&amp;TEXT('10U_M_Champ_35'!B136,"h:mm am/pm")</f>
        <v>10B-059-au_W/L-10:20 AM</v>
      </c>
      <c r="C32" s="55" t="str">
        <f>'10U_M_Champ_35'!L92&amp;"-"&amp;'10U_M_Champ_35'!O92&amp;"-"&amp;TEXT('10U_M_Champ_35'!B92,"h:mm am/pm")</f>
        <v>10B-060-pt_Group-10:20 AM</v>
      </c>
      <c r="D32" s="55" t="str">
        <f>'10U_M_Champ_35'!L111&amp;"-"&amp;'10U_M_Champ_35'!O111&amp;"-"&amp;TEXT('10U_M_Champ_35'!B111,"h:mm am/pm")</f>
        <v>10B-061-pt_Group-10:20 AM</v>
      </c>
      <c r="F32" s="354" t="str">
        <f>'12U_M_Classic_53'!L212&amp;"-"&amp;'12U_M_Classic_53'!N212&amp;"-"&amp;TEXT('12U_M_Classic_53'!B212,"h:mm am/pm")</f>
        <v>12BX-74A-bz_P group of 4-10:20 AM</v>
      </c>
      <c r="H32" s="354" t="str">
        <f>'12U_M_Classic_53'!L195&amp;"-"&amp;'12U_M_Classic_53'!N195&amp;"-"&amp;TEXT('12U_M_Classic_53'!B195,"h:mm am/pm")</f>
        <v>12BX-077-bz_S Group of 4-10:20 AM</v>
      </c>
      <c r="I32" s="353">
        <v>0.43055555555555602</v>
      </c>
      <c r="J32" s="354" t="str">
        <f>'12U_M_Classic_53'!L163&amp;"-"&amp;'12U_M_Classic_53'!N163&amp;"-"&amp;TEXT('12U_M_Classic_53'!B163,"h:mm am/pm")</f>
        <v>12BX-071-ag_Group-10:20 AM</v>
      </c>
      <c r="K32" s="353">
        <v>0.43055555555555602</v>
      </c>
      <c r="L32" s="56" t="str">
        <f>'12U_M_Champ'!L122&amp;"-"&amp;'12U_M_Champ'!N122&amp;"-"&amp;TEXT('12U_M_Champ'!B122,"h:mm am/pm")</f>
        <v>12B-077-pt_Group-10:20 AM</v>
      </c>
      <c r="M32" s="354" t="str">
        <f>'12U_M_Classic_53'!L178&amp;"-"&amp;'12U_M_Classic_53'!N178&amp;"-"&amp;TEXT('12U_M_Classic_53'!B178,"h:mm am/pm")</f>
        <v>12BX-072-ag_Group-10:20 AM</v>
      </c>
      <c r="N32" s="56" t="str">
        <f>'12U_M_Champ'!L160&amp;"-"&amp;'12U_M_Champ'!N160&amp;"-"&amp;TEXT('12U_M_Champ'!B160,"h:mm am/pm")</f>
        <v>12B-079-au_Group-10:20 AM</v>
      </c>
      <c r="O32" s="56" t="str">
        <f>'12U_M_Champ'!L179&amp;"-"&amp;'12U_M_Champ'!N179&amp;"-"&amp;TEXT('12U_M_Champ'!B179,"h:mm am/pm")</f>
        <v>12B-080-au_Group-10:20 AM</v>
      </c>
      <c r="P32" s="353">
        <v>0.43055555555555602</v>
      </c>
      <c r="Q32" s="355" t="str">
        <f>'14U_M_Champ'!L122&amp;"-"&amp;'14U_M_Champ'!N122&amp;"-"&amp;TEXT('14U_M_Champ'!B122,"h:mm am/pm")</f>
        <v>14B-077-pt_Group-10:20 AM</v>
      </c>
      <c r="R32" s="355" t="str">
        <f>'14U_M_Champ'!L141&amp;"-"&amp;'14U_M_Champ'!N141&amp;"-"&amp;TEXT('14U_M_Champ'!B141,"h:mm am/pm")</f>
        <v>14B-078-pt_Group-10:20 AM</v>
      </c>
      <c r="S32" s="355" t="str">
        <f>'14U_M_Champ'!L160&amp;"-"&amp;'14U_M_Champ'!N160&amp;"-"&amp;TEXT('14U_M_Champ'!B160,"h:mm am/pm")</f>
        <v>14B-079-au_Group-10:20 AM</v>
      </c>
      <c r="T32" s="355" t="str">
        <f>'14U_M_Champ'!L179&amp;"-"&amp;'14U_M_Champ'!N179&amp;"-"&amp;TEXT('14U_M_Champ'!B179,"h:mm am/pm")</f>
        <v>14B-080-au_Group-10:20 AM</v>
      </c>
      <c r="U32" s="56" t="str">
        <f>'12U_M_Champ'!L141&amp;"-"&amp;'12U_M_Champ'!N141&amp;"-"&amp;TEXT('12U_M_Champ'!B141,"h:mm am/pm")</f>
        <v>12B-078-pt_Group-10:20 AM</v>
      </c>
      <c r="V32" s="356" t="str">
        <f>'14U_M_Invite_36'!L113&amp;"-"&amp;'14U_M_Invite_36'!O113&amp;"-"&amp;TEXT('14U_M_Invite_36'!B113,"h:mm am/pm")</f>
        <v>14BQ-061-ni_Group-10:20 AM</v>
      </c>
      <c r="W32" s="356" t="str">
        <f>'14U_M_Invite_36'!L138&amp;"-"&amp;'14U_M_Invite_36'!O138&amp;"-"&amp;TEXT('14U_M_Invite_36'!B138,"h:mm am/pm")</f>
        <v>14BQ-065-cu_Group-10:20 AM</v>
      </c>
      <c r="X32" s="353">
        <v>0.43055555555555602</v>
      </c>
      <c r="Z32" s="49"/>
      <c r="AA32" s="358" t="str">
        <f>'14U_M_Classic'!L169&amp;"-"&amp;'14U_M_Classic'!C169&amp;"-"&amp;TEXT('14U_M_Classic'!B169,"h:mm am/pm")</f>
        <v>14BX-079-Group-10:20 AM</v>
      </c>
      <c r="AB32" s="358" t="str">
        <f>'14U_M_Classic'!L188&amp;"-"&amp;'14U_M_Classic'!C188&amp;"-"&amp;TEXT('14U_M_Classic'!B188,"h:mm am/pm")</f>
        <v>14BX-080-Group-10:20 AM</v>
      </c>
      <c r="AC32" s="358" t="str">
        <f>'14U_M_Classic'!L128&amp;"-"&amp;'14U_M_Classic'!C128&amp;"-"&amp;TEXT('14U_M_Classic'!B128,"h:mm am/pm")</f>
        <v>14BX-077-Group-10:20 AM</v>
      </c>
      <c r="AD32" s="49"/>
      <c r="AE32" s="360" t="str">
        <f>'16U_M_Classic'!L122&amp;"-"&amp;'16U_M_Classic'!O122&amp;"-"&amp;TEXT('16U_M_Classic'!B122,"h:mm am/pm")</f>
        <v>16BX-077-ag_Group-10:20 AM</v>
      </c>
      <c r="AF32" s="361" t="str">
        <f>'18U_M_INVITE_NEW_23'!L76&amp;"-"&amp;'18U_M_INVITE_NEW_23'!N76&amp;"-"&amp;TEXT('18U_M_INVITE_NEW_23'!B76,"h:mm am/pm")</f>
        <v>18BQ-037-ni_Group-10:20 AM</v>
      </c>
      <c r="AG32" s="357" t="str">
        <f>'16U_M_Invite'!L130&amp;"-"&amp;'16U_M_Invite'!O130&amp;"-"&amp;TEXT('16U_M_Invite'!B130,"h:mm am/pm")</f>
        <v>16BQ-077-ni_Group-10:20 AM</v>
      </c>
      <c r="AH32" s="359" t="str">
        <f>'18U_M_Classic'!L141&amp;"-"&amp;'18U_M_Classic'!O141&amp;"-"&amp;TEXT('18U_M_Classic'!B141,"h:mm am/pm")</f>
        <v>18BX-078-ag_Group-10:20 AM</v>
      </c>
      <c r="AI32" s="359" t="str">
        <f>'18U_M_Classic'!L160&amp;"-"&amp;'18U_M_Classic'!O160&amp;"-"&amp;TEXT('18U_M_Classic'!B160,"h:mm am/pm")</f>
        <v>18BX-079-bz_Group-10:20 AM</v>
      </c>
      <c r="AJ32" s="359" t="str">
        <f>'18U_M_Classic'!L122&amp;"-"&amp;'18U_M_Classic'!O122&amp;"-"&amp;TEXT('18U_M_Classic'!B122,"h:mm am/pm")</f>
        <v>18BX-077-ag_Group-10:20 AM</v>
      </c>
      <c r="AK32" s="357" t="str">
        <f>'16U_M_Invite'!L168&amp;"-"&amp;'16U_M_Invite'!O168&amp;"-"&amp;TEXT('16U_M_Invite'!B168,"h:mm am/pm")</f>
        <v>16BQ-079-cu_Group-10:20 AM</v>
      </c>
      <c r="AL32" s="357" t="str">
        <f>'16U_M_Invite'!L187&amp;"-"&amp;'16U_M_Invite'!O187&amp;"-"&amp;TEXT('16U_M_Invite'!B187,"h:mm am/pm")</f>
        <v>16BQ-080-cu_Group-10:20 AM</v>
      </c>
      <c r="AM32" s="358" t="str">
        <f>'14U_M_Classic'!L150&amp;"-"&amp;'14U_M_Classic'!C150&amp;"-"&amp;TEXT('14U_M_Classic'!B150,"h:mm am/pm")</f>
        <v>14BX-078-Group-10:20 AM</v>
      </c>
      <c r="AN32" s="360" t="str">
        <f>'16U_M_Classic'!L141&amp;"-"&amp;'16U_M_Classic'!O141&amp;"-"&amp;TEXT('16U_M_Classic'!B141,"h:mm am/pm")</f>
        <v>16BX-078-ag_Group-10:20 AM</v>
      </c>
      <c r="AO32" s="357" t="str">
        <f>'16U_M_Invite'!L149&amp;"-"&amp;'16U_M_Invite'!O149&amp;"-"&amp;TEXT('16U_M_Invite'!B149,"h:mm am/pm")</f>
        <v>16BQ-078-ni_Group-10:20 AM</v>
      </c>
      <c r="AP32" s="360" t="str">
        <f>'16U_M_Classic'!L179&amp;"-"&amp;'16U_M_Classic'!O179&amp;"-"&amp;TEXT('16U_M_Classic'!B179,"h:mm am/pm")</f>
        <v>16BX-080-bz_Group-10:20 AM</v>
      </c>
      <c r="AQ32" s="360" t="str">
        <f>'16U_M_Classic'!L160&amp;"-"&amp;'16U_M_Classic'!O160&amp;"-"&amp;TEXT('16U_M_Classic'!B160,"h:mm am/pm")</f>
        <v>16BX-079-bz_Group-10:20 AM</v>
      </c>
      <c r="AR32" s="356" t="str">
        <f>'14U_M_Invite_36'!L94&amp;"-"&amp;'14U_M_Invite_36'!O94&amp;"-"&amp;TEXT('14U_M_Invite_36'!B94,"h:mm am/pm")</f>
        <v>14BQ-060-ni_Group-10:20 AM</v>
      </c>
      <c r="AS32" s="359" t="str">
        <f>'18U_M_Classic'!L179&amp;"-"&amp;'18U_M_Classic'!O179&amp;"-"&amp;TEXT('18U_M_Classic'!B179,"h:mm am/pm")</f>
        <v>18BX-080-bz_Group-10:20 AM</v>
      </c>
      <c r="AT32" s="361" t="str">
        <f>'18U_M_INVITE_NEW_23'!L91&amp;"-"&amp;'18U_M_INVITE_NEW_23'!N91&amp;"-"&amp;TEXT('18U_M_INVITE_NEW_23'!B91,"h:mm am/pm")</f>
        <v>18BQ-038-cu_Group-10:20 AM</v>
      </c>
      <c r="AU32" s="353">
        <v>0.43055555555555602</v>
      </c>
      <c r="AV32" s="362" t="str">
        <f>'16U_M_Champ'!L122&amp;"-"&amp;'16U_M_Champ'!O122&amp;"-"&amp;TEXT('16U_M_Champ'!B122,"h:mm am/pm")</f>
        <v>16B-077-pt_Group-10:20 AM</v>
      </c>
      <c r="AW32" s="362" t="str">
        <f>'16U_M_Champ'!L141&amp;"-"&amp;'16U_M_Champ'!O141&amp;"-"&amp;TEXT('16U_M_Champ'!B141,"h:mm am/pm")</f>
        <v>16B-078-pt_Group-10:20 AM</v>
      </c>
      <c r="AX32" s="362" t="str">
        <f>'16U_M_Champ'!L160&amp;"-"&amp;'16U_M_Champ'!O160&amp;"-"&amp;TEXT('16U_M_Champ'!B160,"h:mm am/pm")</f>
        <v>16B-079-au_Group-10:20 AM</v>
      </c>
      <c r="AY32" s="362" t="str">
        <f>'16U_M_Champ'!L179&amp;"-"&amp;'16U_M_Champ'!O179&amp;"-"&amp;TEXT('16U_M_Champ'!B179,"h:mm am/pm")</f>
        <v>16B-080-au_Group-10:20 AM</v>
      </c>
      <c r="AZ32" s="49"/>
      <c r="BA32" s="353">
        <v>0.45833333333333298</v>
      </c>
      <c r="BB32" s="363" t="str">
        <f>'18U_M_Champ'!L125&amp;"-"&amp;'18U_M_Champ'!N125&amp;"-"&amp;TEXT('18U_M_Champ'!B125,"h:mm am/pm")</f>
        <v>18B-079-pt_Group-11:00 AM</v>
      </c>
      <c r="BC32" s="363" t="str">
        <f>'18U_M_Champ'!L186&amp;"-"&amp;'18U_M_Champ'!N186&amp;"-"&amp;TEXT('18U_M_Champ'!B186,"h:mm am/pm")</f>
        <v>18B-084-pt_Group-11:00 AM</v>
      </c>
      <c r="BD32" s="363" t="str">
        <f>'18U_M_Champ'!L138&amp;"-"&amp;'18U_M_Champ'!N138&amp;"-"&amp;TEXT('18U_M_Champ'!B138,"h:mm am/pm")</f>
        <v>18B-085-pt_Group-11:00 AM</v>
      </c>
      <c r="BE32" s="363" t="str">
        <f>'18U_M_Champ'!L154&amp;"-"&amp;'18U_M_Champ'!N154&amp;"-"&amp;TEXT('18U_M_Champ'!B154,"h:mm am/pm")</f>
        <v>18B-081-au_Group-11:00 AM</v>
      </c>
      <c r="BF32" s="363" t="str">
        <f>'18U_M_Champ'!L170&amp;"-"&amp;'18U_M_Champ'!N170&amp;"-"&amp;TEXT('18U_M_Champ'!B170,"h:mm am/pm")</f>
        <v>18B-077-au_Group-11:00 AM</v>
      </c>
    </row>
    <row r="33" spans="1:59">
      <c r="A33" s="353">
        <v>0.46527777777777801</v>
      </c>
      <c r="B33" s="55" t="str">
        <f>'10U_M_Champ_35'!L137&amp;"-"&amp;'10U_M_Champ_35'!O137&amp;"-"&amp;TEXT('10U_M_Champ_35'!B137,"h:mm am/pm")</f>
        <v>10B-062-au_W/L-11:10 AM</v>
      </c>
      <c r="C33" s="55" t="str">
        <f>'10U_M_Champ_35'!L93&amp;"-"&amp;'10U_M_Champ_35'!O93&amp;"-"&amp;TEXT('10U_M_Champ_35'!B93,"h:mm am/pm")</f>
        <v>10B-063-pt_Group-11:10 AM</v>
      </c>
      <c r="D33" s="55" t="str">
        <f>'10U_M_Champ_35'!L112&amp;"-"&amp;'10U_M_Champ_35'!O112&amp;"-"&amp;TEXT('10U_M_Champ_35'!B112,"h:mm am/pm")</f>
        <v>10B-064-pt_Group-11:10 AM</v>
      </c>
      <c r="F33" s="354" t="str">
        <f>'12U_M_Classic_53'!L213&amp;"-"&amp;'12U_M_Classic_53'!N213&amp;"-"&amp;TEXT('12U_M_Classic_53'!B213,"h:mm am/pm")</f>
        <v>12BX-078-bz_T group of 4-11:10 AM</v>
      </c>
      <c r="H33" s="354" t="str">
        <f>'12U_M_Classic_53'!L196&amp;"-"&amp;'12U_M_Classic_53'!N196&amp;"-"&amp;TEXT('12U_M_Classic_53'!B196,"h:mm am/pm")</f>
        <v>12BX-081-bz_S Group of 4-11:10 AM</v>
      </c>
      <c r="I33" s="353">
        <v>0.46527777777777801</v>
      </c>
      <c r="J33" s="354" t="str">
        <f>'12U_M_Classic_53'!L164&amp;"-"&amp;'12U_M_Classic_53'!N164&amp;"-"&amp;TEXT('12U_M_Classic_53'!B164,"h:mm am/pm")</f>
        <v>12BX-075-ag_Group-11:10 AM</v>
      </c>
      <c r="K33" s="353">
        <v>0.46527777777777801</v>
      </c>
      <c r="L33" s="56" t="str">
        <f>'12U_M_Champ'!L123&amp;"-"&amp;'12U_M_Champ'!N123&amp;"-"&amp;TEXT('12U_M_Champ'!B123,"h:mm am/pm")</f>
        <v>12B-081-pt_Group-11:10 AM</v>
      </c>
      <c r="M33" s="354" t="str">
        <f>'12U_M_Classic_53'!L179&amp;"-"&amp;'12U_M_Classic_53'!N179&amp;"-"&amp;TEXT('12U_M_Classic_53'!B179,"h:mm am/pm")</f>
        <v>12BX-076-ag_Group-11:10 AM</v>
      </c>
      <c r="N33" s="56" t="str">
        <f>'12U_M_Champ'!L161&amp;"-"&amp;'12U_M_Champ'!N161&amp;"-"&amp;TEXT('12U_M_Champ'!B161,"h:mm am/pm")</f>
        <v>12B-083-au_Group-11:10 AM</v>
      </c>
      <c r="O33" s="56" t="str">
        <f>'12U_M_Champ'!L180&amp;"-"&amp;'12U_M_Champ'!N180&amp;"-"&amp;TEXT('12U_M_Champ'!B180,"h:mm am/pm")</f>
        <v>12B-084-au_Group-11:10 AM</v>
      </c>
      <c r="P33" s="353">
        <v>0.46527777777777801</v>
      </c>
      <c r="Q33" s="355" t="str">
        <f>'14U_M_Champ'!L123&amp;"-"&amp;'14U_M_Champ'!N123&amp;"-"&amp;TEXT('14U_M_Champ'!B123,"h:mm am/pm")</f>
        <v>14B-081-pt_Group-11:10 AM</v>
      </c>
      <c r="R33" s="355" t="str">
        <f>'14U_M_Champ'!L142&amp;"-"&amp;'14U_M_Champ'!N142&amp;"-"&amp;TEXT('14U_M_Champ'!B142,"h:mm am/pm")</f>
        <v>14B-082-pt_Group-11:10 AM</v>
      </c>
      <c r="S33" s="355" t="str">
        <f>'14U_M_Champ'!L161&amp;"-"&amp;'14U_M_Champ'!N161&amp;"-"&amp;TEXT('14U_M_Champ'!B161,"h:mm am/pm")</f>
        <v>14B-083-au_Group-11:10 AM</v>
      </c>
      <c r="T33" s="355" t="str">
        <f>'14U_M_Champ'!L180&amp;"-"&amp;'14U_M_Champ'!N180&amp;"-"&amp;TEXT('14U_M_Champ'!B180,"h:mm am/pm")</f>
        <v>14B-084-au_Group-11:10 AM</v>
      </c>
      <c r="U33" s="56" t="str">
        <f>'12U_M_Champ'!L142&amp;"-"&amp;'12U_M_Champ'!N142&amp;"-"&amp;TEXT('12U_M_Champ'!B142,"h:mm am/pm")</f>
        <v>12B-082-pt_Group-11:10 AM</v>
      </c>
      <c r="V33" s="356" t="str">
        <f>'14U_M_Invite_36'!L114&amp;"-"&amp;'14U_M_Invite_36'!O114&amp;"-"&amp;TEXT('14U_M_Invite_36'!B114,"h:mm am/pm")</f>
        <v>14BQ-064-ni_Group-11:10 AM</v>
      </c>
      <c r="W33" s="356" t="str">
        <f>'14U_M_Invite_36'!L139&amp;"-"&amp;'14U_M_Invite_36'!O139&amp;"-"&amp;TEXT('14U_M_Invite_36'!B139,"h:mm am/pm")</f>
        <v>14BQ-068-cu_Group-11:10 AM</v>
      </c>
      <c r="X33" s="353">
        <v>0.46527777777777801</v>
      </c>
      <c r="Z33" s="49"/>
      <c r="AA33" s="358" t="str">
        <f>'14U_M_Classic'!L170&amp;"-"&amp;'14U_M_Classic'!C170&amp;"-"&amp;TEXT('14U_M_Classic'!B170,"h:mm am/pm")</f>
        <v>14BX-083-Group-11:10 AM</v>
      </c>
      <c r="AB33" s="358" t="str">
        <f>'14U_M_Classic'!L189&amp;"-"&amp;'14U_M_Classic'!C189&amp;"-"&amp;TEXT('14U_M_Classic'!B189,"h:mm am/pm")</f>
        <v>14BX-084-Group-11:10 AM</v>
      </c>
      <c r="AC33" s="358" t="str">
        <f>'14U_M_Classic'!L129&amp;"-"&amp;'14U_M_Classic'!C129&amp;"-"&amp;TEXT('14U_M_Classic'!B129,"h:mm am/pm")</f>
        <v>14BX-081-Group-11:10 AM</v>
      </c>
      <c r="AD33" s="49"/>
      <c r="AE33" s="360" t="str">
        <f>'16U_M_Classic'!L123&amp;"-"&amp;'16U_M_Classic'!O123&amp;"-"&amp;TEXT('16U_M_Classic'!B123,"h:mm am/pm")</f>
        <v>16BX-081-ag_Group-11:10 AM</v>
      </c>
      <c r="AF33" s="361" t="str">
        <f>'18U_M_INVITE_NEW_23'!L77&amp;"-"&amp;'18U_M_INVITE_NEW_23'!N77&amp;"-"&amp;TEXT('18U_M_INVITE_NEW_23'!B77,"h:mm am/pm")</f>
        <v>18BQ-039-ni_Group-11:10 AM</v>
      </c>
      <c r="AG33" s="357" t="str">
        <f>'16U_M_Invite'!L131&amp;"-"&amp;'16U_M_Invite'!O131&amp;"-"&amp;TEXT('16U_M_Invite'!B131,"h:mm am/pm")</f>
        <v>16BQ-081-ni_Group-11:10 AM</v>
      </c>
      <c r="AH33" s="359" t="str">
        <f>'18U_M_Classic'!L142&amp;"-"&amp;'18U_M_Classic'!O142&amp;"-"&amp;TEXT('18U_M_Classic'!B142,"h:mm am/pm")</f>
        <v>18BX-082-ag_Group-11:10 AM</v>
      </c>
      <c r="AI33" s="359" t="str">
        <f>'18U_M_Classic'!L161&amp;"-"&amp;'18U_M_Classic'!O161&amp;"-"&amp;TEXT('18U_M_Classic'!B161,"h:mm am/pm")</f>
        <v>18BX-083-bz_Group-11:10 AM</v>
      </c>
      <c r="AJ33" s="359" t="str">
        <f>'18U_M_Classic'!L123&amp;"-"&amp;'18U_M_Classic'!O123&amp;"-"&amp;TEXT('18U_M_Classic'!B123,"h:mm am/pm")</f>
        <v>18BX-081-ag_Group-11:10 AM</v>
      </c>
      <c r="AK33" s="357" t="str">
        <f>'16U_M_Invite'!L169&amp;"-"&amp;'16U_M_Invite'!O169&amp;"-"&amp;TEXT('16U_M_Invite'!B169,"h:mm am/pm")</f>
        <v>16BQ-083-cu_Group-11:10 AM</v>
      </c>
      <c r="AL33" s="357" t="str">
        <f>'16U_M_Invite'!L188&amp;"-"&amp;'16U_M_Invite'!O188&amp;"-"&amp;TEXT('16U_M_Invite'!B188,"h:mm am/pm")</f>
        <v>16BQ-084-cu_Group-11:10 AM</v>
      </c>
      <c r="AM33" s="358" t="str">
        <f>'14U_M_Classic'!L151&amp;"-"&amp;'14U_M_Classic'!C151&amp;"-"&amp;TEXT('14U_M_Classic'!B151,"h:mm am/pm")</f>
        <v>14BX-082-Group-11:10 AM</v>
      </c>
      <c r="AN33" s="360" t="str">
        <f>'16U_M_Classic'!L142&amp;"-"&amp;'16U_M_Classic'!O142&amp;"-"&amp;TEXT('16U_M_Classic'!B142,"h:mm am/pm")</f>
        <v>16BX-082-ag_Group-11:10 AM</v>
      </c>
      <c r="AO33" s="357" t="str">
        <f>'16U_M_Invite'!L150&amp;"-"&amp;'16U_M_Invite'!O150&amp;"-"&amp;TEXT('16U_M_Invite'!B150,"h:mm am/pm")</f>
        <v>16BQ-082-ni_Group-11:10 AM</v>
      </c>
      <c r="AP33" s="360" t="str">
        <f>'16U_M_Classic'!L180&amp;"-"&amp;'16U_M_Classic'!O180&amp;"-"&amp;TEXT('16U_M_Classic'!B180,"h:mm am/pm")</f>
        <v>16BX-084-bz_Group-11:10 AM</v>
      </c>
      <c r="AQ33" s="360" t="str">
        <f>'16U_M_Classic'!L161&amp;"-"&amp;'16U_M_Classic'!O161&amp;"-"&amp;TEXT('16U_M_Classic'!B161,"h:mm am/pm")</f>
        <v>16BX-083-bz_Group-11:10 AM</v>
      </c>
      <c r="AR33" s="356" t="str">
        <f>'14U_M_Invite_36'!L95&amp;"-"&amp;'14U_M_Invite_36'!O95&amp;"-"&amp;TEXT('14U_M_Invite_36'!B95,"h:mm am/pm")</f>
        <v>14BQ-063-ni_Group-11:10 AM</v>
      </c>
      <c r="AS33" s="359" t="str">
        <f>'18U_M_Classic'!L180&amp;"-"&amp;'18U_M_Classic'!O180&amp;"-"&amp;TEXT('18U_M_Classic'!B180,"h:mm am/pm")</f>
        <v>18BX-084-bz_Group-11:10 AM</v>
      </c>
      <c r="AT33" s="361" t="str">
        <f>'18U_M_INVITE_NEW_23'!L92&amp;"-"&amp;'18U_M_INVITE_NEW_23'!N92&amp;"-"&amp;TEXT('18U_M_INVITE_NEW_23'!B92,"h:mm am/pm")</f>
        <v>18BQ-040-cu_Group-11:10 AM</v>
      </c>
      <c r="AU33" s="353">
        <v>0.46527777777777801</v>
      </c>
      <c r="AV33" s="362" t="str">
        <f>'16U_M_Champ'!L123&amp;"-"&amp;'16U_M_Champ'!O123&amp;"-"&amp;TEXT('16U_M_Champ'!B123,"h:mm am/pm")</f>
        <v>16B-081-pt_Group-11:10 AM</v>
      </c>
      <c r="AW33" s="362" t="str">
        <f>'16U_M_Champ'!L142&amp;"-"&amp;'16U_M_Champ'!O142&amp;"-"&amp;TEXT('16U_M_Champ'!B142,"h:mm am/pm")</f>
        <v>16B-082-pt_Group-11:10 AM</v>
      </c>
      <c r="AX33" s="362" t="str">
        <f>'16U_M_Champ'!L161&amp;"-"&amp;'16U_M_Champ'!O161&amp;"-"&amp;TEXT('16U_M_Champ'!B161,"h:mm am/pm")</f>
        <v>16B-083-au_Group-11:10 AM</v>
      </c>
      <c r="AY33" s="362" t="str">
        <f>'16U_M_Champ'!L180&amp;"-"&amp;'16U_M_Champ'!O180&amp;"-"&amp;TEXT('16U_M_Champ'!B180,"h:mm am/pm")</f>
        <v>16B-084-au_Group-11:10 AM</v>
      </c>
      <c r="AZ33" s="49"/>
      <c r="BA33" s="353">
        <v>0.5</v>
      </c>
      <c r="BB33" s="363" t="str">
        <f>'18U_M_Champ'!L126&amp;"-"&amp;'18U_M_Champ'!N126&amp;"-"&amp;TEXT('18U_M_Champ'!B126,"h:mm am/pm")</f>
        <v>18B-088-pt_Group-12:00 PM</v>
      </c>
      <c r="BC33" s="363" t="str">
        <f>'18U_M_Champ'!L187&amp;"-"&amp;'18U_M_Champ'!N187&amp;"-"&amp;TEXT('18U_M_Champ'!B187,"h:mm am/pm")</f>
        <v>18B-093-pt_Group-12:00 PM</v>
      </c>
      <c r="BD33" s="363" t="str">
        <f>'18U_M_Champ'!L139&amp;"-"&amp;'18U_M_Champ'!N139&amp;"-"&amp;TEXT('18U_M_Champ'!B139,"h:mm am/pm")</f>
        <v>18B-090-pt_Group-12:00 PM</v>
      </c>
      <c r="BE33" s="363" t="str">
        <f>'18U_M_Champ'!L155&amp;"-"&amp;'18U_M_Champ'!N155&amp;"-"&amp;TEXT('18U_M_Champ'!B155,"h:mm am/pm")</f>
        <v>18B-086-au_Group-12:00 PM</v>
      </c>
      <c r="BF33" s="363" t="str">
        <f>'18U_M_Champ'!L171&amp;"-"&amp;'18U_M_Champ'!N171&amp;"-"&amp;TEXT('18U_M_Champ'!B171,"h:mm am/pm")</f>
        <v>18B-082-au_Group-12:00 PM</v>
      </c>
    </row>
    <row r="34" spans="1:59">
      <c r="A34" s="353">
        <v>0.5</v>
      </c>
      <c r="B34" s="55" t="str">
        <f>'10U_M_Champ_35'!L138&amp;"-"&amp;'10U_M_Champ_35'!O138&amp;"-"&amp;TEXT('10U_M_Champ_35'!B138,"h:mm am/pm")</f>
        <v>10B-065-au_W/L-12:00 PM</v>
      </c>
      <c r="C34" s="55" t="str">
        <f>'10U_M_Champ_35'!L94&amp;"-"&amp;'10U_M_Champ_35'!O94&amp;"-"&amp;TEXT('10U_M_Champ_35'!B94,"h:mm am/pm")</f>
        <v>10B-066-pt_Group-12:00 PM</v>
      </c>
      <c r="D34" s="55" t="str">
        <f>'10U_M_Champ_35'!L113&amp;"-"&amp;'10U_M_Champ_35'!O113&amp;"-"&amp;TEXT('10U_M_Champ_35'!B113,"h:mm am/pm")</f>
        <v>10B-067-pt_Group-12:00 PM</v>
      </c>
      <c r="F34" s="354" t="str">
        <f>'12U_M_Classic_53'!L214&amp;"-"&amp;'12U_M_Classic_53'!N214&amp;"-"&amp;TEXT('12U_M_Classic_53'!B214,"h:mm am/pm")</f>
        <v>12BX-082-bz_T group of 4-12:00 PM</v>
      </c>
      <c r="H34" s="354" t="str">
        <f>'12U_M_Classic_53'!L197&amp;"-"&amp;'12U_M_Classic_53'!N197&amp;"-"&amp;TEXT('12U_M_Classic_53'!B197,"h:mm am/pm")</f>
        <v>12BX-085-bz_Group-12:00 PM</v>
      </c>
      <c r="I34" s="353">
        <v>0.5</v>
      </c>
      <c r="J34" s="354" t="str">
        <f>'12U_M_Classic_53'!L165&amp;"-"&amp;'12U_M_Classic_53'!N165&amp;"-"&amp;TEXT('12U_M_Classic_53'!B165,"h:mm am/pm")</f>
        <v>12BX-079-ag_Group-12:00 PM</v>
      </c>
      <c r="K34" s="353">
        <v>0.5</v>
      </c>
      <c r="L34" s="56" t="str">
        <f>'12U_M_Champ'!L124&amp;"-"&amp;'12U_M_Champ'!N124&amp;"-"&amp;TEXT('12U_M_Champ'!B124,"h:mm am/pm")</f>
        <v>12B-085-pt_Group-12:00 PM</v>
      </c>
      <c r="M34" s="354" t="str">
        <f>'12U_M_Classic_53'!L180&amp;"-"&amp;'12U_M_Classic_53'!N180&amp;"-"&amp;TEXT('12U_M_Classic_53'!B180,"h:mm am/pm")</f>
        <v>12BX-080-ag_Group-12:00 PM</v>
      </c>
      <c r="N34" s="56" t="str">
        <f>'12U_M_Champ'!L162&amp;"-"&amp;'12U_M_Champ'!N162&amp;"-"&amp;TEXT('12U_M_Champ'!B162,"h:mm am/pm")</f>
        <v>12B-087-au_Group-12:00 PM</v>
      </c>
      <c r="O34" s="56" t="str">
        <f>'12U_M_Champ'!L181&amp;"-"&amp;'12U_M_Champ'!N181&amp;"-"&amp;TEXT('12U_M_Champ'!B181,"h:mm am/pm")</f>
        <v>12B-088-au_Group-12:00 PM</v>
      </c>
      <c r="P34" s="353">
        <v>0.5</v>
      </c>
      <c r="Q34" s="355" t="str">
        <f>'14U_M_Champ'!L124&amp;"-"&amp;'14U_M_Champ'!N124&amp;"-"&amp;TEXT('14U_M_Champ'!B124,"h:mm am/pm")</f>
        <v>14B-085-pt_Group-12:00 PM</v>
      </c>
      <c r="R34" s="355" t="str">
        <f>'14U_M_Champ'!L143&amp;"-"&amp;'14U_M_Champ'!N143&amp;"-"&amp;TEXT('14U_M_Champ'!B143,"h:mm am/pm")</f>
        <v>14B-086-pt_Group-12:00 PM</v>
      </c>
      <c r="S34" s="355" t="str">
        <f>'14U_M_Champ'!L162&amp;"-"&amp;'14U_M_Champ'!N162&amp;"-"&amp;TEXT('14U_M_Champ'!B162,"h:mm am/pm")</f>
        <v>14B-087-au_Group-12:00 PM</v>
      </c>
      <c r="T34" s="355" t="str">
        <f>'14U_M_Champ'!L181&amp;"-"&amp;'14U_M_Champ'!N181&amp;"-"&amp;TEXT('14U_M_Champ'!B181,"h:mm am/pm")</f>
        <v>14B-088-au_Group-12:00 PM</v>
      </c>
      <c r="U34" s="56" t="str">
        <f>'12U_M_Champ'!L143&amp;"-"&amp;'12U_M_Champ'!N143&amp;"-"&amp;TEXT('12U_M_Champ'!B143,"h:mm am/pm")</f>
        <v>12B-086-pt_Group-12:00 PM</v>
      </c>
      <c r="V34" s="356" t="str">
        <f>'14U_M_Invite_36'!L115&amp;"-"&amp;'14U_M_Invite_36'!O115&amp;"-"&amp;TEXT('14U_M_Invite_36'!B115,"h:mm am/pm")</f>
        <v>14BQ-067-ni_Group-12:00 PM</v>
      </c>
      <c r="W34" s="356" t="str">
        <f>'14U_M_Invite_36'!L140&amp;"-"&amp;'14U_M_Invite_36'!O140&amp;"-"&amp;TEXT('14U_M_Invite_36'!B140,"h:mm am/pm")</f>
        <v>14BQ-071-cu_Group-12:00 PM</v>
      </c>
      <c r="X34" s="353">
        <v>0.5</v>
      </c>
      <c r="Z34" s="49"/>
      <c r="AA34" s="358" t="str">
        <f>'14U_M_Classic'!L171&amp;"-"&amp;'14U_M_Classic'!C171&amp;"-"&amp;TEXT('14U_M_Classic'!B171,"h:mm am/pm")</f>
        <v>14BX-087-Group-12:00 PM</v>
      </c>
      <c r="AB34" s="358" t="str">
        <f>'14U_M_Classic'!L190&amp;"-"&amp;'14U_M_Classic'!C190&amp;"-"&amp;TEXT('14U_M_Classic'!B190,"h:mm am/pm")</f>
        <v>14BX-088-Group-12:00 PM</v>
      </c>
      <c r="AC34" s="358" t="str">
        <f>'14U_M_Classic'!L130&amp;"-"&amp;'14U_M_Classic'!C130&amp;"-"&amp;TEXT('14U_M_Classic'!B130,"h:mm am/pm")</f>
        <v>14BX-085-Group-12:00 PM</v>
      </c>
      <c r="AD34" s="49"/>
      <c r="AE34" s="360" t="str">
        <f>'16U_M_Classic'!L124&amp;"-"&amp;'16U_M_Classic'!O124&amp;"-"&amp;TEXT('16U_M_Classic'!B124,"h:mm am/pm")</f>
        <v>16BX-085-ag_Group-12:00 PM</v>
      </c>
      <c r="AF34" s="361" t="str">
        <f>'18U_M_INVITE_NEW_23'!L78&amp;"-"&amp;'18U_M_INVITE_NEW_23'!N78&amp;"-"&amp;TEXT('18U_M_INVITE_NEW_23'!B78,"h:mm am/pm")</f>
        <v>18BQ-041-ni_Group-12:00 PM</v>
      </c>
      <c r="AG34" s="357" t="str">
        <f>'16U_M_Invite'!L132&amp;"-"&amp;'16U_M_Invite'!O132&amp;"-"&amp;TEXT('16U_M_Invite'!B132,"h:mm am/pm")</f>
        <v>16BQ-085-ni_Group-12:00 PM</v>
      </c>
      <c r="AH34" s="359" t="str">
        <f>'18U_M_Classic'!L143&amp;"-"&amp;'18U_M_Classic'!O143&amp;"-"&amp;TEXT('18U_M_Classic'!B143,"h:mm am/pm")</f>
        <v>18BX-086-ag_Group-12:00 PM</v>
      </c>
      <c r="AI34" s="359" t="str">
        <f>'18U_M_Classic'!L162&amp;"-"&amp;'18U_M_Classic'!O162&amp;"-"&amp;TEXT('18U_M_Classic'!B162,"h:mm am/pm")</f>
        <v>18BX-087-bz_Group-12:00 PM</v>
      </c>
      <c r="AJ34" s="359" t="str">
        <f>'18U_M_Classic'!L124&amp;"-"&amp;'18U_M_Classic'!O124&amp;"-"&amp;TEXT('18U_M_Classic'!B124,"h:mm am/pm")</f>
        <v>18BX-085-ag_Group-12:00 PM</v>
      </c>
      <c r="AK34" s="357" t="str">
        <f>'16U_M_Invite'!L170&amp;"-"&amp;'16U_M_Invite'!O170&amp;"-"&amp;TEXT('16U_M_Invite'!B170,"h:mm am/pm")</f>
        <v>16BQ-087-cu_Group-12:00 PM</v>
      </c>
      <c r="AL34" s="357" t="str">
        <f>'16U_M_Invite'!L189&amp;"-"&amp;'16U_M_Invite'!O189&amp;"-"&amp;TEXT('16U_M_Invite'!B189,"h:mm am/pm")</f>
        <v>16BQ-088-cu_Group-12:00 PM</v>
      </c>
      <c r="AM34" s="358" t="str">
        <f>'14U_M_Classic'!L152&amp;"-"&amp;'14U_M_Classic'!C152&amp;"-"&amp;TEXT('14U_M_Classic'!B152,"h:mm am/pm")</f>
        <v>14BX-086-Group-12:00 PM</v>
      </c>
      <c r="AN34" s="360" t="str">
        <f>'16U_M_Classic'!L143&amp;"-"&amp;'16U_M_Classic'!O143&amp;"-"&amp;TEXT('16U_M_Classic'!B143,"h:mm am/pm")</f>
        <v>16BX-086-ag_Group-12:00 PM</v>
      </c>
      <c r="AO34" s="357" t="str">
        <f>'16U_M_Invite'!L151&amp;"-"&amp;'16U_M_Invite'!O151&amp;"-"&amp;TEXT('16U_M_Invite'!B151,"h:mm am/pm")</f>
        <v>16BQ-086-ni_Group-12:00 PM</v>
      </c>
      <c r="AP34" s="360" t="str">
        <f>'16U_M_Classic'!L181&amp;"-"&amp;'16U_M_Classic'!O181&amp;"-"&amp;TEXT('16U_M_Classic'!B181,"h:mm am/pm")</f>
        <v>16BX-088-bz_Group-12:00 PM</v>
      </c>
      <c r="AQ34" s="360" t="str">
        <f>'16U_M_Classic'!L162&amp;"-"&amp;'16U_M_Classic'!O162&amp;"-"&amp;TEXT('16U_M_Classic'!B162,"h:mm am/pm")</f>
        <v>16BX-087-bz_Group-12:00 PM</v>
      </c>
      <c r="AR34" s="356" t="str">
        <f>'14U_M_Invite_36'!L96&amp;"-"&amp;'14U_M_Invite_36'!O96&amp;"-"&amp;TEXT('14U_M_Invite_36'!B96,"h:mm am/pm")</f>
        <v>14BQ-066-ni_Group-12:00 PM</v>
      </c>
      <c r="AS34" s="359" t="str">
        <f>'18U_M_Classic'!L181&amp;"-"&amp;'18U_M_Classic'!O181&amp;"-"&amp;TEXT('18U_M_Classic'!B181,"h:mm am/pm")</f>
        <v>18BX-088-bz_Group-12:00 PM</v>
      </c>
      <c r="AT34" s="361" t="str">
        <f>'18U_M_INVITE_NEW_23'!L93&amp;"-"&amp;'18U_M_INVITE_NEW_23'!N93&amp;"-"&amp;TEXT('18U_M_INVITE_NEW_23'!B93,"h:mm am/pm")</f>
        <v>18BQ-042-cu_Group-12:00 PM</v>
      </c>
      <c r="AU34" s="353">
        <v>0.5</v>
      </c>
      <c r="AV34" s="362" t="str">
        <f>'16U_M_Champ'!L124&amp;"-"&amp;'16U_M_Champ'!O124&amp;"-"&amp;TEXT('16U_M_Champ'!B124,"h:mm am/pm")</f>
        <v>16B-085-pt_Group-12:00 PM</v>
      </c>
      <c r="AW34" s="362" t="str">
        <f>'16U_M_Champ'!L143&amp;"-"&amp;'16U_M_Champ'!O143&amp;"-"&amp;TEXT('16U_M_Champ'!B143,"h:mm am/pm")</f>
        <v>16B-086-pt_Group-12:00 PM</v>
      </c>
      <c r="AX34" s="362" t="str">
        <f>'16U_M_Champ'!L162&amp;"-"&amp;'16U_M_Champ'!O162&amp;"-"&amp;TEXT('16U_M_Champ'!B162,"h:mm am/pm")</f>
        <v>16B-087-au_Group-12:00 PM</v>
      </c>
      <c r="AY34" s="362" t="str">
        <f>'16U_M_Champ'!L181&amp;"-"&amp;'16U_M_Champ'!O181&amp;"-"&amp;TEXT('16U_M_Champ'!B181,"h:mm am/pm")</f>
        <v>16B-088-au_Group-12:00 PM</v>
      </c>
      <c r="AZ34" s="49"/>
      <c r="BA34" s="353">
        <v>0.54166666666666696</v>
      </c>
      <c r="BB34" s="363" t="str">
        <f>'18U_M_Champ'!L127&amp;"-"&amp;'18U_M_Champ'!N127&amp;"-"&amp;TEXT('18U_M_Champ'!B127,"h:mm am/pm")</f>
        <v>18B-089-pt_Group-1:00 PM</v>
      </c>
      <c r="BC34" s="363" t="str">
        <f>'18U_M_Champ'!L188&amp;"-"&amp;'18U_M_Champ'!N188&amp;"-"&amp;TEXT('18U_M_Champ'!B188,"h:mm am/pm")</f>
        <v>18B-083-au_Group-1:00 PM</v>
      </c>
      <c r="BD34" s="363" t="str">
        <f>'18U_M_Champ'!L140&amp;"-"&amp;'18U_M_Champ'!N140&amp;"-"&amp;TEXT('18U_M_Champ'!B140,"h:mm am/pm")</f>
        <v>18B-095-pt_Group-1:00 PM</v>
      </c>
      <c r="BE34" s="363" t="str">
        <f>'18U_M_Champ'!L156&amp;"-"&amp;'18U_M_Champ'!N156&amp;"-"&amp;TEXT('18U_M_Champ'!B156,"h:mm am/pm")</f>
        <v>18B-091-au_Group-1:00 PM</v>
      </c>
      <c r="BF34" s="363" t="str">
        <f>'18U_M_Champ'!L172&amp;"-"&amp;'18U_M_Champ'!N172&amp;"-"&amp;TEXT('18U_M_Champ'!B172,"h:mm am/pm")</f>
        <v>18B-087-au_Group-1:00 PM</v>
      </c>
    </row>
    <row r="35" spans="1:59">
      <c r="A35" s="353">
        <v>0.53472222222222199</v>
      </c>
      <c r="B35" s="55" t="str">
        <f>'10U_M_Champ_35'!L139&amp;"-"&amp;'10U_M_Champ_35'!O139&amp;"-"&amp;TEXT('10U_M_Champ_35'!B139,"h:mm am/pm")</f>
        <v>10B-068-au_Group-12:50 PM</v>
      </c>
      <c r="C35" s="55" t="str">
        <f>'10U_M_Champ_35'!L95&amp;"-"&amp;'10U_M_Champ_35'!O95&amp;"-"&amp;TEXT('10U_M_Champ_35'!B95,"h:mm am/pm")</f>
        <v>10B-069-pt_Group-12:50 PM</v>
      </c>
      <c r="D35" s="55" t="str">
        <f>'10U_M_Champ_35'!L114&amp;"-"&amp;'10U_M_Champ_35'!O114&amp;"-"&amp;TEXT('10U_M_Champ_35'!B114,"h:mm am/pm")</f>
        <v>10B-070-pt_Group-12:50 PM</v>
      </c>
      <c r="F35" s="354" t="str">
        <f>'12U_M_Classic_53'!L215&amp;"-"&amp;'12U_M_Classic_53'!N215&amp;"-"&amp;TEXT('12U_M_Classic_53'!B215,"h:mm am/pm")</f>
        <v>12BX-086-bz_Group-12:50 PM</v>
      </c>
      <c r="H35" s="354" t="str">
        <f>'12U_M_Classic_53'!L198&amp;"-"&amp;'12U_M_Classic_53'!N198&amp;"-"&amp;TEXT('12U_M_Classic_53'!B198,"h:mm am/pm")</f>
        <v>12BX-089-bz_Group-12:50 PM</v>
      </c>
      <c r="I35" s="353">
        <v>0.53472222222222199</v>
      </c>
      <c r="J35" s="354" t="str">
        <f>'12U_M_Classic_53'!L166&amp;"-"&amp;'12U_M_Classic_53'!N166&amp;"-"&amp;TEXT('12U_M_Classic_53'!B166,"h:mm am/pm")</f>
        <v>12BX-083-ag_Group-12:50 PM</v>
      </c>
      <c r="K35" s="353">
        <v>0.53472222222222199</v>
      </c>
      <c r="L35" s="56" t="str">
        <f>'12U_M_Champ'!L125&amp;"-"&amp;'12U_M_Champ'!N125&amp;"-"&amp;TEXT('12U_M_Champ'!B125,"h:mm am/pm")</f>
        <v>12B-089-pt_Group-12:50 PM</v>
      </c>
      <c r="M35" s="354" t="str">
        <f>'12U_M_Classic_53'!L181&amp;"-"&amp;'12U_M_Classic_53'!N181&amp;"-"&amp;TEXT('12U_M_Classic_53'!B181,"h:mm am/pm")</f>
        <v>12BX-084-ag_Group-12:50 PM</v>
      </c>
      <c r="N35" s="56" t="str">
        <f>'12U_M_Champ'!L163&amp;"-"&amp;'12U_M_Champ'!N163&amp;"-"&amp;TEXT('12U_M_Champ'!B163,"h:mm am/pm")</f>
        <v>12B-091-au_Group-12:50 PM</v>
      </c>
      <c r="O35" s="56" t="str">
        <f>'12U_M_Champ'!L182&amp;"-"&amp;'12U_M_Champ'!N182&amp;"-"&amp;TEXT('12U_M_Champ'!B182,"h:mm am/pm")</f>
        <v>12B-092-au_Group-12:50 PM</v>
      </c>
      <c r="P35" s="353">
        <v>0.53472222222222199</v>
      </c>
      <c r="Q35" s="355" t="str">
        <f>'14U_M_Champ'!L125&amp;"-"&amp;'14U_M_Champ'!N125&amp;"-"&amp;TEXT('14U_M_Champ'!B125,"h:mm am/pm")</f>
        <v>14B-089-pt_Group-12:50 PM</v>
      </c>
      <c r="R35" s="355" t="str">
        <f>'14U_M_Champ'!L144&amp;"-"&amp;'14U_M_Champ'!N144&amp;"-"&amp;TEXT('14U_M_Champ'!B144,"h:mm am/pm")</f>
        <v>14B-090-pt_Group-12:50 PM</v>
      </c>
      <c r="S35" s="355" t="str">
        <f>'14U_M_Champ'!L163&amp;"-"&amp;'14U_M_Champ'!N163&amp;"-"&amp;TEXT('14U_M_Champ'!B163,"h:mm am/pm")</f>
        <v>14B-091-au_Group-12:50 PM</v>
      </c>
      <c r="T35" s="355" t="str">
        <f>'14U_M_Champ'!L182&amp;"-"&amp;'14U_M_Champ'!N182&amp;"-"&amp;TEXT('14U_M_Champ'!B182,"h:mm am/pm")</f>
        <v>14B-092-au_Group-12:50 PM</v>
      </c>
      <c r="U35" s="56" t="str">
        <f>'12U_M_Champ'!L144&amp;"-"&amp;'12U_M_Champ'!N144&amp;"-"&amp;TEXT('12U_M_Champ'!B144,"h:mm am/pm")</f>
        <v>12B-090-pt_Group-12:50 PM</v>
      </c>
      <c r="V35" s="356" t="str">
        <f>'14U_M_Invite_36'!L116&amp;"-"&amp;'14U_M_Invite_36'!O116&amp;"-"&amp;TEXT('14U_M_Invite_36'!B116,"h:mm am/pm")</f>
        <v>14BQ-070-ni_Group-12:50 PM</v>
      </c>
      <c r="W35" s="356" t="str">
        <f>'14U_M_Invite_36'!L141&amp;"-"&amp;'14U_M_Invite_36'!O141&amp;"-"&amp;TEXT('14U_M_Invite_36'!B141,"h:mm am/pm")</f>
        <v>14BQ-074-cu_Group-12:50 PM</v>
      </c>
      <c r="X35" s="353">
        <v>0.53472222222222199</v>
      </c>
      <c r="Z35" s="49"/>
      <c r="AA35" s="358" t="str">
        <f>'14U_M_Classic'!L172&amp;"-"&amp;'14U_M_Classic'!C172&amp;"-"&amp;TEXT('14U_M_Classic'!B172,"h:mm am/pm")</f>
        <v>14BX-091-Group-12:50 PM</v>
      </c>
      <c r="AB35" s="358" t="str">
        <f>'14U_M_Classic'!L191&amp;"-"&amp;'14U_M_Classic'!C191&amp;"-"&amp;TEXT('14U_M_Classic'!B191,"h:mm am/pm")</f>
        <v>14BX-092-Group-12:50 PM</v>
      </c>
      <c r="AC35" s="358" t="str">
        <f>'14U_M_Classic'!L131&amp;"-"&amp;'14U_M_Classic'!C131&amp;"-"&amp;TEXT('14U_M_Classic'!B131,"h:mm am/pm")</f>
        <v>14BX-089-Group-12:50 PM</v>
      </c>
      <c r="AD35" s="49"/>
      <c r="AE35" s="360" t="str">
        <f>'16U_M_Classic'!L125&amp;"-"&amp;'16U_M_Classic'!O125&amp;"-"&amp;TEXT('16U_M_Classic'!B125,"h:mm am/pm")</f>
        <v>16BX-089-ag_Group-12:50 PM</v>
      </c>
      <c r="AF35" s="361" t="str">
        <f>'18U_M_INVITE_NEW_23'!L79&amp;"-"&amp;'18U_M_INVITE_NEW_23'!N79&amp;"-"&amp;TEXT('18U_M_INVITE_NEW_23'!B79,"h:mm am/pm")</f>
        <v>18BQ-043-ni_Group-12:50 PM</v>
      </c>
      <c r="AG35" s="357" t="str">
        <f>'16U_M_Invite'!L133&amp;"-"&amp;'16U_M_Invite'!O133&amp;"-"&amp;TEXT('16U_M_Invite'!B133,"h:mm am/pm")</f>
        <v>16BQ-089-ni_Group-12:50 PM</v>
      </c>
      <c r="AH35" s="359" t="str">
        <f>'18U_M_Classic'!L144&amp;"-"&amp;'18U_M_Classic'!O144&amp;"-"&amp;TEXT('18U_M_Classic'!B144,"h:mm am/pm")</f>
        <v>18BX-090-ag_Group-12:50 PM</v>
      </c>
      <c r="AI35" s="359" t="str">
        <f>'18U_M_Classic'!L163&amp;"-"&amp;'18U_M_Classic'!O163&amp;"-"&amp;TEXT('18U_M_Classic'!B163,"h:mm am/pm")</f>
        <v>18BX-091-bz_Group-12:50 PM</v>
      </c>
      <c r="AJ35" s="359" t="str">
        <f>'18U_M_Classic'!L125&amp;"-"&amp;'18U_M_Classic'!O125&amp;"-"&amp;TEXT('18U_M_Classic'!B125,"h:mm am/pm")</f>
        <v>18BX-089-ag_Group-12:50 PM</v>
      </c>
      <c r="AK35" s="357" t="str">
        <f>'16U_M_Invite'!L171&amp;"-"&amp;'16U_M_Invite'!O171&amp;"-"&amp;TEXT('16U_M_Invite'!B171,"h:mm am/pm")</f>
        <v>16BQ-091-cu_Group-12:50 PM</v>
      </c>
      <c r="AL35" s="357" t="str">
        <f>'16U_M_Invite'!L190&amp;"-"&amp;'16U_M_Invite'!O190&amp;"-"&amp;TEXT('16U_M_Invite'!B190,"h:mm am/pm")</f>
        <v>16BQ-092-cu_Group-12:50 PM</v>
      </c>
      <c r="AM35" s="358" t="str">
        <f>'14U_M_Classic'!L153&amp;"-"&amp;'14U_M_Classic'!C153&amp;"-"&amp;TEXT('14U_M_Classic'!B153,"h:mm am/pm")</f>
        <v>14BX-090-Group-12:50 PM</v>
      </c>
      <c r="AN35" s="360" t="str">
        <f>'16U_M_Classic'!L144&amp;"-"&amp;'16U_M_Classic'!O144&amp;"-"&amp;TEXT('16U_M_Classic'!B144,"h:mm am/pm")</f>
        <v>16BX-090-ag_Group-12:50 PM</v>
      </c>
      <c r="AO35" s="357" t="str">
        <f>'16U_M_Invite'!L152&amp;"-"&amp;'16U_M_Invite'!O152&amp;"-"&amp;TEXT('16U_M_Invite'!B152,"h:mm am/pm")</f>
        <v>16BQ-090-ni_Group-12:50 PM</v>
      </c>
      <c r="AP35" s="360" t="str">
        <f>'16U_M_Classic'!L182&amp;"-"&amp;'16U_M_Classic'!O182&amp;"-"&amp;TEXT('16U_M_Classic'!B182,"h:mm am/pm")</f>
        <v>16BX-092-bz_Group-12:50 PM</v>
      </c>
      <c r="AQ35" s="360" t="str">
        <f>'16U_M_Classic'!L163&amp;"-"&amp;'16U_M_Classic'!O163&amp;"-"&amp;TEXT('16U_M_Classic'!B163,"h:mm am/pm")</f>
        <v>16BX-091-bz_Group-12:50 PM</v>
      </c>
      <c r="AR35" s="356" t="str">
        <f>'14U_M_Invite_36'!L97&amp;"-"&amp;'14U_M_Invite_36'!O97&amp;"-"&amp;TEXT('14U_M_Invite_36'!B97,"h:mm am/pm")</f>
        <v>14BQ-069-ni_Group-12:50 PM</v>
      </c>
      <c r="AS35" s="359" t="str">
        <f>'18U_M_Classic'!L182&amp;"-"&amp;'18U_M_Classic'!O182&amp;"-"&amp;TEXT('18U_M_Classic'!B182,"h:mm am/pm")</f>
        <v>18BX-092-bz_Group-12:50 PM</v>
      </c>
      <c r="AT35" s="361" t="str">
        <f>'18U_M_INVITE_NEW_23'!L94&amp;"-"&amp;'18U_M_INVITE_NEW_23'!N94&amp;"-"&amp;TEXT('18U_M_INVITE_NEW_23'!B94,"h:mm am/pm")</f>
        <v>18BQ-044-cu_Group-12:50 PM</v>
      </c>
      <c r="AU35" s="353">
        <v>0.53472222222222199</v>
      </c>
      <c r="AV35" s="362" t="str">
        <f>'16U_M_Champ'!L125&amp;"-"&amp;'16U_M_Champ'!O125&amp;"-"&amp;TEXT('16U_M_Champ'!B125,"h:mm am/pm")</f>
        <v>16B-089-pt_Group-12:50 PM</v>
      </c>
      <c r="AW35" s="362" t="str">
        <f>'16U_M_Champ'!L144&amp;"-"&amp;'16U_M_Champ'!O144&amp;"-"&amp;TEXT('16U_M_Champ'!B144,"h:mm am/pm")</f>
        <v>16B-090-pt_Group-12:50 PM</v>
      </c>
      <c r="AX35" s="362" t="str">
        <f>'16U_M_Champ'!L163&amp;"-"&amp;'16U_M_Champ'!O163&amp;"-"&amp;TEXT('16U_M_Champ'!B163,"h:mm am/pm")</f>
        <v>16B-091-au_Group-12:50 PM</v>
      </c>
      <c r="AY35" s="362" t="str">
        <f>'16U_M_Champ'!L182&amp;"-"&amp;'16U_M_Champ'!O182&amp;"-"&amp;TEXT('16U_M_Champ'!B182,"h:mm am/pm")</f>
        <v>16B-092-au_Group-12:50 PM</v>
      </c>
      <c r="AZ35" s="49"/>
      <c r="BA35" s="353">
        <v>0.58333333333333304</v>
      </c>
      <c r="BB35" s="363" t="str">
        <f>'18U_M_Champ'!L128&amp;"-"&amp;'18U_M_Champ'!N128&amp;"-"&amp;TEXT('18U_M_Champ'!B128,"h:mm am/pm")</f>
        <v>18B-094-pt_Group-2:00 PM</v>
      </c>
      <c r="BC35" s="363" t="str">
        <f>'18U_M_Champ'!L189&amp;"-"&amp;'18U_M_Champ'!N189&amp;"-"&amp;TEXT('18U_M_Champ'!B189,"h:mm am/pm")</f>
        <v>18B-099-pt_Group-2:00 PM</v>
      </c>
      <c r="BD35" s="363" t="str">
        <f>'18U_M_Champ'!L141&amp;"-"&amp;'18U_M_Champ'!N141&amp;"-"&amp;TEXT('18U_M_Champ'!B141,"h:mm am/pm")</f>
        <v>18B-100-pt_Group-2:00 PM</v>
      </c>
      <c r="BE35" s="363" t="str">
        <f>'18U_M_Champ'!L157&amp;"-"&amp;'18U_M_Champ'!N157&amp;"-"&amp;TEXT('18U_M_Champ'!B157,"h:mm am/pm")</f>
        <v>18B-096-au_Group-2:00 PM</v>
      </c>
      <c r="BF35" s="363" t="str">
        <f>'18U_M_Champ'!L173&amp;"-"&amp;'18U_M_Champ'!N173&amp;"-"&amp;TEXT('18U_M_Champ'!B173,"h:mm am/pm")</f>
        <v>18B-092-au_Group-2:00 PM</v>
      </c>
    </row>
    <row r="36" spans="1:59">
      <c r="A36" s="353">
        <v>0.56944444444444497</v>
      </c>
      <c r="B36" s="55" t="str">
        <f>'10U_M_Champ_35'!L140&amp;"-"&amp;'10U_M_Champ_35'!O140&amp;"-"&amp;TEXT('10U_M_Champ_35'!B140,"h:mm am/pm")</f>
        <v>10B-071-au_W/L-1:40 PM</v>
      </c>
      <c r="C36" s="55" t="str">
        <f>'10U_M_Champ_35'!L96&amp;"-"&amp;'10U_M_Champ_35'!O96&amp;"-"&amp;TEXT('10U_M_Champ_35'!B96,"h:mm am/pm")</f>
        <v>10B-072-pt_Group-1:40 PM</v>
      </c>
      <c r="D36" s="55" t="str">
        <f>'10U_M_Champ_35'!L115&amp;"-"&amp;'10U_M_Champ_35'!O115&amp;"-"&amp;TEXT('10U_M_Champ_35'!B115,"h:mm am/pm")</f>
        <v>10B-073-pt_Group-1:40 PM</v>
      </c>
      <c r="F36" s="354" t="str">
        <f>'12U_M_Classic_53'!L216&amp;"-"&amp;'12U_M_Classic_53'!N216&amp;"-"&amp;TEXT('12U_M_Classic_53'!B216,"h:mm am/pm")</f>
        <v>12BX-090-bz_1st/2ndU-1:40 PM</v>
      </c>
      <c r="H36" s="354" t="str">
        <f>'12U_M_Classic_53'!L199&amp;"-"&amp;'12U_M_Classic_53'!N199&amp;"-"&amp;TEXT('12U_M_Classic_53'!B199,"h:mm am/pm")</f>
        <v>12BX-093-bz_1st/2ndR-1:40 PM</v>
      </c>
      <c r="I36" s="353">
        <v>0.56944444444444497</v>
      </c>
      <c r="J36" s="354" t="str">
        <f>'12U_M_Classic_53'!L167&amp;"-"&amp;'12U_M_Classic_53'!N167&amp;"-"&amp;TEXT('12U_M_Classic_53'!B167,"h:mm am/pm")</f>
        <v>12BX-087-ag_Group-1:40 PM</v>
      </c>
      <c r="K36" s="353">
        <v>0.56944444444444497</v>
      </c>
      <c r="L36" s="56" t="str">
        <f>'12U_M_Champ'!L126&amp;"-"&amp;'12U_M_Champ'!N126&amp;"-"&amp;TEXT('12U_M_Champ'!B126,"h:mm am/pm")</f>
        <v>12B-093-pt_Group-1:40 PM</v>
      </c>
      <c r="M36" s="354" t="str">
        <f>'12U_M_Classic_53'!L182&amp;"-"&amp;'12U_M_Classic_53'!N182&amp;"-"&amp;TEXT('12U_M_Classic_53'!B182,"h:mm am/pm")</f>
        <v>12BX-088-ag_Group-1:40 PM</v>
      </c>
      <c r="N36" s="56" t="str">
        <f>'12U_M_Champ'!L164&amp;"-"&amp;'12U_M_Champ'!N164&amp;"-"&amp;TEXT('12U_M_Champ'!B164,"h:mm am/pm")</f>
        <v>12B-095-au_Group-1:40 PM</v>
      </c>
      <c r="O36" s="56" t="str">
        <f>'12U_M_Champ'!L183&amp;"-"&amp;'12U_M_Champ'!N183&amp;"-"&amp;TEXT('12U_M_Champ'!B183,"h:mm am/pm")</f>
        <v>12B-096-au_Group-1:40 PM</v>
      </c>
      <c r="P36" s="353">
        <v>0.56944444444444497</v>
      </c>
      <c r="Q36" s="355" t="str">
        <f>'14U_M_Champ'!L126&amp;"-"&amp;'14U_M_Champ'!N126&amp;"-"&amp;TEXT('14U_M_Champ'!B126,"h:mm am/pm")</f>
        <v>14B-093-pt_Group-1:40 PM</v>
      </c>
      <c r="R36" s="355" t="str">
        <f>'14U_M_Champ'!L145&amp;"-"&amp;'14U_M_Champ'!N145&amp;"-"&amp;TEXT('14U_M_Champ'!B145,"h:mm am/pm")</f>
        <v>14B-094-pt_Group-1:40 PM</v>
      </c>
      <c r="S36" s="355" t="str">
        <f>'14U_M_Champ'!L164&amp;"-"&amp;'14U_M_Champ'!N164&amp;"-"&amp;TEXT('14U_M_Champ'!B164,"h:mm am/pm")</f>
        <v>14B-095-au_Group-1:40 PM</v>
      </c>
      <c r="T36" s="355" t="str">
        <f>'14U_M_Champ'!L183&amp;"-"&amp;'14U_M_Champ'!N183&amp;"-"&amp;TEXT('14U_M_Champ'!B183,"h:mm am/pm")</f>
        <v>14B-096-au_Group-1:40 PM</v>
      </c>
      <c r="U36" s="56" t="str">
        <f>'12U_M_Champ'!L145&amp;"-"&amp;'12U_M_Champ'!N145&amp;"-"&amp;TEXT('12U_M_Champ'!B145,"h:mm am/pm")</f>
        <v>12B-094-pt_Group-1:40 PM</v>
      </c>
      <c r="V36" s="356" t="str">
        <f>'14U_M_Invite_36'!L117&amp;"-"&amp;'14U_M_Invite_36'!O117&amp;"-"&amp;TEXT('14U_M_Invite_36'!B117,"h:mm am/pm")</f>
        <v>14BQ-073-ni_Group-1:40 PM</v>
      </c>
      <c r="W36" s="356" t="str">
        <f>'14U_M_Invite_36'!L142&amp;"-"&amp;'14U_M_Invite_36'!O142&amp;"-"&amp;TEXT('14U_M_Invite_36'!B142,"h:mm am/pm")</f>
        <v>14BQ-077-cu_Group-1:40 PM</v>
      </c>
      <c r="X36" s="353">
        <v>0.56944444444444497</v>
      </c>
      <c r="Z36" s="49"/>
      <c r="AA36" s="358" t="str">
        <f>'14U_M_Classic'!L173&amp;"-"&amp;'14U_M_Classic'!C173&amp;"-"&amp;TEXT('14U_M_Classic'!B173,"h:mm am/pm")</f>
        <v>14BX-095-Group-1:40 PM</v>
      </c>
      <c r="AB36" s="358" t="str">
        <f>'14U_M_Classic'!L192&amp;"-"&amp;'14U_M_Classic'!C192&amp;"-"&amp;TEXT('14U_M_Classic'!B192,"h:mm am/pm")</f>
        <v>14BX-096-Group-1:40 PM</v>
      </c>
      <c r="AC36" s="358" t="str">
        <f>'14U_M_Classic'!L132&amp;"-"&amp;'14U_M_Classic'!C132&amp;"-"&amp;TEXT('14U_M_Classic'!B132,"h:mm am/pm")</f>
        <v>14BX-093-Group-1:40 PM</v>
      </c>
      <c r="AD36" s="49"/>
      <c r="AE36" s="360" t="str">
        <f>'16U_M_Classic'!L126&amp;"-"&amp;'16U_M_Classic'!O126&amp;"-"&amp;TEXT('16U_M_Classic'!B126,"h:mm am/pm")</f>
        <v>16BX-093-ag_Group-1:40 PM</v>
      </c>
      <c r="AF36" s="361" t="str">
        <f>'18U_M_INVITE_NEW_23'!L80&amp;"-"&amp;'18U_M_INVITE_NEW_23'!N80&amp;"-"&amp;TEXT('18U_M_INVITE_NEW_23'!B80,"h:mm am/pm")</f>
        <v>18BQ-045-ni_Group-1:40 PM</v>
      </c>
      <c r="AG36" s="357" t="str">
        <f>'16U_M_Invite'!L134&amp;"-"&amp;'16U_M_Invite'!O134&amp;"-"&amp;TEXT('16U_M_Invite'!B134,"h:mm am/pm")</f>
        <v>16BQ-093-ni_Group-1:40 PM</v>
      </c>
      <c r="AH36" s="359" t="str">
        <f>'18U_M_Classic'!L145&amp;"-"&amp;'18U_M_Classic'!O145&amp;"-"&amp;TEXT('18U_M_Classic'!B145,"h:mm am/pm")</f>
        <v>18BX-094-ag_Group-1:40 PM</v>
      </c>
      <c r="AI36" s="359" t="str">
        <f>'18U_M_Classic'!L164&amp;"-"&amp;'18U_M_Classic'!O164&amp;"-"&amp;TEXT('18U_M_Classic'!B164,"h:mm am/pm")</f>
        <v>18BX-095-bz_Group-1:40 PM</v>
      </c>
      <c r="AJ36" s="359" t="str">
        <f>'18U_M_Classic'!L126&amp;"-"&amp;'18U_M_Classic'!O126&amp;"-"&amp;TEXT('18U_M_Classic'!B126,"h:mm am/pm")</f>
        <v>18BX-093-ag_Group-1:40 PM</v>
      </c>
      <c r="AK36" s="357" t="str">
        <f>'16U_M_Invite'!L172&amp;"-"&amp;'16U_M_Invite'!O172&amp;"-"&amp;TEXT('16U_M_Invite'!B172,"h:mm am/pm")</f>
        <v>16BQ-095-cu_Group-1:40 PM</v>
      </c>
      <c r="AL36" s="357" t="str">
        <f>'16U_M_Invite'!L191&amp;"-"&amp;'16U_M_Invite'!O191&amp;"-"&amp;TEXT('16U_M_Invite'!B191,"h:mm am/pm")</f>
        <v>16BQ-096-cu_Group-1:40 PM</v>
      </c>
      <c r="AM36" s="358" t="str">
        <f>'14U_M_Classic'!L154&amp;"-"&amp;'14U_M_Classic'!C154&amp;"-"&amp;TEXT('14U_M_Classic'!B154,"h:mm am/pm")</f>
        <v>14BX-094-Group-1:40 PM</v>
      </c>
      <c r="AN36" s="360" t="str">
        <f>'16U_M_Classic'!L145&amp;"-"&amp;'16U_M_Classic'!O145&amp;"-"&amp;TEXT('16U_M_Classic'!B145,"h:mm am/pm")</f>
        <v>16BX-094-ag_Group-1:40 PM</v>
      </c>
      <c r="AO36" s="357" t="str">
        <f>'16U_M_Invite'!L153&amp;"-"&amp;'16U_M_Invite'!O153&amp;"-"&amp;TEXT('16U_M_Invite'!B153,"h:mm am/pm")</f>
        <v>16BQ-094-ni_Group-1:40 PM</v>
      </c>
      <c r="AP36" s="360" t="str">
        <f>'16U_M_Classic'!L183&amp;"-"&amp;'16U_M_Classic'!O183&amp;"-"&amp;TEXT('16U_M_Classic'!B183,"h:mm am/pm")</f>
        <v>16BX-096-bz_Group-1:40 PM</v>
      </c>
      <c r="AQ36" s="360" t="str">
        <f>'16U_M_Classic'!L164&amp;"-"&amp;'16U_M_Classic'!O164&amp;"-"&amp;TEXT('16U_M_Classic'!B164,"h:mm am/pm")</f>
        <v>16BX-095-bz_Group-1:40 PM</v>
      </c>
      <c r="AR36" s="356" t="str">
        <f>'14U_M_Invite_36'!L98&amp;"-"&amp;'14U_M_Invite_36'!O98&amp;"-"&amp;TEXT('14U_M_Invite_36'!B98,"h:mm am/pm")</f>
        <v>14BQ-072-ni_Group-1:40 PM</v>
      </c>
      <c r="AS36" s="359" t="str">
        <f>'18U_M_Classic'!L183&amp;"-"&amp;'18U_M_Classic'!O183&amp;"-"&amp;TEXT('18U_M_Classic'!B183,"h:mm am/pm")</f>
        <v>18BX-096-bz_Group-1:40 PM</v>
      </c>
      <c r="AT36" s="361" t="str">
        <f>'18U_M_INVITE_NEW_23'!L95&amp;"-"&amp;'18U_M_INVITE_NEW_23'!N95&amp;"-"&amp;TEXT('18U_M_INVITE_NEW_23'!B95,"h:mm am/pm")</f>
        <v>18BQ-046-cu_Group-1:40 PM</v>
      </c>
      <c r="AU36" s="353">
        <v>0.56944444444444497</v>
      </c>
      <c r="AV36" s="362" t="str">
        <f>'16U_M_Champ'!L126&amp;"-"&amp;'16U_M_Champ'!O126&amp;"-"&amp;TEXT('16U_M_Champ'!B126,"h:mm am/pm")</f>
        <v>16B-093-pt_Group-1:40 PM</v>
      </c>
      <c r="AW36" s="362" t="str">
        <f>'16U_M_Champ'!L145&amp;"-"&amp;'16U_M_Champ'!O145&amp;"-"&amp;TEXT('16U_M_Champ'!B145,"h:mm am/pm")</f>
        <v>16B-094-pt_Group-1:40 PM</v>
      </c>
      <c r="AX36" s="362" t="str">
        <f>'16U_M_Champ'!L164&amp;"-"&amp;'16U_M_Champ'!O164&amp;"-"&amp;TEXT('16U_M_Champ'!B164,"h:mm am/pm")</f>
        <v>16B-095-au_Group-1:40 PM</v>
      </c>
      <c r="AY36" s="362" t="str">
        <f>'16U_M_Champ'!L183&amp;"-"&amp;'16U_M_Champ'!O183&amp;"-"&amp;TEXT('16U_M_Champ'!B183,"h:mm am/pm")</f>
        <v>16B-096-au_Group-1:40 PM</v>
      </c>
      <c r="AZ36" s="49"/>
      <c r="BA36" s="353">
        <v>0.625</v>
      </c>
      <c r="BB36" s="363" t="str">
        <f>'18U_M_Champ'!L129&amp;"-"&amp;'18U_M_Champ'!N129&amp;"-"&amp;TEXT('18U_M_Champ'!B129,"h:mm am/pm")</f>
        <v>18B-103-pt_Group-3:00 PM</v>
      </c>
      <c r="BC36" s="363" t="str">
        <f>'18U_M_Champ'!L190&amp;"-"&amp;'18U_M_Champ'!N190&amp;"-"&amp;TEXT('18U_M_Champ'!B190,"h:mm am/pm")</f>
        <v>18B-098-au_Group-3:00 PM</v>
      </c>
      <c r="BD36" s="363" t="str">
        <f>'18U_M_Champ'!L142&amp;"-"&amp;'18U_M_Champ'!N142&amp;"-"&amp;TEXT('18U_M_Champ'!B142,"h:mm am/pm")</f>
        <v>18B-105-pt_Group-3:00 PM</v>
      </c>
      <c r="BE36" s="363" t="str">
        <f>'18U_M_Champ'!L158&amp;"-"&amp;'18U_M_Champ'!N158&amp;"-"&amp;TEXT('18U_M_Champ'!B158,"h:mm am/pm")</f>
        <v>18B-101-au_Group-3:00 PM</v>
      </c>
      <c r="BF36" s="363" t="str">
        <f>'18U_M_Champ'!L174&amp;"-"&amp;'18U_M_Champ'!N174&amp;"-"&amp;TEXT('18U_M_Champ'!B174,"h:mm am/pm")</f>
        <v>18B-097-au_Group-3:00 PM</v>
      </c>
    </row>
    <row r="37" spans="1:59">
      <c r="A37" s="353">
        <v>0.60416666666666696</v>
      </c>
      <c r="B37" s="55" t="str">
        <f>'10U_M_Champ_35'!L141&amp;"-"&amp;'10U_M_Champ_35'!O141&amp;"-"&amp;TEXT('10U_M_Champ_35'!B141,"h:mm am/pm")</f>
        <v>10B-074-au_W/L-2:30 PM</v>
      </c>
      <c r="C37" s="55" t="str">
        <f>'10U_M_Champ_35'!L97&amp;"-"&amp;'10U_M_Champ_35'!O97&amp;"-"&amp;TEXT('10U_M_Champ_35'!B97,"h:mm am/pm")</f>
        <v>10B-075-pt_Group-2:30 PM</v>
      </c>
      <c r="D37" s="55" t="str">
        <f>'10U_M_Champ_35'!L116&amp;"-"&amp;'10U_M_Champ_35'!O116&amp;"-"&amp;TEXT('10U_M_Champ_35'!B116,"h:mm am/pm")</f>
        <v>10B-076-pt_Group-2:30 PM</v>
      </c>
      <c r="F37" s="354" t="str">
        <f>'12U_M_Classic_53'!L217&amp;"-"&amp;'12U_M_Classic_53'!N217&amp;"-"&amp;TEXT('12U_M_Classic_53'!B217,"h:mm am/pm")</f>
        <v>12BX-90A-bz_3rd/4thU-2:30 PM</v>
      </c>
      <c r="H37" s="354" t="str">
        <f>'12U_M_Classic_53'!L200&amp;"-"&amp;'12U_M_Classic_53'!N200&amp;"-"&amp;TEXT('12U_M_Classic_53'!B200,"h:mm am/pm")</f>
        <v>12BX-097-bz_1st/2ndS-2:30 PM</v>
      </c>
      <c r="I37" s="353">
        <v>0.60416666666666696</v>
      </c>
      <c r="J37" s="354" t="str">
        <f>'12U_M_Classic_53'!L168&amp;"-"&amp;'12U_M_Classic_53'!N168&amp;"-"&amp;TEXT('12U_M_Classic_53'!B168,"h:mm am/pm")</f>
        <v>12BX-091-ag_Group-2:30 PM</v>
      </c>
      <c r="K37" s="353">
        <v>0.60416666666666696</v>
      </c>
      <c r="L37" s="56" t="str">
        <f>'12U_M_Champ'!L127&amp;"-"&amp;'12U_M_Champ'!N127&amp;"-"&amp;TEXT('12U_M_Champ'!B127,"h:mm am/pm")</f>
        <v>12B-097-pt_Group-2:30 PM</v>
      </c>
      <c r="M37" s="354" t="str">
        <f>'12U_M_Classic_53'!L183&amp;"-"&amp;'12U_M_Classic_53'!N183&amp;"-"&amp;TEXT('12U_M_Classic_53'!B183,"h:mm am/pm")</f>
        <v>12BX-092-ag_Group-2:30 PM</v>
      </c>
      <c r="N37" s="56" t="str">
        <f>'12U_M_Champ'!L165&amp;"-"&amp;'12U_M_Champ'!N165&amp;"-"&amp;TEXT('12U_M_Champ'!B165,"h:mm am/pm")</f>
        <v>12B-099-au_Group-2:30 PM</v>
      </c>
      <c r="O37" s="56" t="str">
        <f>'12U_M_Champ'!L184&amp;"-"&amp;'12U_M_Champ'!N184&amp;"-"&amp;TEXT('12U_M_Champ'!B184,"h:mm am/pm")</f>
        <v>12B-100-au_Group-2:30 PM</v>
      </c>
      <c r="P37" s="353">
        <v>0.60416666666666696</v>
      </c>
      <c r="Q37" s="355" t="str">
        <f>'14U_M_Champ'!L127&amp;"-"&amp;'14U_M_Champ'!N127&amp;"-"&amp;TEXT('14U_M_Champ'!B127,"h:mm am/pm")</f>
        <v>14B-097-pt_Group-2:30 PM</v>
      </c>
      <c r="R37" s="355" t="str">
        <f>'14U_M_Champ'!L146&amp;"-"&amp;'14U_M_Champ'!N146&amp;"-"&amp;TEXT('14U_M_Champ'!B146,"h:mm am/pm")</f>
        <v>14B-098-pt_Group-2:30 PM</v>
      </c>
      <c r="S37" s="355" t="str">
        <f>'14U_M_Champ'!L165&amp;"-"&amp;'14U_M_Champ'!N165&amp;"-"&amp;TEXT('14U_M_Champ'!B165,"h:mm am/pm")</f>
        <v>14B-099-au_Group-2:30 PM</v>
      </c>
      <c r="T37" s="355" t="str">
        <f>'14U_M_Champ'!L184&amp;"-"&amp;'14U_M_Champ'!N184&amp;"-"&amp;TEXT('14U_M_Champ'!B184,"h:mm am/pm")</f>
        <v>14B-100-au_Group-2:30 PM</v>
      </c>
      <c r="U37" s="56" t="str">
        <f>'12U_M_Champ'!L146&amp;"-"&amp;'12U_M_Champ'!N146&amp;"-"&amp;TEXT('12U_M_Champ'!B146,"h:mm am/pm")</f>
        <v>12B-098-pt_Group-2:30 PM</v>
      </c>
      <c r="V37" s="356" t="str">
        <f>'14U_M_Invite_36'!L118&amp;"-"&amp;'14U_M_Invite_36'!O118&amp;"-"&amp;TEXT('14U_M_Invite_36'!B118,"h:mm am/pm")</f>
        <v>14BQ-076-ni_Group-2:30 PM</v>
      </c>
      <c r="W37" s="356" t="str">
        <f>'14U_M_Invite_36'!L143&amp;"-"&amp;'14U_M_Invite_36'!O143&amp;"-"&amp;TEXT('14U_M_Invite_36'!B143,"h:mm am/pm")</f>
        <v>14BQ-080-cu_Group-2:30 PM</v>
      </c>
      <c r="X37" s="353">
        <v>0.60416666666666696</v>
      </c>
      <c r="Z37" s="49"/>
      <c r="AA37" s="358" t="str">
        <f>'14U_M_Classic'!L174&amp;"-"&amp;'14U_M_Classic'!C174&amp;"-"&amp;TEXT('14U_M_Classic'!B174,"h:mm am/pm")</f>
        <v>14BX-099-Group-2:30 PM</v>
      </c>
      <c r="AB37" s="358" t="str">
        <f>'14U_M_Classic'!L193&amp;"-"&amp;'14U_M_Classic'!C193&amp;"-"&amp;TEXT('14U_M_Classic'!B193,"h:mm am/pm")</f>
        <v>14BX-100-Group-2:30 PM</v>
      </c>
      <c r="AC37" s="358" t="str">
        <f>'14U_M_Classic'!L133&amp;"-"&amp;'14U_M_Classic'!C133&amp;"-"&amp;TEXT('14U_M_Classic'!B133,"h:mm am/pm")</f>
        <v>14BX-097-Group-2:30 PM</v>
      </c>
      <c r="AD37" s="49"/>
      <c r="AE37" s="360" t="str">
        <f>'16U_M_Classic'!L127&amp;"-"&amp;'16U_M_Classic'!O127&amp;"-"&amp;TEXT('16U_M_Classic'!B127,"h:mm am/pm")</f>
        <v>16BX-097-ag_Group-2:30 PM</v>
      </c>
      <c r="AF37" s="361" t="str">
        <f>'18U_M_INVITE_NEW_23'!L81&amp;"-"&amp;'18U_M_INVITE_NEW_23'!N81&amp;"-"&amp;TEXT('18U_M_INVITE_NEW_23'!B81,"h:mm am/pm")</f>
        <v>18BQ-047-ni_Group-2:30 PM</v>
      </c>
      <c r="AG37" s="357" t="str">
        <f>'16U_M_Invite'!L135&amp;"-"&amp;'16U_M_Invite'!O135&amp;"-"&amp;TEXT('16U_M_Invite'!B135,"h:mm am/pm")</f>
        <v>16BQ-097-ni_Group-2:30 PM</v>
      </c>
      <c r="AH37" s="359" t="str">
        <f>'18U_M_Classic'!L146&amp;"-"&amp;'18U_M_Classic'!O146&amp;"-"&amp;TEXT('18U_M_Classic'!B146,"h:mm am/pm")</f>
        <v>18BX-098-ag_Group-2:30 PM</v>
      </c>
      <c r="AI37" s="359" t="str">
        <f>'18U_M_Classic'!L165&amp;"-"&amp;'18U_M_Classic'!O165&amp;"-"&amp;TEXT('18U_M_Classic'!B165,"h:mm am/pm")</f>
        <v>18BX-099-bz_Group-2:30 PM</v>
      </c>
      <c r="AJ37" s="359" t="str">
        <f>'18U_M_Classic'!L127&amp;"-"&amp;'18U_M_Classic'!O127&amp;"-"&amp;TEXT('18U_M_Classic'!B127,"h:mm am/pm")</f>
        <v>18BX-097-ag_Group-2:30 PM</v>
      </c>
      <c r="AK37" s="357" t="str">
        <f>'16U_M_Invite'!L173&amp;"-"&amp;'16U_M_Invite'!O173&amp;"-"&amp;TEXT('16U_M_Invite'!B173,"h:mm am/pm")</f>
        <v>16BQ-099-cu_Group-2:30 PM</v>
      </c>
      <c r="AL37" s="357" t="str">
        <f>'16U_M_Invite'!L192&amp;"-"&amp;'16U_M_Invite'!O192&amp;"-"&amp;TEXT('16U_M_Invite'!B192,"h:mm am/pm")</f>
        <v>16BQ-100-cu_Group-2:30 PM</v>
      </c>
      <c r="AM37" s="358" t="str">
        <f>'14U_M_Classic'!L155&amp;"-"&amp;'14U_M_Classic'!C155&amp;"-"&amp;TEXT('14U_M_Classic'!B155,"h:mm am/pm")</f>
        <v>14BX-098-Group-2:30 PM</v>
      </c>
      <c r="AN37" s="360" t="str">
        <f>'16U_M_Classic'!L146&amp;"-"&amp;'16U_M_Classic'!O146&amp;"-"&amp;TEXT('16U_M_Classic'!B146,"h:mm am/pm")</f>
        <v>16BX-098-ag_Group-2:30 PM</v>
      </c>
      <c r="AO37" s="357" t="str">
        <f>'16U_M_Invite'!L154&amp;"-"&amp;'16U_M_Invite'!O154&amp;"-"&amp;TEXT('16U_M_Invite'!B154,"h:mm am/pm")</f>
        <v>16BQ-098-ni_Group-2:30 PM</v>
      </c>
      <c r="AP37" s="360" t="str">
        <f>'16U_M_Classic'!L184&amp;"-"&amp;'16U_M_Classic'!O184&amp;"-"&amp;TEXT('16U_M_Classic'!B184,"h:mm am/pm")</f>
        <v>16BX-100-bz_Group-2:30 PM</v>
      </c>
      <c r="AQ37" s="360" t="str">
        <f>'16U_M_Classic'!L165&amp;"-"&amp;'16U_M_Classic'!O165&amp;"-"&amp;TEXT('16U_M_Classic'!B165,"h:mm am/pm")</f>
        <v>16BX-099-bz_Group-2:30 PM</v>
      </c>
      <c r="AR37" s="356" t="str">
        <f>'14U_M_Invite_36'!L99&amp;"-"&amp;'14U_M_Invite_36'!O99&amp;"-"&amp;TEXT('14U_M_Invite_36'!B99,"h:mm am/pm")</f>
        <v>14BQ-075-ni_Group-2:30 PM</v>
      </c>
      <c r="AS37" s="359" t="str">
        <f>'18U_M_Classic'!L184&amp;"-"&amp;'18U_M_Classic'!O184&amp;"-"&amp;TEXT('18U_M_Classic'!B184,"h:mm am/pm")</f>
        <v>18BX-100-bz_Group-2:30 PM</v>
      </c>
      <c r="AT37" s="361" t="str">
        <f>'18U_M_INVITE_NEW_23'!L96&amp;"-"&amp;'18U_M_INVITE_NEW_23'!N96&amp;"-"&amp;TEXT('18U_M_INVITE_NEW_23'!B96,"h:mm am/pm")</f>
        <v>18BQ-048-cu_Group-2:30 PM</v>
      </c>
      <c r="AU37" s="353">
        <v>0.60416666666666696</v>
      </c>
      <c r="AV37" s="362" t="str">
        <f>'16U_M_Champ'!L127&amp;"-"&amp;'16U_M_Champ'!O127&amp;"-"&amp;TEXT('16U_M_Champ'!B127,"h:mm am/pm")</f>
        <v>16B-097-pt_Group-2:30 PM</v>
      </c>
      <c r="AW37" s="362" t="str">
        <f>'16U_M_Champ'!L146&amp;"-"&amp;'16U_M_Champ'!O146&amp;"-"&amp;TEXT('16U_M_Champ'!B146,"h:mm am/pm")</f>
        <v>16B-098-pt_Group-2:30 PM</v>
      </c>
      <c r="AX37" s="362" t="str">
        <f>'16U_M_Champ'!L165&amp;"-"&amp;'16U_M_Champ'!O165&amp;"-"&amp;TEXT('16U_M_Champ'!B165,"h:mm am/pm")</f>
        <v>16B-099-au_Group-2:30 PM</v>
      </c>
      <c r="AY37" s="362" t="str">
        <f>'16U_M_Champ'!L184&amp;"-"&amp;'16U_M_Champ'!O184&amp;"-"&amp;TEXT('16U_M_Champ'!B184,"h:mm am/pm")</f>
        <v>16B-100-au_Group-2:30 PM</v>
      </c>
      <c r="AZ37" s="49"/>
      <c r="BA37" s="353">
        <v>0.66666666666666696</v>
      </c>
      <c r="BB37" s="363" t="str">
        <f>'18U_M_Champ'!L130&amp;"-"&amp;'18U_M_Champ'!N130&amp;"-"&amp;TEXT('18U_M_Champ'!B130,"h:mm am/pm")</f>
        <v>18B-104-pt_Group-4:00 PM</v>
      </c>
      <c r="BC37" s="363" t="str">
        <f>'18U_M_Champ'!L191&amp;"-"&amp;'18U_M_Champ'!N191&amp;"-"&amp;TEXT('18U_M_Champ'!B191,"h:mm am/pm")</f>
        <v>18B-108-pt_Group-4:00 PM</v>
      </c>
      <c r="BD37" s="353"/>
      <c r="BE37" s="363" t="str">
        <f>'18U_M_Champ'!L159&amp;"-"&amp;'18U_M_Champ'!N159&amp;"-"&amp;TEXT('18U_M_Champ'!B159,"h:mm am/pm")</f>
        <v>18B-106-au_Group-4:00 PM</v>
      </c>
      <c r="BF37" s="363" t="str">
        <f>'18U_M_Champ'!L175&amp;"-"&amp;'18U_M_Champ'!N175&amp;"-"&amp;TEXT('18U_M_Champ'!B175,"h:mm am/pm")</f>
        <v>18B-107-au_Group-4:00 PM</v>
      </c>
    </row>
    <row r="38" spans="1:59">
      <c r="A38" s="353">
        <v>0.63888888888888895</v>
      </c>
      <c r="B38" s="55" t="str">
        <f>'10U_M_Champ_35'!L142&amp;"-"&amp;'10U_M_Champ_35'!O142&amp;"-"&amp;TEXT('10U_M_Champ_35'!B142,"h:mm am/pm")</f>
        <v>10B-077-au_W/L-3:20 PM</v>
      </c>
      <c r="C38" s="55" t="str">
        <f>'10U_M_Champ_35'!L98&amp;"-"&amp;'10U_M_Champ_35'!O98&amp;"-"&amp;TEXT('10U_M_Champ_35'!B98,"h:mm am/pm")</f>
        <v>10B-078-pt_Group-3:20 PM</v>
      </c>
      <c r="D38" s="55" t="str">
        <f>'10U_M_Champ_35'!L117&amp;"-"&amp;'10U_M_Champ_35'!O117&amp;"-"&amp;TEXT('10U_M_Champ_35'!B117,"h:mm am/pm")</f>
        <v>10B-079-pt_Group-3:20 PM</v>
      </c>
      <c r="F38" s="354" t="str">
        <f>'12U_M_Classic_53'!L218&amp;"-"&amp;'12U_M_Classic_53'!N218&amp;"-"&amp;TEXT('12U_M_Classic_53'!B218,"h:mm am/pm")</f>
        <v>12BX-094-bz_1st/2ndP-3:20 PM</v>
      </c>
      <c r="H38" s="354" t="str">
        <f>'12U_M_Classic_53'!L201&amp;"-"&amp;'12U_M_Classic_53'!N201&amp;"-"&amp;TEXT('12U_M_Classic_53'!B201,"h:mm am/pm")</f>
        <v>12BX-97A-bz_3rd/4thR-3:20 PM</v>
      </c>
      <c r="I38" s="353">
        <v>0.63888888888888895</v>
      </c>
      <c r="J38" s="354" t="str">
        <f>'12U_M_Classic_53'!L169&amp;"-"&amp;'12U_M_Classic_53'!N169&amp;"-"&amp;TEXT('12U_M_Classic_53'!B169,"h:mm am/pm")</f>
        <v>12BX-095-ag_Group-3:20 PM</v>
      </c>
      <c r="K38" s="353">
        <v>0.63888888888888895</v>
      </c>
      <c r="L38" s="56" t="str">
        <f>'12U_M_Champ'!L128&amp;"-"&amp;'12U_M_Champ'!N128&amp;"-"&amp;TEXT('12U_M_Champ'!B128,"h:mm am/pm")</f>
        <v>12B-101-pt_Group-3:20 PM</v>
      </c>
      <c r="M38" s="354" t="str">
        <f>'12U_M_Classic_53'!L184&amp;"-"&amp;'12U_M_Classic_53'!N184&amp;"-"&amp;TEXT('12U_M_Classic_53'!B184,"h:mm am/pm")</f>
        <v>12BX-096-ag_Group-3:20 PM</v>
      </c>
      <c r="N38" s="56" t="str">
        <f>'12U_M_Champ'!L166&amp;"-"&amp;'12U_M_Champ'!N166&amp;"-"&amp;TEXT('12U_M_Champ'!B166,"h:mm am/pm")</f>
        <v>12B-103-au_Group-3:20 PM</v>
      </c>
      <c r="O38" s="56" t="str">
        <f>'12U_M_Champ'!L185&amp;"-"&amp;'12U_M_Champ'!N185&amp;"-"&amp;TEXT('12U_M_Champ'!B185,"h:mm am/pm")</f>
        <v>12B-104-au_Group-3:20 PM</v>
      </c>
      <c r="P38" s="353">
        <v>0.63888888888888895</v>
      </c>
      <c r="Q38" s="355" t="str">
        <f>'14U_M_Champ'!L128&amp;"-"&amp;'14U_M_Champ'!N128&amp;"-"&amp;TEXT('14U_M_Champ'!B128,"h:mm am/pm")</f>
        <v>14B-101-pt_Group-3:20 PM</v>
      </c>
      <c r="R38" s="355" t="str">
        <f>'14U_M_Champ'!L147&amp;"-"&amp;'14U_M_Champ'!N147&amp;"-"&amp;TEXT('14U_M_Champ'!B147,"h:mm am/pm")</f>
        <v>14B-102-pt_Group-3:20 PM</v>
      </c>
      <c r="S38" s="355" t="str">
        <f>'14U_M_Champ'!L166&amp;"-"&amp;'14U_M_Champ'!N166&amp;"-"&amp;TEXT('14U_M_Champ'!B166,"h:mm am/pm")</f>
        <v>14B-103-au_Group-3:20 PM</v>
      </c>
      <c r="T38" s="355" t="str">
        <f>'14U_M_Champ'!L185&amp;"-"&amp;'14U_M_Champ'!N185&amp;"-"&amp;TEXT('14U_M_Champ'!B185,"h:mm am/pm")</f>
        <v>14B-104-au_Group-3:20 PM</v>
      </c>
      <c r="U38" s="56" t="str">
        <f>'12U_M_Champ'!L147&amp;"-"&amp;'12U_M_Champ'!N147&amp;"-"&amp;TEXT('12U_M_Champ'!B147,"h:mm am/pm")</f>
        <v>12B-102-pt_Group-3:20 PM</v>
      </c>
      <c r="V38" s="356" t="str">
        <f>'14U_M_Invite_36'!L119&amp;"-"&amp;'14U_M_Invite_36'!O119&amp;"-"&amp;TEXT('14U_M_Invite_36'!B119,"h:mm am/pm")</f>
        <v>14BQ-079-ni_Group-3:20 PM</v>
      </c>
      <c r="W38" s="356" t="str">
        <f>'14U_M_Invite_36'!L144&amp;"-"&amp;'14U_M_Invite_36'!O144&amp;"-"&amp;TEXT('14U_M_Invite_36'!B144,"h:mm am/pm")</f>
        <v>14BQ-083-cu_Group-3:20 PM</v>
      </c>
      <c r="X38" s="353">
        <v>0.63888888888888895</v>
      </c>
      <c r="Y38" s="358" t="str">
        <f>'14U_M_Classic'!L197&amp;"-"&amp;'14U_M_Classic'!C197&amp;"-"&amp;TEXT('14U_M_Classic'!B197,"h:mm am/pm")</f>
        <v>14BX-104-Group-3:20 PM</v>
      </c>
      <c r="Z38" s="49"/>
      <c r="AA38" s="358" t="str">
        <f>'14U_M_Classic'!L175&amp;"-"&amp;'14U_M_Classic'!C175&amp;"-"&amp;TEXT('14U_M_Classic'!B175,"h:mm am/pm")</f>
        <v>14BX-103-Group-3:20 PM</v>
      </c>
      <c r="AB38" s="49"/>
      <c r="AC38" s="358" t="str">
        <f>'14U_M_Classic'!L134&amp;"-"&amp;'14U_M_Classic'!C134&amp;"-"&amp;TEXT('14U_M_Classic'!B134,"h:mm am/pm")</f>
        <v>14BX-101-Group-3:20 PM</v>
      </c>
      <c r="AD38" s="49"/>
      <c r="AE38" s="360" t="str">
        <f>'16U_M_Classic'!L128&amp;"-"&amp;'16U_M_Classic'!O128&amp;"-"&amp;TEXT('16U_M_Classic'!B128,"h:mm am/pm")</f>
        <v>16BX-101-ag_Group-3:20 PM</v>
      </c>
      <c r="AF38" s="361" t="str">
        <f>'18U_M_INVITE_NEW_23'!L82&amp;"-"&amp;'18U_M_INVITE_NEW_23'!N82&amp;"-"&amp;TEXT('18U_M_INVITE_NEW_23'!B82,"h:mm am/pm")</f>
        <v>18BQ-049-ni_Group-3:20 PM</v>
      </c>
      <c r="AG38" s="357" t="str">
        <f>'16U_M_Invite'!L136&amp;"-"&amp;'16U_M_Invite'!O136&amp;"-"&amp;TEXT('16U_M_Invite'!B136,"h:mm am/pm")</f>
        <v>16BQ-101-ni_Group-3:20 PM</v>
      </c>
      <c r="AH38" s="359" t="str">
        <f>'18U_M_Classic'!L147&amp;"-"&amp;'18U_M_Classic'!O147&amp;"-"&amp;TEXT('18U_M_Classic'!B147,"h:mm am/pm")</f>
        <v>18BX-102-ag_Group-3:20 PM</v>
      </c>
      <c r="AI38" s="359" t="str">
        <f>'18U_M_Classic'!L166&amp;"-"&amp;'18U_M_Classic'!O166&amp;"-"&amp;TEXT('18U_M_Classic'!B166,"h:mm am/pm")</f>
        <v>18BX-103-bz_Group-3:20 PM</v>
      </c>
      <c r="AJ38" s="359" t="str">
        <f>'18U_M_Classic'!L128&amp;"-"&amp;'18U_M_Classic'!O128&amp;"-"&amp;TEXT('18U_M_Classic'!B128,"h:mm am/pm")</f>
        <v>18BX-101-ag_Group-3:20 PM</v>
      </c>
      <c r="AK38" s="357" t="str">
        <f>'16U_M_Invite'!L174&amp;"-"&amp;'16U_M_Invite'!O174&amp;"-"&amp;TEXT('16U_M_Invite'!B174,"h:mm am/pm")</f>
        <v>16BQ-103-cu_Group-3:20 PM</v>
      </c>
      <c r="AL38" s="357" t="str">
        <f>'16U_M_Invite'!L193&amp;"-"&amp;'16U_M_Invite'!O193&amp;"-"&amp;TEXT('16U_M_Invite'!B193,"h:mm am/pm")</f>
        <v>16BQ-104-cu_Group-3:20 PM</v>
      </c>
      <c r="AM38" s="358" t="str">
        <f>'14U_M_Classic'!L156&amp;"-"&amp;'14U_M_Classic'!C156&amp;"-"&amp;TEXT('14U_M_Classic'!B156,"h:mm am/pm")</f>
        <v>14BX-102-Group-3:20 PM</v>
      </c>
      <c r="AN38" s="360" t="str">
        <f>'16U_M_Classic'!L147&amp;"-"&amp;'16U_M_Classic'!O147&amp;"-"&amp;TEXT('16U_M_Classic'!B147,"h:mm am/pm")</f>
        <v>16BX-102-ag_Group-3:20 PM</v>
      </c>
      <c r="AO38" s="357" t="str">
        <f>'16U_M_Invite'!L155&amp;"-"&amp;'16U_M_Invite'!O155&amp;"-"&amp;TEXT('16U_M_Invite'!B155,"h:mm am/pm")</f>
        <v>16BQ-102-ni_Group-3:20 PM</v>
      </c>
      <c r="AP38" s="360" t="str">
        <f>'16U_M_Classic'!L185&amp;"-"&amp;'16U_M_Classic'!O185&amp;"-"&amp;TEXT('16U_M_Classic'!B185,"h:mm am/pm")</f>
        <v>16BX-104-bz_Group-3:20 PM</v>
      </c>
      <c r="AQ38" s="360" t="str">
        <f>'16U_M_Classic'!L166&amp;"-"&amp;'16U_M_Classic'!O166&amp;"-"&amp;TEXT('16U_M_Classic'!B166,"h:mm am/pm")</f>
        <v>16BX-103-bz_Group-3:20 PM</v>
      </c>
      <c r="AR38" s="356" t="str">
        <f>'14U_M_Invite_36'!L100&amp;"-"&amp;'14U_M_Invite_36'!O100&amp;"-"&amp;TEXT('14U_M_Invite_36'!B100,"h:mm am/pm")</f>
        <v>14BQ-078-ni_Group-3:20 PM</v>
      </c>
      <c r="AS38" s="359" t="str">
        <f>'18U_M_Classic'!L185&amp;"-"&amp;'18U_M_Classic'!O185&amp;"-"&amp;TEXT('18U_M_Classic'!B185,"h:mm am/pm")</f>
        <v>18BX-104-bz_Group-3:20 PM</v>
      </c>
      <c r="AT38" s="361" t="str">
        <f>'18U_M_INVITE_NEW_23'!L97&amp;"-"&amp;'18U_M_INVITE_NEW_23'!N97&amp;"-"&amp;TEXT('18U_M_INVITE_NEW_23'!B97,"h:mm am/pm")</f>
        <v>18BQ-050-cu_Group-3:20 PM</v>
      </c>
      <c r="AU38" s="353">
        <v>0.63888888888888895</v>
      </c>
      <c r="AV38" s="362" t="str">
        <f>'16U_M_Champ'!L128&amp;"-"&amp;'16U_M_Champ'!O128&amp;"-"&amp;TEXT('16U_M_Champ'!B128,"h:mm am/pm")</f>
        <v>16B-101-pt_Group-3:20 PM</v>
      </c>
      <c r="AW38" s="362" t="str">
        <f>'16U_M_Champ'!L147&amp;"-"&amp;'16U_M_Champ'!O147&amp;"-"&amp;TEXT('16U_M_Champ'!B147,"h:mm am/pm")</f>
        <v>16B-102-pt_Group-3:20 PM</v>
      </c>
      <c r="AX38" s="362" t="str">
        <f>'16U_M_Champ'!L166&amp;"-"&amp;'16U_M_Champ'!O166&amp;"-"&amp;TEXT('16U_M_Champ'!B166,"h:mm am/pm")</f>
        <v>16B-103-au_Group-3:20 PM</v>
      </c>
      <c r="AY38" s="362" t="str">
        <f>'16U_M_Champ'!L185&amp;"-"&amp;'16U_M_Champ'!O185&amp;"-"&amp;TEXT('16U_M_Champ'!B185,"h:mm am/pm")</f>
        <v>16B-104-au_Group-3:20 PM</v>
      </c>
      <c r="AZ38" s="49"/>
      <c r="BA38" s="353">
        <v>0.70833333333333304</v>
      </c>
      <c r="BB38" s="353"/>
      <c r="BD38" s="353"/>
    </row>
    <row r="39" spans="1:59">
      <c r="A39" s="353">
        <v>0.67361111111111105</v>
      </c>
      <c r="B39" s="55" t="str">
        <f>'10U_M_Champ_35'!L143&amp;"-"&amp;'10U_M_Champ_35'!O143&amp;"-"&amp;TEXT('10U_M_Champ_35'!B143,"h:mm am/pm")</f>
        <v>10B-080-au_W/L-4:10 PM</v>
      </c>
      <c r="C39" s="55" t="str">
        <f>'10U_M_Champ_35'!L99&amp;"-"&amp;'10U_M_Champ_35'!O99&amp;"-"&amp;TEXT('10U_M_Champ_35'!B99,"h:mm am/pm")</f>
        <v>10B-081-pt_Group-4:10 PM</v>
      </c>
      <c r="D39" s="55" t="str">
        <f>'10U_M_Champ_35'!L118&amp;"-"&amp;'10U_M_Champ_35'!O118&amp;"-"&amp;TEXT('10U_M_Champ_35'!B118,"h:mm am/pm")</f>
        <v>10B-082-pt_Group-4:10 PM</v>
      </c>
      <c r="F39" s="354" t="str">
        <f>'12U_M_Classic_53'!L219&amp;"-"&amp;'12U_M_Classic_53'!N219&amp;"-"&amp;TEXT('12U_M_Classic_53'!B219,"h:mm am/pm")</f>
        <v>12BX-110-bz_3rd/4thP-4:10 PM</v>
      </c>
      <c r="H39" s="354" t="str">
        <f>'12U_M_Classic_53'!L202&amp;"-"&amp;'12U_M_Classic_53'!N202&amp;"-"&amp;TEXT('12U_M_Classic_53'!B202,"h:mm am/pm")</f>
        <v>12BX-101-bz_Group-4:10 PM</v>
      </c>
      <c r="I39" s="353">
        <v>0.67361111111111105</v>
      </c>
      <c r="J39" s="354" t="str">
        <f>'12U_M_Classic_53'!L170&amp;"-"&amp;'12U_M_Classic_53'!N170&amp;"-"&amp;TEXT('12U_M_Classic_53'!B170,"h:mm am/pm")</f>
        <v>12BX-099-ag_Group-4:10 PM</v>
      </c>
      <c r="K39" s="353">
        <v>0.67361111111111105</v>
      </c>
      <c r="L39" s="56" t="str">
        <f>'12U_M_Champ'!L129&amp;"-"&amp;'12U_M_Champ'!N129&amp;"-"&amp;TEXT('12U_M_Champ'!B129,"h:mm am/pm")</f>
        <v>12B-105-pt_Group-4:10 PM</v>
      </c>
      <c r="M39" s="354" t="str">
        <f>'12U_M_Classic_53'!L185&amp;"-"&amp;'12U_M_Classic_53'!N185&amp;"-"&amp;TEXT('12U_M_Classic_53'!B185,"h:mm am/pm")</f>
        <v>12BX-100-ag_Group-4:10 PM</v>
      </c>
      <c r="N39" s="56" t="str">
        <f>'12U_M_Champ'!L167&amp;"-"&amp;'12U_M_Champ'!N167&amp;"-"&amp;TEXT('12U_M_Champ'!B167,"h:mm am/pm")</f>
        <v>12B-107-au_Group-4:10 PM</v>
      </c>
      <c r="O39" s="56" t="str">
        <f>'12U_M_Champ'!L186&amp;"-"&amp;'12U_M_Champ'!N186&amp;"-"&amp;TEXT('12U_M_Champ'!B186,"h:mm am/pm")</f>
        <v>12B-108-au_Group-4:10 PM</v>
      </c>
      <c r="P39" s="353">
        <v>0.67361111111111105</v>
      </c>
      <c r="Q39" s="355" t="str">
        <f>'14U_M_Champ'!L129&amp;"-"&amp;'14U_M_Champ'!N129&amp;"-"&amp;TEXT('14U_M_Champ'!B129,"h:mm am/pm")</f>
        <v>14B-105-pt_Group-4:10 PM</v>
      </c>
      <c r="R39" s="355" t="str">
        <f>'14U_M_Champ'!L148&amp;"-"&amp;'14U_M_Champ'!N148&amp;"-"&amp;TEXT('14U_M_Champ'!B148,"h:mm am/pm")</f>
        <v>14B-106-pt_Group-4:10 PM</v>
      </c>
      <c r="S39" s="355" t="str">
        <f>'14U_M_Champ'!L167&amp;"-"&amp;'14U_M_Champ'!N167&amp;"-"&amp;TEXT('14U_M_Champ'!B167,"h:mm am/pm")</f>
        <v>14B-107-au_Group-4:10 PM</v>
      </c>
      <c r="T39" s="355" t="str">
        <f>'14U_M_Champ'!L186&amp;"-"&amp;'14U_M_Champ'!N186&amp;"-"&amp;TEXT('14U_M_Champ'!B186,"h:mm am/pm")</f>
        <v>14B-108-au_Group-4:10 PM</v>
      </c>
      <c r="U39" s="56" t="str">
        <f>'12U_M_Champ'!L148&amp;"-"&amp;'12U_M_Champ'!N148&amp;"-"&amp;TEXT('12U_M_Champ'!B148,"h:mm am/pm")</f>
        <v>12B-106-pt_Group-4:10 PM</v>
      </c>
      <c r="V39" s="356" t="str">
        <f>'14U_M_Invite_36'!L120&amp;"-"&amp;'14U_M_Invite_36'!O120&amp;"-"&amp;TEXT('14U_M_Invite_36'!B120,"h:mm am/pm")</f>
        <v>14BQ-082-ni_Group-4:10 PM</v>
      </c>
      <c r="W39" s="356" t="str">
        <f>'14U_M_Invite_36'!L145&amp;"-"&amp;'14U_M_Invite_36'!O145&amp;"-"&amp;TEXT('14U_M_Invite_36'!B145,"h:mm am/pm")</f>
        <v>14BQ-084-cu_Group-4:10 PM</v>
      </c>
      <c r="X39" s="353">
        <v>0.67361111111111105</v>
      </c>
      <c r="Y39" s="358" t="str">
        <f>'14U_M_Classic'!L198&amp;"-"&amp;'14U_M_Classic'!C198&amp;"-"&amp;TEXT('14U_M_Classic'!B198,"h:mm am/pm")</f>
        <v>14BX-108-Group-4:10 PM</v>
      </c>
      <c r="Z39" s="49"/>
      <c r="AA39" s="358" t="str">
        <f>'14U_M_Classic'!L176&amp;"-"&amp;'14U_M_Classic'!C176&amp;"-"&amp;TEXT('14U_M_Classic'!B176,"h:mm am/pm")</f>
        <v>14BX-107-Group-4:10 PM</v>
      </c>
      <c r="AB39" s="49"/>
      <c r="AC39" s="49"/>
      <c r="AD39" s="358" t="str">
        <f>'14U_M_Classic'!L138&amp;"-"&amp;'14U_M_Classic'!C138&amp;"-"&amp;TEXT('14U_M_Classic'!B138,"h:mm am/pm")</f>
        <v>14BX-105-Group-4:10 PM</v>
      </c>
      <c r="AE39" s="360" t="str">
        <f>'16U_M_Classic'!L129&amp;"-"&amp;'16U_M_Classic'!O129&amp;"-"&amp;TEXT('16U_M_Classic'!B129,"h:mm am/pm")</f>
        <v>16BX-105-ag_Group-4:10 PM</v>
      </c>
      <c r="AF39" s="361" t="str">
        <f>'18U_M_INVITE_NEW_23'!L83&amp;"-"&amp;'18U_M_INVITE_NEW_23'!N83&amp;"-"&amp;TEXT('18U_M_INVITE_NEW_23'!B83,"h:mm am/pm")</f>
        <v>18BQ-051-ni_Group-4:10 PM</v>
      </c>
      <c r="AG39" s="357" t="str">
        <f>'16U_M_Invite'!L137&amp;"-"&amp;'16U_M_Invite'!O137&amp;"-"&amp;TEXT('16U_M_Invite'!B137,"h:mm am/pm")</f>
        <v>16BQ-105-ni_Group-4:10 PM</v>
      </c>
      <c r="AH39" s="359" t="str">
        <f>'18U_M_Classic'!L148&amp;"-"&amp;'18U_M_Classic'!O148&amp;"-"&amp;TEXT('18U_M_Classic'!B148,"h:mm am/pm")</f>
        <v>18BX-106-ag_Group-4:10 PM</v>
      </c>
      <c r="AI39" s="359" t="str">
        <f>'18U_M_Classic'!L167&amp;"-"&amp;'18U_M_Classic'!O167&amp;"-"&amp;TEXT('18U_M_Classic'!B167,"h:mm am/pm")</f>
        <v>18BX-107-bz_Group-4:10 PM</v>
      </c>
      <c r="AJ39" s="359" t="str">
        <f>'18U_M_Classic'!L129&amp;"-"&amp;'18U_M_Classic'!O129&amp;"-"&amp;TEXT('18U_M_Classic'!B129,"h:mm am/pm")</f>
        <v>18BX-105-ag_Group-4:10 PM</v>
      </c>
      <c r="AK39" s="357" t="str">
        <f>'16U_M_Invite'!L175&amp;"-"&amp;'16U_M_Invite'!O175&amp;"-"&amp;TEXT('16U_M_Invite'!B175,"h:mm am/pm")</f>
        <v>16BQ-107-cu_Group-4:10 PM</v>
      </c>
      <c r="AL39" s="357" t="str">
        <f>'16U_M_Invite'!L194&amp;"-"&amp;'16U_M_Invite'!O194&amp;"-"&amp;TEXT('16U_M_Invite'!B194,"h:mm am/pm")</f>
        <v>16BQ-108-cu_Group-4:10 PM</v>
      </c>
      <c r="AM39" s="358" t="str">
        <f>'14U_M_Classic'!L157&amp;"-"&amp;'14U_M_Classic'!C157&amp;"-"&amp;TEXT('14U_M_Classic'!B157,"h:mm am/pm")</f>
        <v>14BX-106-Group-4:10 PM</v>
      </c>
      <c r="AN39" s="360" t="str">
        <f>'16U_M_Classic'!L148&amp;"-"&amp;'16U_M_Classic'!O148&amp;"-"&amp;TEXT('16U_M_Classic'!B148,"h:mm am/pm")</f>
        <v>16BX-106-ag_Group-4:10 PM</v>
      </c>
      <c r="AO39" s="357" t="str">
        <f>'16U_M_Invite'!L156&amp;"-"&amp;'16U_M_Invite'!O156&amp;"-"&amp;TEXT('16U_M_Invite'!B156,"h:mm am/pm")</f>
        <v>16BQ-106-ni_Group-4:10 PM</v>
      </c>
      <c r="AP39" s="360" t="str">
        <f>'16U_M_Classic'!L186&amp;"-"&amp;'16U_M_Classic'!O186&amp;"-"&amp;TEXT('16U_M_Classic'!B186,"h:mm am/pm")</f>
        <v>16BX-108-bz_Group-4:10 PM</v>
      </c>
      <c r="AQ39" s="360" t="str">
        <f>'16U_M_Classic'!L167&amp;"-"&amp;'16U_M_Classic'!O167&amp;"-"&amp;TEXT('16U_M_Classic'!B167,"h:mm am/pm")</f>
        <v>16BX-107-bz_Group-4:10 PM</v>
      </c>
      <c r="AR39" s="356" t="str">
        <f>'14U_M_Invite_36'!L101&amp;"-"&amp;'14U_M_Invite_36'!O101&amp;"-"&amp;TEXT('14U_M_Invite_36'!B101,"h:mm am/pm")</f>
        <v>14BQ-081-ni_Group-4:10 PM</v>
      </c>
      <c r="AS39" s="359" t="str">
        <f>'18U_M_Classic'!L186&amp;"-"&amp;'18U_M_Classic'!O186&amp;"-"&amp;TEXT('18U_M_Classic'!B186,"h:mm am/pm")</f>
        <v>18BX-108-bz_Group-4:10 PM</v>
      </c>
      <c r="AU39" s="353">
        <v>0.67361111111111105</v>
      </c>
      <c r="AV39" s="362" t="str">
        <f>'16U_M_Champ'!L129&amp;"-"&amp;'16U_M_Champ'!O129&amp;"-"&amp;TEXT('16U_M_Champ'!B129,"h:mm am/pm")</f>
        <v>16B-105-pt_Group-4:10 PM</v>
      </c>
      <c r="AW39" s="362" t="str">
        <f>'16U_M_Champ'!L148&amp;"-"&amp;'16U_M_Champ'!O148&amp;"-"&amp;TEXT('16U_M_Champ'!B148,"h:mm am/pm")</f>
        <v>16B-106-pt_Group-4:10 PM</v>
      </c>
      <c r="AX39" s="362" t="str">
        <f>'16U_M_Champ'!L167&amp;"-"&amp;'16U_M_Champ'!O167&amp;"-"&amp;TEXT('16U_M_Champ'!B167,"h:mm am/pm")</f>
        <v>16B-107-au_Group-4:10 PM</v>
      </c>
      <c r="AY39" s="362" t="str">
        <f>'16U_M_Champ'!L186&amp;"-"&amp;'16U_M_Champ'!O186&amp;"-"&amp;TEXT('16U_M_Champ'!B186,"h:mm am/pm")</f>
        <v>16B-108-au_Group-4:10 PM</v>
      </c>
      <c r="AZ39" s="49"/>
      <c r="BA39" s="353">
        <v>0.75</v>
      </c>
      <c r="BB39" s="353"/>
      <c r="BD39" s="363" t="str">
        <f>'18U_M_Champ'!L145&amp;"-"&amp;'18U_M_Champ'!N145&amp;"-"&amp;TEXT('18U_M_Champ'!B145,"h:mm am/pm")</f>
        <v>18B-109-pt_Play-in-6:00 PM</v>
      </c>
      <c r="BE39" s="363" t="str">
        <f>'18U_M_Champ'!L161&amp;"-"&amp;'18U_M_Champ'!N161&amp;"-"&amp;TEXT('18U_M_Champ'!B161,"h:mm am/pm")</f>
        <v>18B-110-au_Play-in-6:00 PM</v>
      </c>
      <c r="BF39" s="363" t="str">
        <f>'18U_M_Champ'!L177&amp;"-"&amp;'18U_M_Champ'!N177&amp;"-"&amp;TEXT('18U_M_Champ'!B177,"h:mm am/pm")</f>
        <v>18B-111-au_Play-in-6:00 PM</v>
      </c>
    </row>
    <row r="40" spans="1:59">
      <c r="A40" s="353">
        <v>0.70833333333333404</v>
      </c>
      <c r="B40" s="55" t="str">
        <f>'10U_M_Champ_35'!L144&amp;"-"&amp;'10U_M_Champ_35'!O144&amp;"-"&amp;TEXT('10U_M_Champ_35'!B144,"h:mm am/pm")</f>
        <v>10B-083-au_Group-5:00 PM</v>
      </c>
      <c r="F40" s="354" t="str">
        <f>'12U_M_Classic_53'!L220&amp;"-"&amp;'12U_M_Classic_53'!N220&amp;"-"&amp;TEXT('12U_M_Classic_53'!B220,"h:mm am/pm")</f>
        <v>12BX-098-bz_1st/2ndT-5:00 PM</v>
      </c>
      <c r="H40" s="354" t="str">
        <f>'12U_M_Classic_53'!L203&amp;"-"&amp;'12U_M_Classic_53'!N203&amp;"-"&amp;TEXT('12U_M_Classic_53'!B203,"h:mm am/pm")</f>
        <v>12BX-105-bz_Group-5:00 PM</v>
      </c>
      <c r="I40" s="353">
        <v>0.70833333333333404</v>
      </c>
      <c r="J40" s="354" t="str">
        <f>'12U_M_Classic_53'!L171&amp;"-"&amp;'12U_M_Classic_53'!N171&amp;"-"&amp;TEXT('12U_M_Classic_53'!B171,"h:mm am/pm")</f>
        <v>12BX-103-ag_Group-5:00 PM</v>
      </c>
      <c r="K40" s="353">
        <v>0.70833333333333404</v>
      </c>
      <c r="M40" s="354" t="str">
        <f>'12U_M_Classic_53'!L186&amp;"-"&amp;'12U_M_Classic_53'!N186&amp;"-"&amp;TEXT('12U_M_Classic_53'!B186,"h:mm am/pm")</f>
        <v>12BX-104-ag_Group-5:00 PM</v>
      </c>
      <c r="P40" s="353">
        <v>0.70833333333333404</v>
      </c>
      <c r="X40" s="353">
        <v>0.70833333333333404</v>
      </c>
      <c r="Z40" s="49"/>
      <c r="AB40" s="49"/>
      <c r="AC40" s="49"/>
      <c r="AU40" s="353">
        <v>0.70833333333333404</v>
      </c>
      <c r="AZ40" s="49"/>
      <c r="BA40" s="353">
        <v>0.79166666666666696</v>
      </c>
      <c r="BC40" s="363" t="str">
        <f>'18U_M_Champ'!L194&amp;"-"&amp;'18U_M_Champ'!N194&amp;"-"&amp;TEXT('18U_M_Champ'!B194,"h:mm am/pm")</f>
        <v>18B-112-pt_Play-in-7:00 PM</v>
      </c>
      <c r="BD40" s="363" t="str">
        <f>'18U_M_Champ'!L146&amp;"-"&amp;'18U_M_Champ'!N146&amp;"-"&amp;TEXT('18U_M_Champ'!B146,"h:mm am/pm")</f>
        <v>18B-113-pt_Play-in-7:00 PM</v>
      </c>
      <c r="BE40" s="363" t="str">
        <f>'18U_M_Champ'!L162&amp;"-"&amp;'18U_M_Champ'!N162&amp;"-"&amp;TEXT('18U_M_Champ'!B162,"h:mm am/pm")</f>
        <v>18B-114-au_Play-in-7:00 PM</v>
      </c>
      <c r="BF40" s="363" t="str">
        <f>'18U_M_Champ'!L178&amp;"-"&amp;'18U_M_Champ'!N178&amp;"-"&amp;TEXT('18U_M_Champ'!B178,"h:mm am/pm")</f>
        <v>18B-115-au_Play-in-7:00 PM</v>
      </c>
    </row>
    <row r="41" spans="1:59">
      <c r="A41" s="353">
        <v>0.74305555555555602</v>
      </c>
      <c r="B41" s="55" t="str">
        <f>'10U_M_Champ_35'!L145&amp;"-"&amp;'10U_M_Champ_35'!O145&amp;"-"&amp;TEXT('10U_M_Champ_35'!B145,"h:mm am/pm")</f>
        <v>10B-084-au_W/L-5:50 PM</v>
      </c>
      <c r="F41" s="354" t="str">
        <f>'12U_M_Classic_53'!L221&amp;"-"&amp;'12U_M_Classic_53'!N221&amp;"-"&amp;TEXT('12U_M_Classic_53'!B221,"h:mm am/pm")</f>
        <v>12BX-102-bz_Group-5:50 PM</v>
      </c>
      <c r="H41" s="354" t="str">
        <f>'12U_M_Classic_53'!L204&amp;"-"&amp;'12U_M_Classic_53'!N204&amp;"-"&amp;TEXT('12U_M_Classic_53'!B204,"h:mm am/pm")</f>
        <v>12BX-111-bz_3rd/4thS-5:50 PM</v>
      </c>
      <c r="I41" s="353">
        <v>0.74305555555555602</v>
      </c>
      <c r="J41" s="354" t="str">
        <f>'12U_M_Classic_53'!L172&amp;"-"&amp;'12U_M_Classic_53'!N172&amp;"-"&amp;TEXT('12U_M_Classic_53'!B172,"h:mm am/pm")</f>
        <v>12BX-107-ag_Group-5:50 PM</v>
      </c>
      <c r="K41" s="353">
        <v>0.74305555555555602</v>
      </c>
      <c r="M41" s="354" t="str">
        <f>'12U_M_Classic_53'!L187&amp;"-"&amp;'12U_M_Classic_53'!N187&amp;"-"&amp;TEXT('12U_M_Classic_53'!B187,"h:mm am/pm")</f>
        <v>12BX-108-ag_Group-5:50 PM</v>
      </c>
      <c r="P41" s="353">
        <v>0.74305555555555602</v>
      </c>
      <c r="X41" s="353">
        <v>0.74305555555555602</v>
      </c>
      <c r="Z41" s="49"/>
      <c r="AB41" s="49"/>
      <c r="AC41" s="49"/>
      <c r="AU41" s="353">
        <v>0.74305555555555602</v>
      </c>
      <c r="AZ41" s="49"/>
      <c r="BA41" s="353">
        <v>0.83333333333333304</v>
      </c>
      <c r="BC41" s="363" t="str">
        <f>'18U_M_Champ'!L195&amp;"-"&amp;'18U_M_Champ'!N195&amp;"-"&amp;TEXT('18U_M_Champ'!B195,"h:mm am/pm")</f>
        <v>18B-116-pt_Play-in-8:00 PM</v>
      </c>
      <c r="BD41" s="353"/>
    </row>
    <row r="42" spans="1:59">
      <c r="A42" s="353">
        <v>0.77777777777777801</v>
      </c>
      <c r="C42" s="55" t="str">
        <f>'10U_M_Champ_35'!L102&amp;"-"&amp;'10U_M_Champ_35'!O102&amp;"-"&amp;TEXT('10U_M_Champ_35'!B102,"h:mm am/pm")</f>
        <v>10B-085-pt_Play-in-6:40 PM</v>
      </c>
      <c r="D42" s="55" t="str">
        <f>'10U_M_Champ_35'!L121&amp;"-"&amp;'10U_M_Champ_35'!O121&amp;"-"&amp;TEXT('10U_M_Champ_35'!B121,"h:mm am/pm")</f>
        <v>10B-086-pt_Play-in-6:40 PM</v>
      </c>
      <c r="F42" s="354" t="str">
        <f>'12U_M_Classic_53'!L222&amp;"-"&amp;'12U_M_Classic_53'!N222&amp;"-"&amp;TEXT('12U_M_Classic_53'!B222,"h:mm am/pm")</f>
        <v>12BX-112-bz_3rd/4thT-6:40 PM</v>
      </c>
      <c r="I42" s="353">
        <v>0.77777777777777801</v>
      </c>
      <c r="K42" s="353">
        <v>0.77777777777777801</v>
      </c>
      <c r="L42" s="56" t="str">
        <f>'12U_M_Champ'!L132&amp;"-"&amp;'12U_M_Champ'!N132&amp;"-"&amp;TEXT('12U_M_Champ'!B132,"h:mm am/pm")</f>
        <v>12B-109-pt_Play-in-6:40 PM</v>
      </c>
      <c r="N42" s="56" t="str">
        <f>'12U_M_Champ'!L170&amp;"-"&amp;'12U_M_Champ'!N170&amp;"-"&amp;TEXT('12U_M_Champ'!B170,"h:mm am/pm")</f>
        <v>12B-111-au_Play-in-6:40 PM</v>
      </c>
      <c r="O42" s="56" t="str">
        <f>'12U_M_Champ'!L189&amp;"-"&amp;'12U_M_Champ'!N189&amp;"-"&amp;TEXT('12U_M_Champ'!B189,"h:mm am/pm")</f>
        <v>12B-112-au_Play-in-6:40 PM</v>
      </c>
      <c r="P42" s="353">
        <v>0.77777777777777801</v>
      </c>
      <c r="Q42" s="355" t="str">
        <f>'14U_M_Champ'!L132&amp;"-"&amp;'14U_M_Champ'!N132&amp;"-"&amp;TEXT('14U_M_Champ'!B132,"h:mm am/pm")</f>
        <v>14B-109-pt_Play-in-6:40 PM</v>
      </c>
      <c r="R42" s="355" t="str">
        <f>'14U_M_Champ'!L151&amp;"-"&amp;'14U_M_Champ'!N151&amp;"-"&amp;TEXT('14U_M_Champ'!B151,"h:mm am/pm")</f>
        <v>14B-110-pt_Play-in-6:40 PM</v>
      </c>
      <c r="S42" s="355" t="str">
        <f>'14U_M_Champ'!L170&amp;"-"&amp;'14U_M_Champ'!N170&amp;"-"&amp;TEXT('14U_M_Champ'!B170,"h:mm am/pm")</f>
        <v>14B-111-au_Play-in-6:40 PM</v>
      </c>
      <c r="T42" s="355" t="str">
        <f>'14U_M_Champ'!L189&amp;"-"&amp;'14U_M_Champ'!N189&amp;"-"&amp;TEXT('14U_M_Champ'!B189,"h:mm am/pm")</f>
        <v>14B-112-au_Play-in-6:40 PM</v>
      </c>
      <c r="U42" s="56" t="str">
        <f>'12U_M_Champ'!L151&amp;"-"&amp;'12U_M_Champ'!N151&amp;"-"&amp;TEXT('12U_M_Champ'!B151,"h:mm am/pm")</f>
        <v>12B-110-pt_Play-in-6:40 PM</v>
      </c>
      <c r="V42" s="356" t="str">
        <f>'14U_M_Invite_36'!L123&amp;"-"&amp;'14U_M_Invite_36'!O123&amp;"-"&amp;TEXT('14U_M_Invite_36'!B123,"h:mm am/pm")</f>
        <v>14BQ-086-ni_Play-in-6:40 PM</v>
      </c>
      <c r="X42" s="353">
        <v>0.77777777777777801</v>
      </c>
      <c r="Y42" s="358" t="str">
        <f>'14U_M_Classic'!L201&amp;"-"&amp;'14U_M_Classic'!C201&amp;"-"&amp;TEXT('14U_M_Classic'!B201,"h:mm am/pm")</f>
        <v>14BX-112-Play-in-6:40 PM</v>
      </c>
      <c r="Z42" s="49"/>
      <c r="AA42" s="358" t="str">
        <f>'14U_M_Classic'!L179&amp;"-"&amp;'14U_M_Classic'!C179&amp;"-"&amp;TEXT('14U_M_Classic'!B179,"h:mm am/pm")</f>
        <v>14BX-111-Play-in-6:40 PM</v>
      </c>
      <c r="AB42" s="49"/>
      <c r="AC42" s="49"/>
      <c r="AD42" s="358" t="str">
        <f>'14U_M_Classic'!L141&amp;"-"&amp;'14U_M_Classic'!C141&amp;"-"&amp;TEXT('14U_M_Classic'!B141,"h:mm am/pm")</f>
        <v>14BX-109-Play-in-6:40 PM</v>
      </c>
      <c r="AE42" s="360" t="str">
        <f>'16U_M_Classic'!L132&amp;"-"&amp;'16U_M_Classic'!O132&amp;"-"&amp;TEXT('16U_M_Classic'!B132,"h:mm am/pm")</f>
        <v>16BX-109-ag_Play-in-6:40 PM</v>
      </c>
      <c r="AG42" s="357" t="str">
        <f>'16U_M_Invite'!L140&amp;"-"&amp;'16U_M_Invite'!O140&amp;"-"&amp;TEXT('16U_M_Invite'!B140,"h:mm am/pm")</f>
        <v>16BQ-109-ni_Play-in-6:40 PM</v>
      </c>
      <c r="AH42" s="359" t="str">
        <f>'18U_M_Classic'!L151&amp;"-"&amp;'18U_M_Classic'!O151&amp;"-"&amp;TEXT('18U_M_Classic'!B151,"h:mm am/pm")</f>
        <v>18BX-110-ag_Play-in-6:40 PM</v>
      </c>
      <c r="AI42" s="359" t="str">
        <f>'18U_M_Classic'!L170&amp;"-"&amp;'18U_M_Classic'!O170&amp;"-"&amp;TEXT('18U_M_Classic'!B170,"h:mm am/pm")</f>
        <v>18BX-111-bz_Play-in-6:40 PM</v>
      </c>
      <c r="AJ42" s="359" t="str">
        <f>'18U_M_Classic'!L132&amp;"-"&amp;'18U_M_Classic'!O132&amp;"-"&amp;TEXT('18U_M_Classic'!B132,"h:mm am/pm")</f>
        <v>18BX-109-ag_Play-in-6:40 PM</v>
      </c>
      <c r="AK42" s="357" t="str">
        <f>'16U_M_Invite'!L178&amp;"-"&amp;'16U_M_Invite'!O178&amp;"-"&amp;TEXT('16U_M_Invite'!B178,"h:mm am/pm")</f>
        <v>16BQ-111-cu_Play-in-6:40 PM</v>
      </c>
      <c r="AL42" s="357" t="str">
        <f>'16U_M_Invite'!L197&amp;"-"&amp;'16U_M_Invite'!O197&amp;"-"&amp;TEXT('16U_M_Invite'!B197,"h:mm am/pm")</f>
        <v>16BQ-112-cu_Play-in-6:40 PM</v>
      </c>
      <c r="AM42" s="358" t="str">
        <f>'14U_M_Classic'!L160&amp;"-"&amp;'14U_M_Classic'!C160&amp;"-"&amp;TEXT('14U_M_Classic'!B160,"h:mm am/pm")</f>
        <v>14BX-110-Play-in-6:40 PM</v>
      </c>
      <c r="AN42" s="360" t="str">
        <f>'16U_M_Classic'!L151&amp;"-"&amp;'16U_M_Classic'!O151&amp;"-"&amp;TEXT('16U_M_Classic'!B151,"h:mm am/pm")</f>
        <v>16BX-110-ag_Play-in-6:40 PM</v>
      </c>
      <c r="AO42" s="357" t="str">
        <f>'16U_M_Invite'!L159&amp;"-"&amp;'16U_M_Invite'!O159&amp;"-"&amp;TEXT('16U_M_Invite'!B159,"h:mm am/pm")</f>
        <v>16BQ-110-ni_Play-in-6:40 PM</v>
      </c>
      <c r="AP42" s="360" t="str">
        <f>'16U_M_Classic'!L189&amp;"-"&amp;'16U_M_Classic'!O189&amp;"-"&amp;TEXT('16U_M_Classic'!B189,"h:mm am/pm")</f>
        <v>16BX-112-bz_Play-in-6:40 PM</v>
      </c>
      <c r="AQ42" s="360" t="str">
        <f>'16U_M_Classic'!L170&amp;"-"&amp;'16U_M_Classic'!O170&amp;"-"&amp;TEXT('16U_M_Classic'!B170,"h:mm am/pm")</f>
        <v>16BX-111-bz_Play-in-6:40 PM</v>
      </c>
      <c r="AR42" s="356" t="str">
        <f>'14U_M_Invite_36'!L104&amp;"-"&amp;'14U_M_Invite_36'!O104&amp;"-"&amp;TEXT('14U_M_Invite_36'!B104,"h:mm am/pm")</f>
        <v>14BQ-085-ni_Play-in-6:40 PM</v>
      </c>
      <c r="AS42" s="359" t="str">
        <f>'18U_M_Classic'!L189&amp;"-"&amp;'18U_M_Classic'!O189&amp;"-"&amp;TEXT('18U_M_Classic'!B189,"h:mm am/pm")</f>
        <v>18BX-112-bz_Play-in-6:40 PM</v>
      </c>
      <c r="AU42" s="353">
        <v>0.77777777777777801</v>
      </c>
      <c r="AV42" s="362" t="str">
        <f>'16U_M_Champ'!L132&amp;"-"&amp;'16U_M_Champ'!O132&amp;"-"&amp;TEXT('16U_M_Champ'!B132,"h:mm am/pm")</f>
        <v>16B-109-pt_Play-in-6:40 PM</v>
      </c>
      <c r="AW42" s="362" t="str">
        <f>'16U_M_Champ'!L151&amp;"-"&amp;'16U_M_Champ'!O151&amp;"-"&amp;TEXT('16U_M_Champ'!B151,"h:mm am/pm")</f>
        <v>16B-110-pt_Play-in-6:40 PM</v>
      </c>
      <c r="AX42" s="362" t="str">
        <f>'16U_M_Champ'!L170&amp;"-"&amp;'16U_M_Champ'!O170&amp;"-"&amp;TEXT('16U_M_Champ'!B170,"h:mm am/pm")</f>
        <v>16B-111-au_Play-in-6:40 PM</v>
      </c>
      <c r="AY42" s="362" t="str">
        <f>'16U_M_Champ'!L189&amp;"-"&amp;'16U_M_Champ'!O189&amp;"-"&amp;TEXT('16U_M_Champ'!B189,"h:mm am/pm")</f>
        <v>16B-112-au_Play-in-6:40 PM</v>
      </c>
      <c r="AZ42" s="49"/>
      <c r="BA42" s="353"/>
      <c r="BD42" s="353"/>
    </row>
    <row r="43" spans="1:59">
      <c r="A43" s="353">
        <v>0.8125</v>
      </c>
      <c r="C43" s="55" t="str">
        <f>'10U_M_Champ_35'!L103&amp;"-"&amp;'10U_M_Champ_35'!O103&amp;"-"&amp;TEXT('10U_M_Champ_35'!B103,"h:mm am/pm")</f>
        <v>10B-087-pt_Play-in-7:30 PM</v>
      </c>
      <c r="D43" s="55" t="str">
        <f>'10U_M_Champ_35'!L122&amp;"-"&amp;'10U_M_Champ_35'!O122&amp;"-"&amp;TEXT('10U_M_Champ_35'!B122,"h:mm am/pm")</f>
        <v>10B-088-pt_Play-in-7:30 PM</v>
      </c>
      <c r="I43" s="353">
        <v>0.8125</v>
      </c>
      <c r="K43" s="353">
        <v>0.8125</v>
      </c>
      <c r="L43" s="56" t="str">
        <f>'12U_M_Champ'!L133&amp;"-"&amp;'12U_M_Champ'!N133&amp;"-"&amp;TEXT('12U_M_Champ'!B133,"h:mm am/pm")</f>
        <v>12B-113-pt_Play-in-7:30 PM</v>
      </c>
      <c r="N43" s="56" t="str">
        <f>'12U_M_Champ'!L171&amp;"-"&amp;'12U_M_Champ'!N171&amp;"-"&amp;TEXT('12U_M_Champ'!B171,"h:mm am/pm")</f>
        <v>12B-115-au_Play-in-7:30 PM</v>
      </c>
      <c r="O43" s="56" t="str">
        <f>'12U_M_Champ'!L190&amp;"-"&amp;'12U_M_Champ'!N190&amp;"-"&amp;TEXT('12U_M_Champ'!B190,"h:mm am/pm")</f>
        <v>12B-116-au_Play-in-7:30 PM</v>
      </c>
      <c r="P43" s="353">
        <v>0.8125</v>
      </c>
      <c r="Q43" s="355" t="str">
        <f>'14U_M_Champ'!L133&amp;"-"&amp;'14U_M_Champ'!N133&amp;"-"&amp;TEXT('14U_M_Champ'!B133,"h:mm am/pm")</f>
        <v>14B-113-pt_Play-in-7:30 PM</v>
      </c>
      <c r="R43" s="355" t="str">
        <f>'14U_M_Champ'!L152&amp;"-"&amp;'14U_M_Champ'!N152&amp;"-"&amp;TEXT('14U_M_Champ'!B152,"h:mm am/pm")</f>
        <v>14B-114-pt_Play-in-7:30 PM</v>
      </c>
      <c r="S43" s="355" t="str">
        <f>'14U_M_Champ'!L171&amp;"-"&amp;'14U_M_Champ'!N171&amp;"-"&amp;TEXT('14U_M_Champ'!B171,"h:mm am/pm")</f>
        <v>14B-115-au_Play-in-7:30 PM</v>
      </c>
      <c r="T43" s="355" t="str">
        <f>'14U_M_Champ'!L190&amp;"-"&amp;'14U_M_Champ'!N190&amp;"-"&amp;TEXT('14U_M_Champ'!B190,"h:mm am/pm")</f>
        <v>14B-116-au_Play-in-7:30 PM</v>
      </c>
      <c r="U43" s="56" t="str">
        <f>'12U_M_Champ'!L152&amp;"-"&amp;'12U_M_Champ'!N152&amp;"-"&amp;TEXT('12U_M_Champ'!B152,"h:mm am/pm")</f>
        <v>12B-114-pt_Play-in-7:30 PM</v>
      </c>
      <c r="V43" s="356" t="str">
        <f>'14U_M_Invite_36'!L124&amp;"-"&amp;'14U_M_Invite_36'!O124&amp;"-"&amp;TEXT('14U_M_Invite_36'!B124,"h:mm am/pm")</f>
        <v>14BQ-088-ni_Play-in-7:30 PM</v>
      </c>
      <c r="X43" s="353">
        <v>0.8125</v>
      </c>
      <c r="Y43" s="358" t="str">
        <f>'14U_M_Classic'!L202&amp;"-"&amp;'14U_M_Classic'!C202&amp;"-"&amp;TEXT('14U_M_Classic'!B202,"h:mm am/pm")</f>
        <v>14BX-116-Play-in-7:30 PM</v>
      </c>
      <c r="Z43" s="49"/>
      <c r="AA43" s="358" t="str">
        <f>'14U_M_Classic'!L180&amp;"-"&amp;'14U_M_Classic'!C180&amp;"-"&amp;TEXT('14U_M_Classic'!B180,"h:mm am/pm")</f>
        <v>14BX-115-Play-in-7:30 PM</v>
      </c>
      <c r="AB43" s="49"/>
      <c r="AC43" s="49"/>
      <c r="AD43" s="358" t="str">
        <f>'14U_M_Classic'!L142&amp;"-"&amp;'14U_M_Classic'!C142&amp;"-"&amp;TEXT('14U_M_Classic'!B142,"h:mm am/pm")</f>
        <v>14BX-113-Play-in-7:30 PM</v>
      </c>
      <c r="AE43" s="360" t="str">
        <f>'16U_M_Classic'!L133&amp;"-"&amp;'16U_M_Classic'!O133&amp;"-"&amp;TEXT('16U_M_Classic'!B133,"h:mm am/pm")</f>
        <v>16BX-113-ag_Play-in-7:30 PM</v>
      </c>
      <c r="AG43" s="357" t="str">
        <f>'16U_M_Invite'!L141&amp;"-"&amp;'16U_M_Invite'!O141&amp;"-"&amp;TEXT('16U_M_Invite'!B141,"h:mm am/pm")</f>
        <v>16BQ-113-ni_Play-in-7:30 PM</v>
      </c>
      <c r="AH43" s="359" t="str">
        <f>'18U_M_Classic'!L152&amp;"-"&amp;'18U_M_Classic'!O152&amp;"-"&amp;TEXT('18U_M_Classic'!B152,"h:mm am/pm")</f>
        <v>18BX-114-ag_Play-in-7:30 PM</v>
      </c>
      <c r="AI43" s="359" t="str">
        <f>'18U_M_Classic'!L171&amp;"-"&amp;'18U_M_Classic'!O171&amp;"-"&amp;TEXT('18U_M_Classic'!B171,"h:mm am/pm")</f>
        <v>18BX-115-bz_Play-in-7:30 PM</v>
      </c>
      <c r="AJ43" s="359" t="str">
        <f>'18U_M_Classic'!L133&amp;"-"&amp;'18U_M_Classic'!O133&amp;"-"&amp;TEXT('18U_M_Classic'!B133,"h:mm am/pm")</f>
        <v>18BX-113-ag_Play-in-7:30 PM</v>
      </c>
      <c r="AK43" s="357" t="str">
        <f>'16U_M_Invite'!L179&amp;"-"&amp;'16U_M_Invite'!O179&amp;"-"&amp;TEXT('16U_M_Invite'!B179,"h:mm am/pm")</f>
        <v>16BQ-115-cu_Play-in-7:30 PM</v>
      </c>
      <c r="AL43" s="357" t="str">
        <f>'16U_M_Invite'!L198&amp;"-"&amp;'16U_M_Invite'!O198&amp;"-"&amp;TEXT('16U_M_Invite'!B198,"h:mm am/pm")</f>
        <v>16BQ-116-cu_Play-in-7:30 PM</v>
      </c>
      <c r="AM43" s="358" t="str">
        <f>'14U_M_Classic'!L161&amp;"-"&amp;'14U_M_Classic'!C161&amp;"-"&amp;TEXT('14U_M_Classic'!B161,"h:mm am/pm")</f>
        <v>14BX-114-Play-in-7:30 PM</v>
      </c>
      <c r="AN43" s="360" t="str">
        <f>'16U_M_Classic'!L152&amp;"-"&amp;'16U_M_Classic'!O152&amp;"-"&amp;TEXT('16U_M_Classic'!B152,"h:mm am/pm")</f>
        <v>16BX-114-ag_Play-in-7:30 PM</v>
      </c>
      <c r="AO43" s="357" t="str">
        <f>'16U_M_Invite'!L160&amp;"-"&amp;'16U_M_Invite'!O160&amp;"-"&amp;TEXT('16U_M_Invite'!B160,"h:mm am/pm")</f>
        <v>16BQ-114-ni_Play-in-7:30 PM</v>
      </c>
      <c r="AP43" s="360" t="str">
        <f>'16U_M_Classic'!L190&amp;"-"&amp;'16U_M_Classic'!O190&amp;"-"&amp;TEXT('16U_M_Classic'!B190,"h:mm am/pm")</f>
        <v>16BX-116-bz_Play-in-7:30 PM</v>
      </c>
      <c r="AQ43" s="360" t="str">
        <f>'16U_M_Classic'!L171&amp;"-"&amp;'16U_M_Classic'!O171&amp;"-"&amp;TEXT('16U_M_Classic'!B171,"h:mm am/pm")</f>
        <v>16BX-115-bz_Play-in-7:30 PM</v>
      </c>
      <c r="AR43" s="356" t="str">
        <f>'14U_M_Invite_36'!L105&amp;"-"&amp;'14U_M_Invite_36'!O105&amp;"-"&amp;TEXT('14U_M_Invite_36'!B105,"h:mm am/pm")</f>
        <v>14BQ-087-ni_Play-in-7:30 PM</v>
      </c>
      <c r="AS43" s="359" t="str">
        <f>'18U_M_Classic'!L190&amp;"-"&amp;'18U_M_Classic'!O190&amp;"-"&amp;TEXT('18U_M_Classic'!B190,"h:mm am/pm")</f>
        <v>18BX-116-bz_Play-in-7:30 PM</v>
      </c>
      <c r="AU43" s="353">
        <v>0.8125</v>
      </c>
      <c r="AV43" s="362" t="str">
        <f>'16U_M_Champ'!L133&amp;"-"&amp;'16U_M_Champ'!O133&amp;"-"&amp;TEXT('16U_M_Champ'!B133,"h:mm am/pm")</f>
        <v>16B-113-pt_Play-in-7:30 PM</v>
      </c>
      <c r="AW43" s="362" t="str">
        <f>'16U_M_Champ'!L152&amp;"-"&amp;'16U_M_Champ'!O152&amp;"-"&amp;TEXT('16U_M_Champ'!B152,"h:mm am/pm")</f>
        <v>16B-114-pt_Play-in-7:30 PM</v>
      </c>
      <c r="AX43" s="362" t="str">
        <f>'16U_M_Champ'!L171&amp;"-"&amp;'16U_M_Champ'!O171&amp;"-"&amp;TEXT('16U_M_Champ'!B171,"h:mm am/pm")</f>
        <v>16B-115-au_Play-in-7:30 PM</v>
      </c>
      <c r="AY43" s="362" t="str">
        <f>'16U_M_Champ'!L190&amp;"-"&amp;'16U_M_Champ'!O190&amp;"-"&amp;TEXT('16U_M_Champ'!B190,"h:mm am/pm")</f>
        <v>16B-116-au_Play-in-7:30 PM</v>
      </c>
      <c r="AZ43" s="49"/>
      <c r="BA43" s="353"/>
      <c r="BD43" s="353"/>
    </row>
    <row r="44" spans="1:59">
      <c r="A44" s="353">
        <v>0.84722222222222199</v>
      </c>
      <c r="I44" s="353">
        <v>0.84722222222222199</v>
      </c>
      <c r="K44" s="353">
        <v>0.84722222222222199</v>
      </c>
      <c r="P44" s="353">
        <v>0.84722222222222199</v>
      </c>
      <c r="X44" s="353">
        <v>0.84722222222222199</v>
      </c>
      <c r="Z44" s="49"/>
      <c r="AB44" s="49"/>
      <c r="AC44" s="49"/>
      <c r="AU44" s="353">
        <v>0.84722222222222199</v>
      </c>
      <c r="AZ44" s="49"/>
      <c r="BA44" s="353"/>
    </row>
    <row r="48" spans="1:59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</row>
    <row r="49" spans="1:61">
      <c r="X49" s="46"/>
      <c r="AB49" s="46"/>
    </row>
    <row r="50" spans="1:61">
      <c r="A50" s="45" t="s">
        <v>61</v>
      </c>
      <c r="G50" s="46"/>
      <c r="I50" s="45" t="s">
        <v>61</v>
      </c>
      <c r="K50" s="45" t="s">
        <v>61</v>
      </c>
      <c r="L50" s="45"/>
      <c r="M50" s="45"/>
      <c r="N50" s="45"/>
      <c r="O50" s="45"/>
      <c r="P50" s="45" t="s">
        <v>61</v>
      </c>
      <c r="T50" s="46" t="s">
        <v>62</v>
      </c>
      <c r="V50" s="45"/>
      <c r="X50" s="45" t="s">
        <v>61</v>
      </c>
      <c r="AA50" s="45"/>
      <c r="AB50" s="45"/>
      <c r="AC50" s="46" t="s">
        <v>63</v>
      </c>
      <c r="AD50" s="45"/>
      <c r="AE50" s="45"/>
      <c r="AH50" s="45"/>
      <c r="AI50" s="45"/>
      <c r="AJ50" s="45"/>
      <c r="AL50" s="45"/>
      <c r="AM50" s="46"/>
      <c r="AU50" s="45" t="s">
        <v>61</v>
      </c>
      <c r="AX50" s="46" t="s">
        <v>64</v>
      </c>
      <c r="BA50" s="45" t="s">
        <v>61</v>
      </c>
      <c r="BB50" s="45"/>
      <c r="BC50" s="45"/>
      <c r="BF50" s="46"/>
    </row>
    <row r="51" spans="1:61">
      <c r="B51" s="44" t="s">
        <v>9</v>
      </c>
      <c r="C51" s="44" t="s">
        <v>10</v>
      </c>
      <c r="D51" s="44" t="s">
        <v>11</v>
      </c>
      <c r="E51" s="44" t="s">
        <v>12</v>
      </c>
      <c r="F51" s="44" t="s">
        <v>13</v>
      </c>
      <c r="G51" s="44" t="s">
        <v>14</v>
      </c>
      <c r="H51" s="44" t="s">
        <v>15</v>
      </c>
      <c r="J51" s="44" t="s">
        <v>16</v>
      </c>
      <c r="L51" s="44" t="s">
        <v>17</v>
      </c>
      <c r="M51" s="44" t="s">
        <v>18</v>
      </c>
      <c r="N51" s="44" t="s">
        <v>19</v>
      </c>
      <c r="O51" s="50" t="s">
        <v>20</v>
      </c>
      <c r="Q51" s="44" t="s">
        <v>21</v>
      </c>
      <c r="R51" s="44" t="s">
        <v>22</v>
      </c>
      <c r="S51" s="44" t="s">
        <v>23</v>
      </c>
      <c r="T51" s="44" t="s">
        <v>24</v>
      </c>
      <c r="U51" s="44" t="s">
        <v>25</v>
      </c>
      <c r="V51" s="44" t="s">
        <v>26</v>
      </c>
      <c r="W51" s="44" t="s">
        <v>27</v>
      </c>
      <c r="Y51" s="44" t="s">
        <v>28</v>
      </c>
      <c r="Z51" s="44" t="s">
        <v>29</v>
      </c>
      <c r="AA51" s="44" t="s">
        <v>30</v>
      </c>
      <c r="AB51" s="44" t="s">
        <v>31</v>
      </c>
      <c r="AC51" s="44" t="s">
        <v>32</v>
      </c>
      <c r="AD51" s="44" t="s">
        <v>33</v>
      </c>
      <c r="AE51" s="44" t="s">
        <v>34</v>
      </c>
      <c r="AF51" s="44" t="s">
        <v>35</v>
      </c>
      <c r="AG51" s="44" t="s">
        <v>36</v>
      </c>
      <c r="AH51" s="44" t="s">
        <v>37</v>
      </c>
      <c r="AI51" s="44" t="s">
        <v>38</v>
      </c>
      <c r="AJ51" s="44" t="s">
        <v>39</v>
      </c>
      <c r="AK51" s="44" t="s">
        <v>40</v>
      </c>
      <c r="AL51" s="44" t="s">
        <v>41</v>
      </c>
      <c r="AM51" s="44" t="s">
        <v>42</v>
      </c>
      <c r="AN51" s="44" t="s">
        <v>43</v>
      </c>
      <c r="AO51" s="44" t="s">
        <v>44</v>
      </c>
      <c r="AP51" s="44" t="s">
        <v>45</v>
      </c>
      <c r="AQ51" s="44" t="s">
        <v>46</v>
      </c>
      <c r="AR51" s="44" t="s">
        <v>47</v>
      </c>
      <c r="AS51" s="44" t="s">
        <v>48</v>
      </c>
      <c r="AT51" s="44" t="s">
        <v>49</v>
      </c>
      <c r="AV51" s="44" t="s">
        <v>50</v>
      </c>
      <c r="AW51" s="44" t="s">
        <v>51</v>
      </c>
      <c r="AX51" s="44" t="s">
        <v>52</v>
      </c>
      <c r="AY51" s="44" t="s">
        <v>53</v>
      </c>
      <c r="AZ51" s="44" t="s">
        <v>54</v>
      </c>
      <c r="BB51" s="44" t="s">
        <v>55</v>
      </c>
      <c r="BC51" s="44" t="s">
        <v>56</v>
      </c>
      <c r="BD51" s="44" t="s">
        <v>57</v>
      </c>
      <c r="BE51" s="44" t="s">
        <v>58</v>
      </c>
      <c r="BF51" s="44" t="s">
        <v>59</v>
      </c>
      <c r="BI51" s="44">
        <f>COUNTA(B51:BG51)</f>
        <v>51</v>
      </c>
    </row>
    <row r="52" spans="1:61">
      <c r="H52" s="354" t="str">
        <f>'12U_M_Classic_53'!L276&amp;"-"&amp;'12U_M_Classic_53'!N276&amp;"-"&amp;TEXT('12U_M_Classic_53'!B276,"h:mm am/pm")</f>
        <v>12BX-203-bz_17-24 QF-7:00 AM</v>
      </c>
      <c r="K52" s="365">
        <v>0.29166666666666669</v>
      </c>
      <c r="X52" s="365">
        <v>0.29166666666666669</v>
      </c>
      <c r="AB52" s="365"/>
      <c r="AT52" s="361" t="str">
        <f>'18U_M_INVITE_NEW_23'!L118&amp;"-"&amp;'18U_M_INVITE_NEW_23'!N118&amp;"-"&amp;TEXT('18U_M_INVITE_NEW_23'!B118,"h:mm am/pm")</f>
        <v>18BQ-054-cu_Group-7:00 AM</v>
      </c>
      <c r="AX52" s="49"/>
    </row>
    <row r="53" spans="1:61">
      <c r="A53" s="353">
        <v>0.33333333333333331</v>
      </c>
      <c r="B53" s="55" t="str">
        <f>'10U_M_Champ_35'!L181&amp;"-"&amp;'10U_M_Champ_35'!O181&amp;"-"&amp;TEXT('10U_M_Champ_35'!B181,"h:mm am/pm")</f>
        <v>10B-091-au_RR9-11-8:00 AM</v>
      </c>
      <c r="C53" s="55" t="str">
        <f>'10U_M_Champ_35'!L151&amp;"-"&amp;'10U_M_Champ_35'!O151&amp;"-"&amp;TEXT('10U_M_Champ_35'!B151,"h:mm am/pm")</f>
        <v>10B-089-pt_5-8 v 9-12-8:00 AM</v>
      </c>
      <c r="D53" s="55" t="str">
        <f>'10U_M_Champ_35'!L166&amp;"-"&amp;'10U_M_Champ_35'!O166&amp;"-"&amp;TEXT('10U_M_Champ_35'!B166,"h:mm am/pm")</f>
        <v>10B-090-pt_21-24 RR-8:00 AM</v>
      </c>
      <c r="E53" s="354" t="str">
        <f>'12U_M_Classic_53'!L259&amp;"-"&amp;'12U_M_Classic_53'!N259&amp;"-"&amp;TEXT('12U_M_Classic_53'!B259,"h:mm am/pm")</f>
        <v>12BX-114-ag_3v8 QF-8:00 AM</v>
      </c>
      <c r="G53" s="354" t="str">
        <f>'12U_M_Classic_53'!L242&amp;"-"&amp;'12U_M_Classic_53'!N242&amp;"-"&amp;TEXT('12U_M_Classic_53'!B242,"h:mm am/pm")</f>
        <v>12BX-113-ag_1v6 QF-8:00 AM</v>
      </c>
      <c r="H53" s="354" t="str">
        <f>'12U_M_Classic_53'!L277&amp;"-"&amp;'12U_M_Classic_53'!N277&amp;"-"&amp;TEXT('12U_M_Classic_53'!B277,"h:mm am/pm")</f>
        <v>12BX-204-bz_17-24 QF-8:00 AM</v>
      </c>
      <c r="I53" s="353">
        <v>0.33333333333333331</v>
      </c>
      <c r="J53" s="354" t="str">
        <f>'12U_M_Classic_53'!L311&amp;"-"&amp;'12U_M_Classic_53'!N311&amp;"-"&amp;TEXT('12U_M_Classic_53'!B311,"h:mm am/pm")</f>
        <v>12BX-115-bz_3v8 QF-8:00 AM</v>
      </c>
      <c r="K53" s="353">
        <v>0.33333333333333331</v>
      </c>
      <c r="L53" s="56" t="str">
        <f>'12U_M_Champ'!L196&amp;"-"&amp;'12U_M_Champ'!N196&amp;"-"&amp;TEXT('12U_M_Champ'!B196,"h:mm am/pm")</f>
        <v>12B-117-pt_5-8 v 9-12-8:00 AM</v>
      </c>
      <c r="M53" s="56" t="str">
        <f>'12U_M_Champ'!L226&amp;"-"&amp;'12U_M_Champ'!N226&amp;"-"&amp;TEXT('12U_M_Champ'!B226,"h:mm am/pm")</f>
        <v>12B-119-au_5-8 v 9-12-8:00 AM</v>
      </c>
      <c r="N53" s="56" t="str">
        <f>'12U_M_Champ'!L211&amp;"-"&amp;'12U_M_Champ'!N211&amp;"-"&amp;TEXT('12U_M_Champ'!B211,"h:mm am/pm")</f>
        <v>12B-118-pt_21-24 RR-8:00 AM</v>
      </c>
      <c r="O53" s="354" t="str">
        <f>'12U_M_Classic_53'!L292&amp;"-"&amp;'12U_M_Classic_53'!N292&amp;"-"&amp;TEXT('12U_M_Classic_53'!B292,"h:mm am/pm")</f>
        <v>12BX-201-bz_17-24 QF-8:00 AM</v>
      </c>
      <c r="P53" s="353">
        <v>0.33333333333333331</v>
      </c>
      <c r="Q53" s="355" t="str">
        <f>'14U_M_Champ'!L196&amp;"-"&amp;'14U_M_Champ'!N196&amp;"-"&amp;TEXT('14U_M_Champ'!B196,"h:mm am/pm")</f>
        <v>14B-117-pt_5-8 v 9-12-8:00 AM</v>
      </c>
      <c r="R53" s="355" t="str">
        <f>'14U_M_Champ'!L211&amp;"-"&amp;'14U_M_Champ'!N211&amp;"-"&amp;TEXT('14U_M_Champ'!B211,"h:mm am/pm")</f>
        <v>14B-118-pt_21-24 RR-8:00 AM</v>
      </c>
      <c r="S53" s="355" t="str">
        <f>'14U_M_Champ'!L241&amp;"-"&amp;'14U_M_Champ'!N241&amp;"-"&amp;TEXT('14U_M_Champ'!B241,"h:mm am/pm")</f>
        <v>14B-120-au_21-24 RR-8:00 AM</v>
      </c>
      <c r="T53" s="49"/>
      <c r="U53" s="56" t="str">
        <f>'12U_M_Champ'!L241&amp;"-"&amp;'12U_M_Champ'!N241&amp;"-"&amp;TEXT('12U_M_Champ'!B241,"h:mm am/pm")</f>
        <v>12B-120-au_21-24 RR-8:00 AM</v>
      </c>
      <c r="V53" s="356" t="str">
        <f>'14U_M_Invite_36'!L166&amp;"-"&amp;'14U_M_Invite_36'!O166&amp;"-"&amp;TEXT('14U_M_Invite_36'!B166,"h:mm am/pm")</f>
        <v>14BQ-090-ni_21-24 RR-8:00 AM</v>
      </c>
      <c r="W53" s="356" t="str">
        <f>'14U_M_Invite_36'!L181&amp;"-"&amp;'14U_M_Invite_36'!O181&amp;"-"&amp;TEXT('14U_M_Invite_36'!B181,"h:mm am/pm")</f>
        <v>14BQ-091-cu_5-8 v 9-12-8:00 AM</v>
      </c>
      <c r="X53" s="353">
        <v>0.33333333333333331</v>
      </c>
      <c r="Z53" s="49"/>
      <c r="AA53" s="358" t="str">
        <f>'14U_M_Classic'!L238&amp;"-"&amp;'14U_M_Classic'!C238&amp;"-"&amp;TEXT('14U_M_Classic'!B238,"h:mm am/pm")</f>
        <v>14BX-119-5-8 v 9-12-8:00 AM</v>
      </c>
      <c r="AB53" s="358" t="str">
        <f>'14U_M_Classic'!L253&amp;"-"&amp;'14U_M_Classic'!C253&amp;"-"&amp;TEXT('14U_M_Classic'!B253,"h:mm am/pm")</f>
        <v>14BX-120-21-24 RR-8:00 AM</v>
      </c>
      <c r="AC53" s="49"/>
      <c r="AD53" s="363" t="str">
        <f>'18U_M_Champ'!L216&amp;"-"&amp;'18U_M_Champ'!N216&amp;"-"&amp;TEXT('18U_M_Champ'!B216,"h:mm am/pm")</f>
        <v>18B-118-pt_21-24 RR-8:00 AM</v>
      </c>
      <c r="AE53" s="359" t="str">
        <f>'18U_M_Classic'!L211&amp;"-"&amp;'18U_M_Classic'!O211&amp;"-"&amp;TEXT('18U_M_Classic'!B211,"h:mm am/pm")</f>
        <v>18BX-118-ag_21-24 RR-8:00 AM</v>
      </c>
      <c r="AF53" s="361" t="str">
        <f>'18U_M_INVITE_NEW_23'!L103&amp;"-"&amp;'18U_M_INVITE_NEW_23'!N103&amp;"-"&amp;TEXT('18U_M_INVITE_NEW_23'!B103,"h:mm am/pm")</f>
        <v>18BQ-053-ni_5-8 v 9-12-8:00 AM</v>
      </c>
      <c r="AG53" s="357" t="str">
        <f>'16U_M_Invite'!L204&amp;"-"&amp;'16U_M_Invite'!O204&amp;"-"&amp;TEXT('16U_M_Invite'!B204,"h:mm am/pm")</f>
        <v>16BQ-117-ni_5-8 v 9-12-8:00 AM</v>
      </c>
      <c r="AH53" s="49"/>
      <c r="AI53" s="359" t="str">
        <f>'18U_M_Classic'!L241&amp;"-"&amp;'18U_M_Classic'!O241&amp;"-"&amp;TEXT('18U_M_Classic'!B241,"h:mm am/pm")</f>
        <v>18BX-120-bz_21-24 RR-8:00 AM</v>
      </c>
      <c r="AJ53" s="49"/>
      <c r="AK53" s="357" t="str">
        <f>'16U_M_Invite'!L249&amp;"-"&amp;'16U_M_Invite'!O249&amp;"-"&amp;TEXT('16U_M_Invite'!B249,"h:mm am/pm")</f>
        <v>16BQ-120-cu_21-24 RR-8:00 AM</v>
      </c>
      <c r="AL53" s="357" t="str">
        <f>'16U_M_Invite'!L234&amp;"-"&amp;'16U_M_Invite'!O234&amp;"-"&amp;TEXT('16U_M_Invite'!B234,"h:mm am/pm")</f>
        <v>16BQ-119-cu_5-8 v 9-12-8:00 AM</v>
      </c>
      <c r="AM53" s="357" t="str">
        <f>'16U_M_Invite'!L219&amp;"-"&amp;'16U_M_Invite'!O219&amp;"-"&amp;TEXT('16U_M_Invite'!B219,"h:mm am/pm")</f>
        <v>16BQ-118-ni_21-24 RR-8:00 AM</v>
      </c>
      <c r="AN53" s="360" t="str">
        <f>'16U_M_Classic'!L196&amp;"-"&amp;'16U_M_Classic'!O196&amp;"-"&amp;TEXT('16U_M_Classic'!B196,"h:mm am/pm")</f>
        <v>16BX-117-ag_5-8 v 9-12-8:00 AM</v>
      </c>
      <c r="AO53" s="355" t="str">
        <f>'14U_M_Champ'!L226&amp;"-"&amp;'14U_M_Champ'!N226&amp;"-"&amp;TEXT('14U_M_Champ'!B226,"h:mm am/pm")</f>
        <v>14B-119-au_5-8 v 9-12-8:00 AM</v>
      </c>
      <c r="AP53" s="360" t="str">
        <f>'16U_M_Classic'!L227&amp;"-"&amp;'16U_M_Classic'!O227&amp;"-"&amp;TEXT('16U_M_Classic'!B227,"h:mm am/pm")</f>
        <v>16BX-120-bz_21-24 RR-8:00 AM</v>
      </c>
      <c r="AQ53" s="360" t="str">
        <f>'16U_M_Classic'!L243&amp;"-"&amp;'16U_M_Classic'!O243&amp;"-"&amp;TEXT('16U_M_Classic'!B243,"h:mm am/pm")</f>
        <v>16BX-128-bz_13-20 qtr-8:00 AM</v>
      </c>
      <c r="AR53" s="359" t="str">
        <f>'18U_M_Classic'!L226&amp;"-"&amp;'18U_M_Classic'!O226&amp;"-"&amp;TEXT('18U_M_Classic'!B226,"h:mm am/pm")</f>
        <v>18BX-119-bz_5-8 v 9-12-8:00 AM</v>
      </c>
      <c r="AS53" s="356" t="str">
        <f>'14U_M_Invite_36'!L151&amp;"-"&amp;'14U_M_Invite_36'!O151&amp;"-"&amp;TEXT('14U_M_Invite_36'!B151,"h:mm am/pm")</f>
        <v>14BQ-089-ni_5-8 v 9-12-8:00 AM</v>
      </c>
      <c r="AT53" s="361" t="str">
        <f>'18U_M_INVITE_NEW_23'!L119&amp;"-"&amp;'18U_M_INVITE_NEW_23'!N119&amp;"-"&amp;TEXT('18U_M_INVITE_NEW_23'!B119,"h:mm am/pm")</f>
        <v>18BQ-056-cu_Group-8:00 AM</v>
      </c>
      <c r="AU53" s="353">
        <v>0.33333333333333331</v>
      </c>
      <c r="AV53" s="362" t="str">
        <f>'16U_M_Champ'!L196&amp;"-"&amp;'16U_M_Champ'!O196&amp;"-"&amp;TEXT('16U_M_Champ'!B196,"h:mm am/pm")</f>
        <v>16B-117-pt_5-8 v 9-12-8:00 AM</v>
      </c>
      <c r="AW53" s="362" t="str">
        <f>'16U_M_Champ'!L226&amp;"-"&amp;'16U_M_Champ'!O226&amp;"-"&amp;TEXT('16U_M_Champ'!B226,"h:mm am/pm")</f>
        <v>16B-119-au_5-8 v 9-12-8:00 AM</v>
      </c>
      <c r="AX53" s="362" t="str">
        <f>'16U_M_Champ'!L211&amp;"-"&amp;'16U_M_Champ'!O211&amp;"-"&amp;TEXT('16U_M_Champ'!B211,"h:mm am/pm")</f>
        <v>16B-118-pt_21-24 RR-8:00 AM</v>
      </c>
      <c r="AY53" s="362" t="str">
        <f>'16U_M_Champ'!L241&amp;"-"&amp;'16U_M_Champ'!O241&amp;"-"&amp;TEXT('16U_M_Champ'!B241,"h:mm am/pm")</f>
        <v>16B-120-au_21-24 RR-8:00 AM</v>
      </c>
      <c r="AZ53" s="359" t="str">
        <f>'18U_M_Classic'!L196&amp;"-"&amp;'18U_M_Classic'!O196&amp;"-"&amp;TEXT('18U_M_Classic'!B196,"h:mm am/pm")</f>
        <v>18BX-117-ag_5-8 v 9-12-8:00 AM</v>
      </c>
      <c r="BA53" s="353">
        <v>0.33333333333333331</v>
      </c>
      <c r="BB53" s="358" t="str">
        <f>'14U_M_Classic'!L208&amp;"-"&amp;'14U_M_Classic'!C208&amp;"-"&amp;TEXT('14U_M_Classic'!B208,"h:mm am/pm")</f>
        <v>14BX-117-5-8 v 9-12-8:00 AM</v>
      </c>
      <c r="BC53" s="363" t="str">
        <f>'18U_M_Champ'!L201&amp;"-"&amp;'18U_M_Champ'!N201&amp;"-"&amp;TEXT('18U_M_Champ'!B201,"h:mm am/pm")</f>
        <v>18B-117-pt_5-8 v 9-12-8:00 AM</v>
      </c>
      <c r="BD53" s="363" t="str">
        <f>'18U_M_Champ'!L231&amp;"-"&amp;'18U_M_Champ'!N231&amp;"-"&amp;TEXT('18U_M_Champ'!B231,"h:mm am/pm")</f>
        <v>18B-119-au_5-8 v 9-12-8:00 AM</v>
      </c>
      <c r="BE53" s="363" t="str">
        <f>'18U_M_Champ'!L246&amp;"-"&amp;'18U_M_Champ'!N246&amp;"-"&amp;TEXT('18U_M_Champ'!B246,"h:mm am/pm")</f>
        <v>18B-120-au_21-24 RR-8:00 AM</v>
      </c>
      <c r="BF53" s="360" t="str">
        <f>'16U_M_Classic'!L211&amp;"-"&amp;'16U_M_Classic'!O211&amp;"-"&amp;TEXT('16U_M_Classic'!B211,"h:mm am/pm")</f>
        <v>16BX-124-bz_21-24 RR-8:00 AM</v>
      </c>
    </row>
    <row r="54" spans="1:61">
      <c r="A54" s="353">
        <v>0.36805555555555558</v>
      </c>
      <c r="B54" s="55" t="str">
        <f>'10U_M_Champ_35'!L182&amp;"-"&amp;'10U_M_Champ_35'!O182&amp;"-"&amp;TEXT('10U_M_Champ_35'!B182,"h:mm am/pm")</f>
        <v>10B-094-au_RR9-11-8:50 AM</v>
      </c>
      <c r="C54" s="55" t="str">
        <f>'10U_M_Champ_35'!L152&amp;"-"&amp;'10U_M_Champ_35'!O152&amp;"-"&amp;TEXT('10U_M_Champ_35'!B152,"h:mm am/pm")</f>
        <v>10B-092-pt_5-8 v 9-12-8:50 AM</v>
      </c>
      <c r="D54" s="55" t="str">
        <f>'10U_M_Champ_35'!L167&amp;"-"&amp;'10U_M_Champ_35'!O167&amp;"-"&amp;TEXT('10U_M_Champ_35'!B167,"h:mm am/pm")</f>
        <v>10B-093-pt_21-24 RR-8:50 AM</v>
      </c>
      <c r="E54" s="354" t="str">
        <f>'12U_M_Classic_53'!L260&amp;"-"&amp;'12U_M_Classic_53'!N260&amp;"-"&amp;TEXT('12U_M_Classic_53'!B260,"h:mm am/pm")</f>
        <v>12BX-119-ag_4v7 QF-8:50 AM</v>
      </c>
      <c r="G54" s="354" t="str">
        <f>'12U_M_Classic_53'!L243&amp;"-"&amp;'12U_M_Classic_53'!N243&amp;"-"&amp;TEXT('12U_M_Classic_53'!B243,"h:mm am/pm")</f>
        <v>12BX-118-ag_2v5 QF-8:50 AM</v>
      </c>
      <c r="H54" s="354" t="str">
        <f>'12U_M_Classic_53'!L278&amp;"-"&amp;'12U_M_Classic_53'!N278&amp;"-"&amp;TEXT('12U_M_Classic_53'!B278,"h:mm am/pm")</f>
        <v>12BX-147A-bz_V-8:50 AM</v>
      </c>
      <c r="I54" s="353">
        <v>0.36805555555555558</v>
      </c>
      <c r="J54" s="354" t="str">
        <f>'12U_M_Classic_53'!L312&amp;"-"&amp;'12U_M_Classic_53'!N312&amp;"-"&amp;TEXT('12U_M_Classic_53'!B312,"h:mm am/pm")</f>
        <v>12BX-120-bz_4v7 QF-8:50 AM</v>
      </c>
      <c r="K54" s="353">
        <v>0.36805555555555558</v>
      </c>
      <c r="L54" s="56" t="str">
        <f>'12U_M_Champ'!L197&amp;"-"&amp;'12U_M_Champ'!N197&amp;"-"&amp;TEXT('12U_M_Champ'!B197,"h:mm am/pm")</f>
        <v>12B-121-pt_5-8 v 9-12-8:50 AM</v>
      </c>
      <c r="M54" s="56" t="str">
        <f>'12U_M_Champ'!L227&amp;"-"&amp;'12U_M_Champ'!N227&amp;"-"&amp;TEXT('12U_M_Champ'!B227,"h:mm am/pm")</f>
        <v>12B-123-au_5-8 v 9-12-8:50 AM</v>
      </c>
      <c r="N54" s="56" t="str">
        <f>'12U_M_Champ'!L212&amp;"-"&amp;'12U_M_Champ'!N212&amp;"-"&amp;TEXT('12U_M_Champ'!B212,"h:mm am/pm")</f>
        <v>12B-122-pt_21-24 RR-8:50 AM</v>
      </c>
      <c r="O54" s="354" t="str">
        <f>'12U_M_Classic_53'!L293&amp;"-"&amp;'12U_M_Classic_53'!N293&amp;"-"&amp;TEXT('12U_M_Classic_53'!B293,"h:mm am/pm")</f>
        <v>12BX-202-bz_17-24 QF-8:50 AM</v>
      </c>
      <c r="P54" s="353">
        <v>0.375</v>
      </c>
      <c r="Q54" s="355" t="str">
        <f>'14U_M_Champ'!L197&amp;"-"&amp;'14U_M_Champ'!N197&amp;"-"&amp;TEXT('14U_M_Champ'!B197,"h:mm am/pm")</f>
        <v>14B-121-pt_5-8 v 9-12-9:00 AM</v>
      </c>
      <c r="R54" s="355" t="str">
        <f>'14U_M_Champ'!L212&amp;"-"&amp;'14U_M_Champ'!N212&amp;"-"&amp;TEXT('14U_M_Champ'!B212,"h:mm am/pm")</f>
        <v>14B-122-pt_21-24 RR-9:00 AM</v>
      </c>
      <c r="S54" s="355" t="str">
        <f>'14U_M_Champ'!L242&amp;"-"&amp;'14U_M_Champ'!N242&amp;"-"&amp;TEXT('14U_M_Champ'!B242,"h:mm am/pm")</f>
        <v>14B-124-au_21-24 RR-9:00 AM</v>
      </c>
      <c r="T54" s="49"/>
      <c r="U54" s="56" t="str">
        <f>'12U_M_Champ'!L242&amp;"-"&amp;'12U_M_Champ'!N242&amp;"-"&amp;TEXT('12U_M_Champ'!B242,"h:mm am/pm")</f>
        <v>12B-124-au_21-24 RR-8:50 AM</v>
      </c>
      <c r="V54" s="356" t="str">
        <f>'14U_M_Invite_36'!L167&amp;"-"&amp;'14U_M_Invite_36'!O167&amp;"-"&amp;TEXT('14U_M_Invite_36'!B167,"h:mm am/pm")</f>
        <v>14BQ-093-ni_21-24 RR-9:00 AM</v>
      </c>
      <c r="W54" s="356" t="str">
        <f>'14U_M_Invite_36'!L182&amp;"-"&amp;'14U_M_Invite_36'!O182&amp;"-"&amp;TEXT('14U_M_Invite_36'!B182,"h:mm am/pm")</f>
        <v>14BQ-094-cu_5-8 v 9-12-9:00 AM</v>
      </c>
      <c r="X54" s="353">
        <v>0.375</v>
      </c>
      <c r="Z54" s="49"/>
      <c r="AA54" s="358" t="str">
        <f>'14U_M_Classic'!L239&amp;"-"&amp;'14U_M_Classic'!C239&amp;"-"&amp;TEXT('14U_M_Classic'!B239,"h:mm am/pm")</f>
        <v>14BX-123-5-8 v 9-12-9:00 AM</v>
      </c>
      <c r="AB54" s="358" t="str">
        <f>'14U_M_Classic'!L254&amp;"-"&amp;'14U_M_Classic'!C254&amp;"-"&amp;TEXT('14U_M_Classic'!B254,"h:mm am/pm")</f>
        <v>14BX-124-21-24 RR-9:00 AM</v>
      </c>
      <c r="AC54" s="366" t="str">
        <f>'14U_M_Classic'!L223&amp;"-"&amp;'14U_M_Classic'!C223&amp;"-"&amp;TEXT('14U_M_Classic'!B223,"h:mm am/pm")</f>
        <v>14BX-118-21-24 RR-8:30 AM</v>
      </c>
      <c r="AD54" s="363" t="str">
        <f>'18U_M_Champ'!L217&amp;"-"&amp;'18U_M_Champ'!N217&amp;"-"&amp;TEXT('18U_M_Champ'!B217,"h:mm am/pm")</f>
        <v>18B-122-pt_21-24 RR-9:00 AM</v>
      </c>
      <c r="AE54" s="359" t="str">
        <f>'18U_M_Classic'!L212&amp;"-"&amp;'18U_M_Classic'!O212&amp;"-"&amp;TEXT('18U_M_Classic'!B212,"h:mm am/pm")</f>
        <v>18BX-122-ag_21-24 RR-9:00 AM</v>
      </c>
      <c r="AF54" s="361" t="str">
        <f>'18U_M_INVITE_NEW_23'!L104&amp;"-"&amp;'18U_M_INVITE_NEW_23'!N104&amp;"-"&amp;TEXT('18U_M_INVITE_NEW_23'!B104,"h:mm am/pm")</f>
        <v>18BQ-055-ni_5-8 v 9-12-9:00 AM</v>
      </c>
      <c r="AG54" s="357" t="str">
        <f>'16U_M_Invite'!L205&amp;"-"&amp;'16U_M_Invite'!O205&amp;"-"&amp;TEXT('16U_M_Invite'!B205,"h:mm am/pm")</f>
        <v>16BQ-121-ni_5-8 v 9-12-9:00 AM</v>
      </c>
      <c r="AH54" s="49"/>
      <c r="AI54" s="359" t="str">
        <f>'18U_M_Classic'!L242&amp;"-"&amp;'18U_M_Classic'!O242&amp;"-"&amp;TEXT('18U_M_Classic'!B242,"h:mm am/pm")</f>
        <v>18BX-124-bz_21-24 RR-9:00 AM</v>
      </c>
      <c r="AJ54" s="49"/>
      <c r="AK54" s="357" t="str">
        <f>'16U_M_Invite'!L250&amp;"-"&amp;'16U_M_Invite'!O250&amp;"-"&amp;TEXT('16U_M_Invite'!B250,"h:mm am/pm")</f>
        <v>16BQ-124-cu_21-24 RR-9:00 AM</v>
      </c>
      <c r="AL54" s="357" t="str">
        <f>'16U_M_Invite'!L235&amp;"-"&amp;'16U_M_Invite'!O235&amp;"-"&amp;TEXT('16U_M_Invite'!B235,"h:mm am/pm")</f>
        <v>16BQ-123-cu_5-8 v 9-12-9:00 AM</v>
      </c>
      <c r="AM54" s="357" t="str">
        <f>'16U_M_Invite'!L220&amp;"-"&amp;'16U_M_Invite'!O220&amp;"-"&amp;TEXT('16U_M_Invite'!B220,"h:mm am/pm")</f>
        <v>16BQ-122-ni_21-24 RR-9:00 AM</v>
      </c>
      <c r="AN54" s="360" t="str">
        <f>'16U_M_Classic'!L197&amp;"-"&amp;'16U_M_Classic'!O197&amp;"-"&amp;TEXT('16U_M_Classic'!B197,"h:mm am/pm")</f>
        <v>16BX-121-ag_5-8 v 9-12-9:00 AM</v>
      </c>
      <c r="AO54" s="355" t="str">
        <f>'14U_M_Champ'!L227&amp;"-"&amp;'14U_M_Champ'!N227&amp;"-"&amp;TEXT('14U_M_Champ'!B227,"h:mm am/pm")</f>
        <v>14B-123-au_5-8 v 9-12-9:00 AM</v>
      </c>
      <c r="AP54" s="360" t="str">
        <f>'16U_M_Classic'!L228&amp;"-"&amp;'16U_M_Classic'!O228&amp;"-"&amp;TEXT('16U_M_Classic'!B228,"h:mm am/pm")</f>
        <v>16BX-119-bz_5-8 v 9-12-9:00 AM</v>
      </c>
      <c r="AQ54" s="360" t="str">
        <f>'16U_M_Classic'!L244&amp;"-"&amp;'16U_M_Classic'!O244&amp;"-"&amp;TEXT('16U_M_Classic'!B244,"h:mm am/pm")</f>
        <v>16BX-132-bz_13-20 qtr-9:00 AM</v>
      </c>
      <c r="AR54" s="359" t="str">
        <f>'18U_M_Classic'!L227&amp;"-"&amp;'18U_M_Classic'!O227&amp;"-"&amp;TEXT('18U_M_Classic'!B227,"h:mm am/pm")</f>
        <v>18BX-123-bz_5-8 v 9-12-9:00 AM</v>
      </c>
      <c r="AS54" s="356" t="str">
        <f>'14U_M_Invite_36'!L152&amp;"-"&amp;'14U_M_Invite_36'!O152&amp;"-"&amp;TEXT('14U_M_Invite_36'!B152,"h:mm am/pm")</f>
        <v>14BQ-092-ni_5-8 v 9-12-9:00 AM</v>
      </c>
      <c r="AT54" s="361" t="str">
        <f>'18U_M_INVITE_NEW_23'!L120&amp;"-"&amp;'18U_M_INVITE_NEW_23'!N120&amp;"-"&amp;TEXT('18U_M_INVITE_NEW_23'!B120,"h:mm am/pm")</f>
        <v>18BQ-058-cu_Group-9:00 AM</v>
      </c>
      <c r="AU54" s="353">
        <v>0.375</v>
      </c>
      <c r="AV54" s="362" t="str">
        <f>'16U_M_Champ'!L197&amp;"-"&amp;'16U_M_Champ'!O197&amp;"-"&amp;TEXT('16U_M_Champ'!B197,"h:mm am/pm")</f>
        <v>16B-121-pt_5-8 v 9-12-9:00 AM</v>
      </c>
      <c r="AW54" s="362" t="str">
        <f>'16U_M_Champ'!L227&amp;"-"&amp;'16U_M_Champ'!O227&amp;"-"&amp;TEXT('16U_M_Champ'!B227,"h:mm am/pm")</f>
        <v>16B-123-au_5-8 v 9-12-9:00 AM</v>
      </c>
      <c r="AX54" s="362" t="str">
        <f>'16U_M_Champ'!L212&amp;"-"&amp;'16U_M_Champ'!O212&amp;"-"&amp;TEXT('16U_M_Champ'!B212,"h:mm am/pm")</f>
        <v>16B-122-pt_21-24 RR-9:00 AM</v>
      </c>
      <c r="AY54" s="362" t="str">
        <f>'16U_M_Champ'!L242&amp;"-"&amp;'16U_M_Champ'!O242&amp;"-"&amp;TEXT('16U_M_Champ'!B242,"h:mm am/pm")</f>
        <v>16B-124-au_21-24 RR-9:00 AM</v>
      </c>
      <c r="AZ54" s="359" t="str">
        <f>'18U_M_Classic'!L197&amp;"-"&amp;'18U_M_Classic'!O197&amp;"-"&amp;TEXT('18U_M_Classic'!B197,"h:mm am/pm")</f>
        <v>18BX-121-ag_5-8 v 9-12-9:00 AM</v>
      </c>
      <c r="BA54" s="353">
        <v>0.375</v>
      </c>
      <c r="BB54" s="358" t="str">
        <f>'14U_M_Classic'!L209&amp;"-"&amp;'14U_M_Classic'!C209&amp;"-"&amp;TEXT('14U_M_Classic'!B209,"h:mm am/pm")</f>
        <v>14BX-121-5-8 v 9-12-9:00 AM</v>
      </c>
      <c r="BC54" s="363" t="str">
        <f>'18U_M_Champ'!L202&amp;"-"&amp;'18U_M_Champ'!N202&amp;"-"&amp;TEXT('18U_M_Champ'!B202,"h:mm am/pm")</f>
        <v>18B-121-pt_5-8 v 9-12-9:00 AM</v>
      </c>
      <c r="BD54" s="363" t="str">
        <f>'18U_M_Champ'!L232&amp;"-"&amp;'18U_M_Champ'!N232&amp;"-"&amp;TEXT('18U_M_Champ'!B232,"h:mm am/pm")</f>
        <v>18B-123-au_5-8 v 9-12-9:00 AM</v>
      </c>
      <c r="BE54" s="363" t="str">
        <f>'18U_M_Champ'!L247&amp;"-"&amp;'18U_M_Champ'!N247&amp;"-"&amp;TEXT('18U_M_Champ'!B247,"h:mm am/pm")</f>
        <v>18B-124-au_21-24 RR-9:00 AM</v>
      </c>
      <c r="BF54" s="360" t="str">
        <f>'16U_M_Classic'!L212&amp;"-"&amp;'16U_M_Classic'!O212&amp;"-"&amp;TEXT('16U_M_Classic'!B212,"h:mm am/pm")</f>
        <v>16BX-118-ag_21-24 RR-9:00 AM</v>
      </c>
    </row>
    <row r="55" spans="1:61">
      <c r="A55" s="353">
        <v>0.40277777777777801</v>
      </c>
      <c r="B55" s="55" t="str">
        <f>'10U_M_Champ_35'!L183&amp;"-"&amp;'10U_M_Champ_35'!O183&amp;"-"&amp;TEXT('10U_M_Champ_35'!B183,"h:mm am/pm")</f>
        <v>10B-097-au_RR9-11-9:40 AM</v>
      </c>
      <c r="C55" s="55" t="str">
        <f>'10U_M_Champ_35'!L153&amp;"-"&amp;'10U_M_Champ_35'!O153&amp;"-"&amp;TEXT('10U_M_Champ_35'!B153,"h:mm am/pm")</f>
        <v>10B-095-pt_5-8 v 9-12-9:40 AM</v>
      </c>
      <c r="D55" s="55" t="str">
        <f>'10U_M_Champ_35'!L168&amp;"-"&amp;'10U_M_Champ_35'!O168&amp;"-"&amp;TEXT('10U_M_Champ_35'!B168,"h:mm am/pm")</f>
        <v>10B-096-pt_13-20 qtr-9:40 AM</v>
      </c>
      <c r="E55" s="354" t="str">
        <f>'12U_M_Classic_53'!L261&amp;"-"&amp;'12U_M_Classic_53'!N261&amp;"-"&amp;TEXT('12U_M_Classic_53'!B261,"h:mm am/pm")</f>
        <v>12BX-123-ag_17th-24th-9:40 AM</v>
      </c>
      <c r="G55" s="354" t="str">
        <f>'12U_M_Classic_53'!L244&amp;"-"&amp;'12U_M_Classic_53'!N244&amp;"-"&amp;TEXT('12U_M_Classic_53'!B244,"h:mm am/pm")</f>
        <v>12BX-124-ag_9-16 QF-9:40 AM</v>
      </c>
      <c r="H55" s="354" t="str">
        <f>'12U_M_Classic_53'!L279&amp;"-"&amp;'12U_M_Classic_53'!N279&amp;"-"&amp;TEXT('12U_M_Classic_53'!B279,"h:mm am/pm")</f>
        <v>12BX-152A-bz_W-9:40 AM</v>
      </c>
      <c r="I55" s="353">
        <v>0.40277777777777801</v>
      </c>
      <c r="J55" s="354" t="str">
        <f>'12U_M_Classic_53'!L313&amp;"-"&amp;'12U_M_Classic_53'!N313&amp;"-"&amp;TEXT('12U_M_Classic_53'!B313,"h:mm am/pm")</f>
        <v>12BX-116-bz_1v6 QF-9:40 AM</v>
      </c>
      <c r="K55" s="353">
        <v>0.40277777777777801</v>
      </c>
      <c r="L55" s="56" t="str">
        <f>'12U_M_Champ'!L198&amp;"-"&amp;'12U_M_Champ'!N198&amp;"-"&amp;TEXT('12U_M_Champ'!B198,"h:mm am/pm")</f>
        <v>12B-125-pt_5-8 v 9-12-9:40 AM</v>
      </c>
      <c r="M55" s="56" t="str">
        <f>'12U_M_Champ'!L228&amp;"-"&amp;'12U_M_Champ'!N228&amp;"-"&amp;TEXT('12U_M_Champ'!B228,"h:mm am/pm")</f>
        <v>12B-127-au_5-8 v 9-12-9:40 AM</v>
      </c>
      <c r="N55" s="56" t="str">
        <f>'12U_M_Champ'!L213&amp;"-"&amp;'12U_M_Champ'!N213&amp;"-"&amp;TEXT('12U_M_Champ'!B213,"h:mm am/pm")</f>
        <v>12B-126-pt_13-20 qtr-9:40 AM</v>
      </c>
      <c r="O55" s="354" t="str">
        <f>'12U_M_Classic_53'!L294&amp;"-"&amp;'12U_M_Classic_53'!N294&amp;"-"&amp;TEXT('12U_M_Classic_53'!B294,"h:mm am/pm")</f>
        <v>12BX-131-bz_9-16 QF-9:40 AM</v>
      </c>
      <c r="P55" s="353">
        <v>0.41666666666666702</v>
      </c>
      <c r="Q55" s="355" t="str">
        <f>'14U_M_Champ'!L198&amp;"-"&amp;'14U_M_Champ'!N198&amp;"-"&amp;TEXT('14U_M_Champ'!B198,"h:mm am/pm")</f>
        <v>14B-125-pt_5-8 v 9-12-10:00 AM</v>
      </c>
      <c r="R55" s="355" t="str">
        <f>'14U_M_Champ'!L213&amp;"-"&amp;'14U_M_Champ'!N213&amp;"-"&amp;TEXT('14U_M_Champ'!B213,"h:mm am/pm")</f>
        <v>14B-126-pt_13-20 qtr-10:00 AM</v>
      </c>
      <c r="S55" s="355" t="str">
        <f>'14U_M_Champ'!L243&amp;"-"&amp;'14U_M_Champ'!N243&amp;"-"&amp;TEXT('14U_M_Champ'!B243,"h:mm am/pm")</f>
        <v>14B-128-au_13-20 qtr-10:00 AM</v>
      </c>
      <c r="T55" s="49"/>
      <c r="U55" s="56" t="str">
        <f>'12U_M_Champ'!L243&amp;"-"&amp;'12U_M_Champ'!N243&amp;"-"&amp;TEXT('12U_M_Champ'!B243,"h:mm am/pm")</f>
        <v>12B-128-au_13-20 qtr-9:40 AM</v>
      </c>
      <c r="V55" s="356" t="str">
        <f>'14U_M_Invite_36'!L168&amp;"-"&amp;'14U_M_Invite_36'!O168&amp;"-"&amp;TEXT('14U_M_Invite_36'!B168,"h:mm am/pm")</f>
        <v>14BQ-096-ni_13-20 qtr-10:00 AM</v>
      </c>
      <c r="W55" s="356" t="str">
        <f>'14U_M_Invite_36'!L183&amp;"-"&amp;'14U_M_Invite_36'!O183&amp;"-"&amp;TEXT('14U_M_Invite_36'!B183,"h:mm am/pm")</f>
        <v>14BQ-097-cu_5-8 v 9-12-10:00 AM</v>
      </c>
      <c r="X55" s="353">
        <v>0.41666666666666702</v>
      </c>
      <c r="Z55" s="49"/>
      <c r="AA55" s="358" t="str">
        <f>'14U_M_Classic'!L240&amp;"-"&amp;'14U_M_Classic'!C240&amp;"-"&amp;TEXT('14U_M_Classic'!B240,"h:mm am/pm")</f>
        <v>14BX-127-5-8 v 9-12-10:00 AM</v>
      </c>
      <c r="AB55" s="358" t="str">
        <f>'14U_M_Classic'!L255&amp;"-"&amp;'14U_M_Classic'!C255&amp;"-"&amp;TEXT('14U_M_Classic'!B255,"h:mm am/pm")</f>
        <v>14BX-128-13-20 qtr-10:00 AM</v>
      </c>
      <c r="AC55" s="366" t="str">
        <f>'14U_M_Classic'!L224&amp;"-"&amp;'14U_M_Classic'!C224&amp;"-"&amp;TEXT('14U_M_Classic'!B224,"h:mm am/pm")</f>
        <v>14BX-122-21-24 RR-9:30 AM</v>
      </c>
      <c r="AD55" s="363" t="str">
        <f>'18U_M_Champ'!L218&amp;"-"&amp;'18U_M_Champ'!N218&amp;"-"&amp;TEXT('18U_M_Champ'!B218,"h:mm am/pm")</f>
        <v>18B-126-pt_13-20 qtr-10:00 AM</v>
      </c>
      <c r="AE55" s="359" t="str">
        <f>'18U_M_Classic'!L213&amp;"-"&amp;'18U_M_Classic'!O213&amp;"-"&amp;TEXT('18U_M_Classic'!B213,"h:mm am/pm")</f>
        <v>18BX-126-ag_13-20 qtr-10:00 AM</v>
      </c>
      <c r="AF55" s="361" t="str">
        <f>'18U_M_INVITE_NEW_23'!L105&amp;"-"&amp;'18U_M_INVITE_NEW_23'!N105&amp;"-"&amp;TEXT('18U_M_INVITE_NEW_23'!B105,"h:mm am/pm")</f>
        <v>18BQ-057-ni_5-8 v 9-12-10:00 AM</v>
      </c>
      <c r="AG55" s="357" t="str">
        <f>'16U_M_Invite'!L206&amp;"-"&amp;'16U_M_Invite'!O206&amp;"-"&amp;TEXT('16U_M_Invite'!B206,"h:mm am/pm")</f>
        <v>16BQ-125-ni_5-8 v 9-12-10:00 AM</v>
      </c>
      <c r="AH55" s="49"/>
      <c r="AI55" s="359" t="str">
        <f>'18U_M_Classic'!L243&amp;"-"&amp;'18U_M_Classic'!O243&amp;"-"&amp;TEXT('18U_M_Classic'!B243,"h:mm am/pm")</f>
        <v>18BX-128-bz_13-20 qtr-10:00 AM</v>
      </c>
      <c r="AJ55" s="49"/>
      <c r="AK55" s="357" t="str">
        <f>'16U_M_Invite'!L251&amp;"-"&amp;'16U_M_Invite'!O251&amp;"-"&amp;TEXT('16U_M_Invite'!B251,"h:mm am/pm")</f>
        <v>16BQ-128-cu_13-20 qtr-10:00 AM</v>
      </c>
      <c r="AL55" s="357" t="str">
        <f>'16U_M_Invite'!L236&amp;"-"&amp;'16U_M_Invite'!O236&amp;"-"&amp;TEXT('16U_M_Invite'!B236,"h:mm am/pm")</f>
        <v>16BQ-127-cu_5-8 v 9-12-10:00 AM</v>
      </c>
      <c r="AM55" s="357" t="str">
        <f>'16U_M_Invite'!L221&amp;"-"&amp;'16U_M_Invite'!O221&amp;"-"&amp;TEXT('16U_M_Invite'!B221,"h:mm am/pm")</f>
        <v>16BQ-126-ni_13-20 qtr-10:00 AM</v>
      </c>
      <c r="AN55" s="360" t="str">
        <f>'16U_M_Classic'!L198&amp;"-"&amp;'16U_M_Classic'!O198&amp;"-"&amp;TEXT('16U_M_Classic'!B198,"h:mm am/pm")</f>
        <v>16BX-125-ag_5-8 v 9-12-10:00 AM</v>
      </c>
      <c r="AO55" s="355" t="str">
        <f>'14U_M_Champ'!L228&amp;"-"&amp;'14U_M_Champ'!N228&amp;"-"&amp;TEXT('14U_M_Champ'!B228,"h:mm am/pm")</f>
        <v>14B-127-au_5-8 v 9-12-10:00 AM</v>
      </c>
      <c r="AP55" s="360" t="str">
        <f>'16U_M_Classic'!L229&amp;"-"&amp;'16U_M_Classic'!O229&amp;"-"&amp;TEXT('16U_M_Classic'!B229,"h:mm am/pm")</f>
        <v>16BX-123-bz_5-8 v 9-12-10:00 AM</v>
      </c>
      <c r="AQ55" s="360" t="str">
        <f>'16U_M_Classic'!L245&amp;"-"&amp;'16U_M_Classic'!O245&amp;"-"&amp;TEXT('16U_M_Classic'!B245,"h:mm am/pm")</f>
        <v>16BX-136-bz_13-20 qtr-10:00 AM</v>
      </c>
      <c r="AR55" s="359" t="str">
        <f>'18U_M_Classic'!L228&amp;"-"&amp;'18U_M_Classic'!O228&amp;"-"&amp;TEXT('18U_M_Classic'!B228,"h:mm am/pm")</f>
        <v>18BX-127-bz_5-8 v 9-12-10:00 AM</v>
      </c>
      <c r="AS55" s="356" t="str">
        <f>'14U_M_Invite_36'!L153&amp;"-"&amp;'14U_M_Invite_36'!O153&amp;"-"&amp;TEXT('14U_M_Invite_36'!B153,"h:mm am/pm")</f>
        <v>14BQ-095-ni_5-8 v 9-12-10:00 AM</v>
      </c>
      <c r="AT55" s="361" t="str">
        <f>'18U_M_INVITE_NEW_23'!L121&amp;"-"&amp;'18U_M_INVITE_NEW_23'!N121&amp;"-"&amp;TEXT('18U_M_INVITE_NEW_23'!B121,"h:mm am/pm")</f>
        <v>18BQ-060-cu_Group-10:00 AM</v>
      </c>
      <c r="AU55" s="353">
        <v>0.41666666666666702</v>
      </c>
      <c r="AV55" s="362" t="str">
        <f>'16U_M_Champ'!L198&amp;"-"&amp;'16U_M_Champ'!O198&amp;"-"&amp;TEXT('16U_M_Champ'!B198,"h:mm am/pm")</f>
        <v>16B-125-pt_5-8 v 9-12-10:00 AM</v>
      </c>
      <c r="AW55" s="362" t="str">
        <f>'16U_M_Champ'!L228&amp;"-"&amp;'16U_M_Champ'!O228&amp;"-"&amp;TEXT('16U_M_Champ'!B228,"h:mm am/pm")</f>
        <v>16B-127-au_5-8 v 9-12-10:00 AM</v>
      </c>
      <c r="AX55" s="362" t="str">
        <f>'16U_M_Champ'!L213&amp;"-"&amp;'16U_M_Champ'!O213&amp;"-"&amp;TEXT('16U_M_Champ'!B213,"h:mm am/pm")</f>
        <v>16B-126-pt_13-20 qtr-10:00 AM</v>
      </c>
      <c r="AY55" s="362" t="str">
        <f>'16U_M_Champ'!L243&amp;"-"&amp;'16U_M_Champ'!O243&amp;"-"&amp;TEXT('16U_M_Champ'!B243,"h:mm am/pm")</f>
        <v>16B-128-au_13-20 qtr-10:00 AM</v>
      </c>
      <c r="AZ55" s="359" t="str">
        <f>'18U_M_Classic'!L198&amp;"-"&amp;'18U_M_Classic'!O198&amp;"-"&amp;TEXT('18U_M_Classic'!B198,"h:mm am/pm")</f>
        <v>18BX-125-ag_5-8 v 9-12-10:00 AM</v>
      </c>
      <c r="BA55" s="353">
        <v>0.41666666666666702</v>
      </c>
      <c r="BB55" s="358" t="str">
        <f>'14U_M_Classic'!L210&amp;"-"&amp;'14U_M_Classic'!C210&amp;"-"&amp;TEXT('14U_M_Classic'!B210,"h:mm am/pm")</f>
        <v>14BX-125-5-8 v 9-12-10:00 AM</v>
      </c>
      <c r="BC55" s="363" t="str">
        <f>'18U_M_Champ'!L203&amp;"-"&amp;'18U_M_Champ'!N203&amp;"-"&amp;TEXT('18U_M_Champ'!B203,"h:mm am/pm")</f>
        <v>18B-125-pt_5-8 v 9-12-10:00 AM</v>
      </c>
      <c r="BD55" s="363" t="str">
        <f>'18U_M_Champ'!L233&amp;"-"&amp;'18U_M_Champ'!N233&amp;"-"&amp;TEXT('18U_M_Champ'!B233,"h:mm am/pm")</f>
        <v>18B-127-au_5-8 v 9-12-10:00 AM</v>
      </c>
      <c r="BE55" s="363" t="str">
        <f>'18U_M_Champ'!L248&amp;"-"&amp;'18U_M_Champ'!N248&amp;"-"&amp;TEXT('18U_M_Champ'!B248,"h:mm am/pm")</f>
        <v>18B-128-au_13-20 qtr-10:00 AM</v>
      </c>
      <c r="BF55" s="360" t="str">
        <f>'16U_M_Classic'!L213&amp;"-"&amp;'16U_M_Classic'!O213&amp;"-"&amp;TEXT('16U_M_Classic'!B213,"h:mm am/pm")</f>
        <v>16BX-122-ag_21-24 RR-10:00 AM</v>
      </c>
    </row>
    <row r="56" spans="1:61">
      <c r="A56" s="353">
        <v>0.4375</v>
      </c>
      <c r="B56" s="55" t="str">
        <f>'10U_M_Champ_35'!L184&amp;"-"&amp;'10U_M_Champ_35'!O184&amp;"-"&amp;TEXT('10U_M_Champ_35'!B184,"h:mm am/pm")</f>
        <v>10B-100-au_1-2 v 3-4-10:30 AM</v>
      </c>
      <c r="C56" s="55" t="str">
        <f>'10U_M_Champ_35'!L154&amp;"-"&amp;'10U_M_Champ_35'!O154&amp;"-"&amp;TEXT('10U_M_Champ_35'!B154,"h:mm am/pm")</f>
        <v>10B-098-pt_5-8 v 9-12-10:30 AM</v>
      </c>
      <c r="D56" s="55" t="str">
        <f>'10U_M_Champ_35'!L169&amp;"-"&amp;'10U_M_Champ_35'!O169&amp;"-"&amp;TEXT('10U_M_Champ_35'!B169,"h:mm am/pm")</f>
        <v>10B-099-pt_13-20 qtr-10:30 AM</v>
      </c>
      <c r="E56" s="354" t="str">
        <f>'12U_M_Classic_53'!L262&amp;"-"&amp;'12U_M_Classic_53'!N262&amp;"-"&amp;TEXT('12U_M_Classic_53'!B262,"h:mm am/pm")</f>
        <v>12BX-126-ag_17th-24th-10:30 AM</v>
      </c>
      <c r="G56" s="354" t="str">
        <f>'12U_M_Classic_53'!L245&amp;"-"&amp;'12U_M_Classic_53'!N245&amp;"-"&amp;TEXT('12U_M_Classic_53'!B245,"h:mm am/pm")</f>
        <v>12BX-127-ag_9-16 QF-10:30 AM</v>
      </c>
      <c r="I56" s="353">
        <v>0.4375</v>
      </c>
      <c r="J56" s="354" t="str">
        <f>'12U_M_Classic_53'!L314&amp;"-"&amp;'12U_M_Classic_53'!N314&amp;"-"&amp;TEXT('12U_M_Classic_53'!B314,"h:mm am/pm")</f>
        <v>12BX-121-bz_2v5 QF-10:30 AM</v>
      </c>
      <c r="K56" s="353">
        <v>0.4375</v>
      </c>
      <c r="L56" s="56" t="str">
        <f>'12U_M_Champ'!L199&amp;"-"&amp;'12U_M_Champ'!N199&amp;"-"&amp;TEXT('12U_M_Champ'!B199,"h:mm am/pm")</f>
        <v>12B-129-pt_5-8 v 9-12-10:30 AM</v>
      </c>
      <c r="M56" s="56" t="str">
        <f>'12U_M_Champ'!L229&amp;"-"&amp;'12U_M_Champ'!N229&amp;"-"&amp;TEXT('12U_M_Champ'!B229,"h:mm am/pm")</f>
        <v>12B-131-au_5-8 v 9-12-10:30 AM</v>
      </c>
      <c r="N56" s="56" t="str">
        <f>'12U_M_Champ'!L214&amp;"-"&amp;'12U_M_Champ'!N214&amp;"-"&amp;TEXT('12U_M_Champ'!B214,"h:mm am/pm")</f>
        <v>12B-130-pt_13-20 qtr-10:30 AM</v>
      </c>
      <c r="O56" s="354" t="str">
        <f>'12U_M_Classic_53'!L295&amp;"-"&amp;'12U_M_Classic_53'!N295&amp;"-"&amp;TEXT('12U_M_Classic_53'!B295,"h:mm am/pm")</f>
        <v>12BX-134-bz_9-16 QF-10:30 AM</v>
      </c>
      <c r="P56" s="353">
        <v>0.45833333333333298</v>
      </c>
      <c r="Q56" s="355" t="str">
        <f>'14U_M_Champ'!L199&amp;"-"&amp;'14U_M_Champ'!N199&amp;"-"&amp;TEXT('14U_M_Champ'!B199,"h:mm am/pm")</f>
        <v>14B-129-pt_5-8 v 9-12-11:00 AM</v>
      </c>
      <c r="R56" s="355" t="str">
        <f>'14U_M_Champ'!L214&amp;"-"&amp;'14U_M_Champ'!N214&amp;"-"&amp;TEXT('14U_M_Champ'!B214,"h:mm am/pm")</f>
        <v>14B-130-pt_13-20 qtr-11:00 AM</v>
      </c>
      <c r="S56" s="355" t="str">
        <f>'14U_M_Champ'!L244&amp;"-"&amp;'14U_M_Champ'!N244&amp;"-"&amp;TEXT('14U_M_Champ'!B244,"h:mm am/pm")</f>
        <v>14B-132-au_13-20 qtr-11:00 AM</v>
      </c>
      <c r="T56" s="49"/>
      <c r="U56" s="56" t="str">
        <f>'12U_M_Champ'!L244&amp;"-"&amp;'12U_M_Champ'!N244&amp;"-"&amp;TEXT('12U_M_Champ'!B244,"h:mm am/pm")</f>
        <v>12B-132-au_13-20 qtr-10:30 AM</v>
      </c>
      <c r="V56" s="356" t="str">
        <f>'14U_M_Invite_36'!L169&amp;"-"&amp;'14U_M_Invite_36'!O169&amp;"-"&amp;TEXT('14U_M_Invite_36'!B169,"h:mm am/pm")</f>
        <v>14BQ-099-ni_13-20 qtr-11:00 AM</v>
      </c>
      <c r="W56" s="356" t="str">
        <f>'14U_M_Invite_36'!L184&amp;"-"&amp;'14U_M_Invite_36'!O184&amp;"-"&amp;TEXT('14U_M_Invite_36'!B184,"h:mm am/pm")</f>
        <v>14BQ-100-cu_5-8 v 9-12-11:00 AM</v>
      </c>
      <c r="X56" s="353">
        <v>0.45833333333333298</v>
      </c>
      <c r="Z56" s="49"/>
      <c r="AA56" s="358" t="str">
        <f>'14U_M_Classic'!L241&amp;"-"&amp;'14U_M_Classic'!C241&amp;"-"&amp;TEXT('14U_M_Classic'!B241,"h:mm am/pm")</f>
        <v>14BX-131-5-8 v 9-12-11:00 AM</v>
      </c>
      <c r="AB56" s="358" t="str">
        <f>'14U_M_Classic'!L256&amp;"-"&amp;'14U_M_Classic'!C256&amp;"-"&amp;TEXT('14U_M_Classic'!B256,"h:mm am/pm")</f>
        <v>14BX-132-13-20 qtr-11:00 AM</v>
      </c>
      <c r="AC56" s="366" t="str">
        <f>'14U_M_Classic'!L225&amp;"-"&amp;'14U_M_Classic'!C225&amp;"-"&amp;TEXT('14U_M_Classic'!B225,"h:mm am/pm")</f>
        <v>14BX-126-13-20 qtr-10:30 AM</v>
      </c>
      <c r="AD56" s="363" t="str">
        <f>'18U_M_Champ'!L219&amp;"-"&amp;'18U_M_Champ'!N219&amp;"-"&amp;TEXT('18U_M_Champ'!B219,"h:mm am/pm")</f>
        <v>18B-130-pt_13-20 qtr-11:00 AM</v>
      </c>
      <c r="AE56" s="359" t="str">
        <f>'18U_M_Classic'!L214&amp;"-"&amp;'18U_M_Classic'!O214&amp;"-"&amp;TEXT('18U_M_Classic'!B214,"h:mm am/pm")</f>
        <v>18BX-130-ag_13-20 qtr-11:00 AM</v>
      </c>
      <c r="AF56" s="361" t="str">
        <f>'18U_M_INVITE_NEW_23'!L106&amp;"-"&amp;'18U_M_INVITE_NEW_23'!N106&amp;"-"&amp;TEXT('18U_M_INVITE_NEW_23'!B106,"h:mm am/pm")</f>
        <v>18BQ-059-ni_5-8 v 9-12-11:00 AM</v>
      </c>
      <c r="AG56" s="357" t="str">
        <f>'16U_M_Invite'!L207&amp;"-"&amp;'16U_M_Invite'!O207&amp;"-"&amp;TEXT('16U_M_Invite'!B207,"h:mm am/pm")</f>
        <v>16BQ-129-ni_5-8 v 9-12-11:00 AM</v>
      </c>
      <c r="AH56" s="49"/>
      <c r="AI56" s="359" t="str">
        <f>'18U_M_Classic'!L244&amp;"-"&amp;'18U_M_Classic'!O244&amp;"-"&amp;TEXT('18U_M_Classic'!B244,"h:mm am/pm")</f>
        <v>18BX-132-bz_13-20 qtr-11:00 AM</v>
      </c>
      <c r="AJ56" s="49"/>
      <c r="AK56" s="357" t="str">
        <f>'16U_M_Invite'!L252&amp;"-"&amp;'16U_M_Invite'!O252&amp;"-"&amp;TEXT('16U_M_Invite'!B252,"h:mm am/pm")</f>
        <v>16BQ-132-cu_13-20 qtr-11:00 AM</v>
      </c>
      <c r="AL56" s="357" t="str">
        <f>'16U_M_Invite'!L237&amp;"-"&amp;'16U_M_Invite'!O237&amp;"-"&amp;TEXT('16U_M_Invite'!B237,"h:mm am/pm")</f>
        <v>16BQ-131-cu_5-8 v 9-12-11:00 AM</v>
      </c>
      <c r="AM56" s="357" t="str">
        <f>'16U_M_Invite'!L222&amp;"-"&amp;'16U_M_Invite'!O222&amp;"-"&amp;TEXT('16U_M_Invite'!B222,"h:mm am/pm")</f>
        <v>16BQ-130-ni_13-20 qtr-11:00 AM</v>
      </c>
      <c r="AN56" s="360" t="str">
        <f>'16U_M_Classic'!L199&amp;"-"&amp;'16U_M_Classic'!O199&amp;"-"&amp;TEXT('16U_M_Classic'!B199,"h:mm am/pm")</f>
        <v>16BX-129-ag_5-8 v 9-12-11:00 AM</v>
      </c>
      <c r="AO56" s="355" t="str">
        <f>'14U_M_Champ'!L229&amp;"-"&amp;'14U_M_Champ'!N229&amp;"-"&amp;TEXT('14U_M_Champ'!B229,"h:mm am/pm")</f>
        <v>14B-131-au_5-8 v 9-12-11:00 AM</v>
      </c>
      <c r="AP56" s="360" t="str">
        <f>'16U_M_Classic'!L230&amp;"-"&amp;'16U_M_Classic'!O230&amp;"-"&amp;TEXT('16U_M_Classic'!B230,"h:mm am/pm")</f>
        <v>16BX-127-bz_5-8 v 9-12-11:00 AM</v>
      </c>
      <c r="AQ56" s="360" t="str">
        <f>'16U_M_Classic'!L246&amp;"-"&amp;'16U_M_Classic'!O246&amp;"-"&amp;TEXT('16U_M_Classic'!B246,"h:mm am/pm")</f>
        <v>16BX-140-bz_13-20 qtr-11:00 AM</v>
      </c>
      <c r="AR56" s="359" t="str">
        <f>'18U_M_Classic'!L229&amp;"-"&amp;'18U_M_Classic'!O229&amp;"-"&amp;TEXT('18U_M_Classic'!B229,"h:mm am/pm")</f>
        <v>18BX-131-bz_5-8 v 9-12-11:00 AM</v>
      </c>
      <c r="AS56" s="356" t="str">
        <f>'14U_M_Invite_36'!L154&amp;"-"&amp;'14U_M_Invite_36'!O154&amp;"-"&amp;TEXT('14U_M_Invite_36'!B154,"h:mm am/pm")</f>
        <v>14BQ-098-ni_5-8 v 9-12-11:00 AM</v>
      </c>
      <c r="AT56" s="361" t="str">
        <f>'18U_M_INVITE_NEW_23'!L122&amp;"-"&amp;'18U_M_INVITE_NEW_23'!N122&amp;"-"&amp;TEXT('18U_M_INVITE_NEW_23'!B122,"h:mm am/pm")</f>
        <v>18BQ-062-cu_Group-11:00 AM</v>
      </c>
      <c r="AU56" s="353">
        <v>0.45833333333333298</v>
      </c>
      <c r="AV56" s="362" t="str">
        <f>'16U_M_Champ'!L199&amp;"-"&amp;'16U_M_Champ'!O199&amp;"-"&amp;TEXT('16U_M_Champ'!B199,"h:mm am/pm")</f>
        <v>16B-129-pt_5-8 v 9-12-11:00 AM</v>
      </c>
      <c r="AW56" s="362" t="str">
        <f>'16U_M_Champ'!L229&amp;"-"&amp;'16U_M_Champ'!O229&amp;"-"&amp;TEXT('16U_M_Champ'!B229,"h:mm am/pm")</f>
        <v>16B-131-au_5-8 v 9-12-11:00 AM</v>
      </c>
      <c r="AX56" s="362" t="str">
        <f>'16U_M_Champ'!L214&amp;"-"&amp;'16U_M_Champ'!O214&amp;"-"&amp;TEXT('16U_M_Champ'!B214,"h:mm am/pm")</f>
        <v>16B-130-pt_13-20 qtr-11:00 AM</v>
      </c>
      <c r="AY56" s="362" t="str">
        <f>'16U_M_Champ'!L244&amp;"-"&amp;'16U_M_Champ'!O244&amp;"-"&amp;TEXT('16U_M_Champ'!B244,"h:mm am/pm")</f>
        <v>16B-132-au_13-20 qtr-11:00 AM</v>
      </c>
      <c r="AZ56" s="359" t="str">
        <f>'18U_M_Classic'!L199&amp;"-"&amp;'18U_M_Classic'!O199&amp;"-"&amp;TEXT('18U_M_Classic'!B199,"h:mm am/pm")</f>
        <v>18BX-129-ag_5-8 v 9-12-11:00 AM</v>
      </c>
      <c r="BA56" s="353">
        <v>0.45833333333333298</v>
      </c>
      <c r="BB56" s="358" t="str">
        <f>'14U_M_Classic'!L211&amp;"-"&amp;'14U_M_Classic'!C211&amp;"-"&amp;TEXT('14U_M_Classic'!B211,"h:mm am/pm")</f>
        <v>14BX-129-5-8 v 9-12-11:00 AM</v>
      </c>
      <c r="BC56" s="363" t="str">
        <f>'18U_M_Champ'!L204&amp;"-"&amp;'18U_M_Champ'!N204&amp;"-"&amp;TEXT('18U_M_Champ'!B204,"h:mm am/pm")</f>
        <v>18B-129-pt_5-8 v 9-12-11:00 AM</v>
      </c>
      <c r="BD56" s="363" t="str">
        <f>'18U_M_Champ'!L234&amp;"-"&amp;'18U_M_Champ'!N234&amp;"-"&amp;TEXT('18U_M_Champ'!B234,"h:mm am/pm")</f>
        <v>18B-131-au_5-8 v 9-12-11:00 AM</v>
      </c>
      <c r="BE56" s="363" t="str">
        <f>'18U_M_Champ'!L249&amp;"-"&amp;'18U_M_Champ'!N249&amp;"-"&amp;TEXT('18U_M_Champ'!B249,"h:mm am/pm")</f>
        <v>18B-132-au_13-20 qtr-11:00 AM</v>
      </c>
      <c r="BF56" s="360" t="str">
        <f>'16U_M_Classic'!L214&amp;"-"&amp;'16U_M_Classic'!O214&amp;"-"&amp;TEXT('16U_M_Classic'!B214,"h:mm am/pm")</f>
        <v>16BX-126-ag_13-20 qtr-11:00 AM</v>
      </c>
    </row>
    <row r="57" spans="1:61">
      <c r="A57" s="353">
        <v>0.47222222222222199</v>
      </c>
      <c r="B57" s="55" t="str">
        <f>'10U_M_Champ_35'!L185&amp;"-"&amp;'10U_M_Champ_35'!O185&amp;"-"&amp;TEXT('10U_M_Champ_35'!B185,"h:mm am/pm")</f>
        <v>10B-103-au_5-6 v 7-8-11:20 AM</v>
      </c>
      <c r="C57" s="55" t="str">
        <f>'10U_M_Champ_35'!L155&amp;"-"&amp;'10U_M_Champ_35'!O155&amp;"-"&amp;TEXT('10U_M_Champ_35'!B155,"h:mm am/pm")</f>
        <v>10B-101-pt_1-2 v 3-4-11:20 AM</v>
      </c>
      <c r="D57" s="55" t="str">
        <f>'10U_M_Champ_35'!L170&amp;"-"&amp;'10U_M_Champ_35'!O170&amp;"-"&amp;TEXT('10U_M_Champ_35'!B170,"h:mm am/pm")</f>
        <v>10B-102-pt_13-20 qtr-11:20 AM</v>
      </c>
      <c r="E57" s="354" t="str">
        <f>'12U_M_Classic_53'!L263&amp;"-"&amp;'12U_M_Classic_53'!N263&amp;"-"&amp;TEXT('12U_M_Classic_53'!B263,"h:mm am/pm")</f>
        <v>12BX-137-ag_17th-24th-11:20 AM</v>
      </c>
      <c r="G57" s="354" t="str">
        <f>'12U_M_Classic_53'!L246&amp;"-"&amp;'12U_M_Classic_53'!N246&amp;"-"&amp;TEXT('12U_M_Classic_53'!B246,"h:mm am/pm")</f>
        <v>12BX-133-ag_W to semi, L to play-in 1v4-11:20 AM</v>
      </c>
      <c r="H57" s="354" t="str">
        <f>'12U_M_Classic_53'!L281&amp;"-"&amp;'12U_M_Classic_53'!N281&amp;"-"&amp;TEXT('12U_M_Classic_53'!B281,"h:mm am/pm")</f>
        <v>12BX-135-bz_V-11:20 AM</v>
      </c>
      <c r="I57" s="353">
        <v>0.47222222222222199</v>
      </c>
      <c r="J57" s="354" t="str">
        <f>'12U_M_Classic_53'!L315&amp;"-"&amp;'12U_M_Classic_53'!N315&amp;"-"&amp;TEXT('12U_M_Classic_53'!B315,"h:mm am/pm")</f>
        <v>12BX-138-bz_W to semi, L to play-in-11:20 AM</v>
      </c>
      <c r="K57" s="353">
        <v>0.47222222222222199</v>
      </c>
      <c r="L57" s="56" t="str">
        <f>'12U_M_Champ'!L200&amp;"-"&amp;'12U_M_Champ'!N200&amp;"-"&amp;TEXT('12U_M_Champ'!B200,"h:mm am/pm")</f>
        <v>12B-133-pt_1-2 v 3-4-11:20 AM</v>
      </c>
      <c r="M57" s="56" t="str">
        <f>'12U_M_Champ'!L230&amp;"-"&amp;'12U_M_Champ'!N230&amp;"-"&amp;TEXT('12U_M_Champ'!B230,"h:mm am/pm")</f>
        <v>12B-135-au_1-2 v 3-4-11:20 AM</v>
      </c>
      <c r="N57" s="56" t="str">
        <f>'12U_M_Champ'!L215&amp;"-"&amp;'12U_M_Champ'!N215&amp;"-"&amp;TEXT('12U_M_Champ'!B215,"h:mm am/pm")</f>
        <v>12B-134-pt_13-20 qtr-11:20 AM</v>
      </c>
      <c r="O57" s="354" t="str">
        <f>'12U_M_Classic_53'!L296&amp;"-"&amp;'12U_M_Classic_53'!N296&amp;"-"&amp;TEXT('12U_M_Classic_53'!B296,"h:mm am/pm")</f>
        <v>12BX-135A-bz_X-11:20 AM</v>
      </c>
      <c r="P57" s="353">
        <v>0.5</v>
      </c>
      <c r="Q57" s="355" t="str">
        <f>'14U_M_Champ'!L200&amp;"-"&amp;'14U_M_Champ'!N200&amp;"-"&amp;TEXT('14U_M_Champ'!B200,"h:mm am/pm")</f>
        <v>14B-133-pt_1-2 v 3-4-12:00 PM</v>
      </c>
      <c r="R57" s="355" t="str">
        <f>'14U_M_Champ'!L215&amp;"-"&amp;'14U_M_Champ'!N215&amp;"-"&amp;TEXT('14U_M_Champ'!B215,"h:mm am/pm")</f>
        <v>14B-134-pt_13-20 qtr-12:00 PM</v>
      </c>
      <c r="S57" s="355" t="str">
        <f>'14U_M_Champ'!L245&amp;"-"&amp;'14U_M_Champ'!N245&amp;"-"&amp;TEXT('14U_M_Champ'!B245,"h:mm am/pm")</f>
        <v>14B-136-au_13-20 qtr-12:00 PM</v>
      </c>
      <c r="T57" s="49"/>
      <c r="U57" s="56" t="str">
        <f>'12U_M_Champ'!L245&amp;"-"&amp;'12U_M_Champ'!N245&amp;"-"&amp;TEXT('12U_M_Champ'!B245,"h:mm am/pm")</f>
        <v>12B-136-au_13-20 qtr-11:20 AM</v>
      </c>
      <c r="V57" s="356" t="str">
        <f>'14U_M_Invite_36'!L170&amp;"-"&amp;'14U_M_Invite_36'!O170&amp;"-"&amp;TEXT('14U_M_Invite_36'!B170,"h:mm am/pm")</f>
        <v>14BQ-102-ni_13-20 qtr-12:00 PM</v>
      </c>
      <c r="W57" s="356" t="str">
        <f>'14U_M_Invite_36'!L185&amp;"-"&amp;'14U_M_Invite_36'!O185&amp;"-"&amp;TEXT('14U_M_Invite_36'!B185,"h:mm am/pm")</f>
        <v>14BQ-103-cu_1-2 v 3-4-12:00 PM</v>
      </c>
      <c r="X57" s="353">
        <v>0.5</v>
      </c>
      <c r="Z57" s="49"/>
      <c r="AA57" s="358" t="str">
        <f>'14U_M_Classic'!L242&amp;"-"&amp;'14U_M_Classic'!C242&amp;"-"&amp;TEXT('14U_M_Classic'!B242,"h:mm am/pm")</f>
        <v>14BX-135-1-2 v 3-4-12:00 PM</v>
      </c>
      <c r="AB57" s="358" t="str">
        <f>'14U_M_Classic'!L257&amp;"-"&amp;'14U_M_Classic'!C257&amp;"-"&amp;TEXT('14U_M_Classic'!B257,"h:mm am/pm")</f>
        <v>14BX-136-13-20 qtr-12:00 PM</v>
      </c>
      <c r="AC57" s="366" t="str">
        <f>'14U_M_Classic'!L226&amp;"-"&amp;'14U_M_Classic'!C226&amp;"-"&amp;TEXT('14U_M_Classic'!B226,"h:mm am/pm")</f>
        <v>14BX-130-13-20 qtr-11:30 AM</v>
      </c>
      <c r="AD57" s="363" t="str">
        <f>'18U_M_Champ'!L220&amp;"-"&amp;'18U_M_Champ'!N220&amp;"-"&amp;TEXT('18U_M_Champ'!B220,"h:mm am/pm")</f>
        <v>18B-134-pt_13-20 qtr-12:00 PM</v>
      </c>
      <c r="AE57" s="359" t="str">
        <f>'18U_M_Classic'!L215&amp;"-"&amp;'18U_M_Classic'!O215&amp;"-"&amp;TEXT('18U_M_Classic'!B215,"h:mm am/pm")</f>
        <v>18BX-134-ag_13-20 qtr-12:00 PM</v>
      </c>
      <c r="AF57" s="361" t="str">
        <f>'18U_M_INVITE_NEW_23'!L107&amp;"-"&amp;'18U_M_INVITE_NEW_23'!N107&amp;"-"&amp;TEXT('18U_M_INVITE_NEW_23'!B107,"h:mm am/pm")</f>
        <v>18BQ-061-ni_1-2 v 3-4-12:00 PM</v>
      </c>
      <c r="AG57" s="357" t="str">
        <f>'16U_M_Invite'!L208&amp;"-"&amp;'16U_M_Invite'!O208&amp;"-"&amp;TEXT('16U_M_Invite'!B208,"h:mm am/pm")</f>
        <v>16BQ-133-ni_1-2 v 3-4-12:00 PM</v>
      </c>
      <c r="AH57" s="49"/>
      <c r="AI57" s="359" t="str">
        <f>'18U_M_Classic'!L245&amp;"-"&amp;'18U_M_Classic'!O245&amp;"-"&amp;TEXT('18U_M_Classic'!B245,"h:mm am/pm")</f>
        <v>18BX-136-bz_13-20 qtr-12:00 PM</v>
      </c>
      <c r="AJ57" s="49"/>
      <c r="AK57" s="357" t="str">
        <f>'16U_M_Invite'!L253&amp;"-"&amp;'16U_M_Invite'!O253&amp;"-"&amp;TEXT('16U_M_Invite'!B253,"h:mm am/pm")</f>
        <v>16BQ-136-cu_13-20 qtr-12:00 PM</v>
      </c>
      <c r="AL57" s="357" t="str">
        <f>'16U_M_Invite'!L238&amp;"-"&amp;'16U_M_Invite'!O238&amp;"-"&amp;TEXT('16U_M_Invite'!B238,"h:mm am/pm")</f>
        <v>16BQ-135-cu_1-2 v 3-4-12:00 PM</v>
      </c>
      <c r="AM57" s="357" t="str">
        <f>'16U_M_Invite'!L223&amp;"-"&amp;'16U_M_Invite'!O223&amp;"-"&amp;TEXT('16U_M_Invite'!B223,"h:mm am/pm")</f>
        <v>16BQ-134-ni_13-20 qtr-12:00 PM</v>
      </c>
      <c r="AN57" s="360" t="str">
        <f>'16U_M_Classic'!L200&amp;"-"&amp;'16U_M_Classic'!O200&amp;"-"&amp;TEXT('16U_M_Classic'!B200,"h:mm am/pm")</f>
        <v>16BX-133-ag_1-2 v 3-4-12:00 PM</v>
      </c>
      <c r="AO57" s="355" t="str">
        <f>'14U_M_Champ'!L230&amp;"-"&amp;'14U_M_Champ'!N230&amp;"-"&amp;TEXT('14U_M_Champ'!B230,"h:mm am/pm")</f>
        <v>14B-135-au_1-2 v 3-4-12:00 PM</v>
      </c>
      <c r="AP57" s="360" t="str">
        <f>'16U_M_Classic'!L231&amp;"-"&amp;'16U_M_Classic'!O231&amp;"-"&amp;TEXT('16U_M_Classic'!B231,"h:mm am/pm")</f>
        <v>16BX-131-bz_5-8 v 9-12-12:00 PM</v>
      </c>
      <c r="AQ57" s="360" t="str">
        <f>'16U_M_Classic'!L247&amp;"-"&amp;'16U_M_Classic'!O247&amp;"-"&amp;TEXT('16U_M_Classic'!B247,"h:mm am/pm")</f>
        <v>16BX-144-bz_21-24 RR-12:00 PM</v>
      </c>
      <c r="AR57" s="359" t="str">
        <f>'18U_M_Classic'!L230&amp;"-"&amp;'18U_M_Classic'!O230&amp;"-"&amp;TEXT('18U_M_Classic'!B230,"h:mm am/pm")</f>
        <v>18BX-135-bz_1-2 v 3-4-12:00 PM</v>
      </c>
      <c r="AS57" s="356" t="str">
        <f>'14U_M_Invite_36'!L155&amp;"-"&amp;'14U_M_Invite_36'!O155&amp;"-"&amp;TEXT('14U_M_Invite_36'!B155,"h:mm am/pm")</f>
        <v>14BQ-101-ni_1-2 v 3-4-12:00 PM</v>
      </c>
      <c r="AT57" s="361" t="str">
        <f>'18U_M_INVITE_NEW_23'!L123&amp;"-"&amp;'18U_M_INVITE_NEW_23'!N123&amp;"-"&amp;TEXT('18U_M_INVITE_NEW_23'!B123,"h:mm am/pm")</f>
        <v>18BQ-064-cu_Group-12:00 PM</v>
      </c>
      <c r="AU57" s="353">
        <v>0.5</v>
      </c>
      <c r="AV57" s="362" t="str">
        <f>'16U_M_Champ'!L200&amp;"-"&amp;'16U_M_Champ'!O200&amp;"-"&amp;TEXT('16U_M_Champ'!B200,"h:mm am/pm")</f>
        <v>16B-133-pt_1-2 v 3-4-12:00 PM</v>
      </c>
      <c r="AW57" s="362" t="str">
        <f>'16U_M_Champ'!L230&amp;"-"&amp;'16U_M_Champ'!O230&amp;"-"&amp;TEXT('16U_M_Champ'!B230,"h:mm am/pm")</f>
        <v>16B-135-au_1-2 v 3-4-12:00 PM</v>
      </c>
      <c r="AX57" s="362" t="str">
        <f>'16U_M_Champ'!L215&amp;"-"&amp;'16U_M_Champ'!O215&amp;"-"&amp;TEXT('16U_M_Champ'!B215,"h:mm am/pm")</f>
        <v>16B-134-pt_13-20 qtr-12:00 PM</v>
      </c>
      <c r="AY57" s="362" t="str">
        <f>'16U_M_Champ'!L245&amp;"-"&amp;'16U_M_Champ'!O245&amp;"-"&amp;TEXT('16U_M_Champ'!B245,"h:mm am/pm")</f>
        <v>16B-136-au_13-20 qtr-12:00 PM</v>
      </c>
      <c r="AZ57" s="359" t="str">
        <f>'18U_M_Classic'!L200&amp;"-"&amp;'18U_M_Classic'!O200&amp;"-"&amp;TEXT('18U_M_Classic'!B200,"h:mm am/pm")</f>
        <v>18BX-133-ag_1-2 v 3-4-12:00 PM</v>
      </c>
      <c r="BA57" s="353">
        <v>0.5</v>
      </c>
      <c r="BB57" s="358" t="str">
        <f>'14U_M_Classic'!L212&amp;"-"&amp;'14U_M_Classic'!C212&amp;"-"&amp;TEXT('14U_M_Classic'!B212,"h:mm am/pm")</f>
        <v>14BX-133-1-2 v 3-4-12:00 PM</v>
      </c>
      <c r="BC57" s="363" t="str">
        <f>'18U_M_Champ'!L205&amp;"-"&amp;'18U_M_Champ'!N205&amp;"-"&amp;TEXT('18U_M_Champ'!B205,"h:mm am/pm")</f>
        <v>18B-133-pt_1-2 v 3-4-12:00 PM</v>
      </c>
      <c r="BD57" s="363" t="str">
        <f>'18U_M_Champ'!L235&amp;"-"&amp;'18U_M_Champ'!N235&amp;"-"&amp;TEXT('18U_M_Champ'!B235,"h:mm am/pm")</f>
        <v>18B-135-au_1-2 v 3-4-12:00 PM</v>
      </c>
      <c r="BE57" s="363" t="str">
        <f>'18U_M_Champ'!L250&amp;"-"&amp;'18U_M_Champ'!N250&amp;"-"&amp;TEXT('18U_M_Champ'!B250,"h:mm am/pm")</f>
        <v>18B-136-au_13-20 qtr-12:00 PM</v>
      </c>
      <c r="BF57" s="360" t="str">
        <f>'16U_M_Classic'!L215&amp;"-"&amp;'16U_M_Classic'!O215&amp;"-"&amp;TEXT('16U_M_Classic'!B215,"h:mm am/pm")</f>
        <v>16BX-130-ag_13-20 qtr-12:00 PM</v>
      </c>
    </row>
    <row r="58" spans="1:61">
      <c r="A58" s="353">
        <v>0.50694444444444398</v>
      </c>
      <c r="B58" s="55" t="str">
        <f>'10U_M_Champ_35'!L186&amp;"-"&amp;'10U_M_Champ_35'!O186&amp;"-"&amp;TEXT('10U_M_Champ_35'!B186,"h:mm am/pm")</f>
        <v>10B-106-au_1-2 v 3-4-12:10 PM</v>
      </c>
      <c r="C58" s="55" t="str">
        <f>'10U_M_Champ_35'!L156&amp;"-"&amp;'10U_M_Champ_35'!O156&amp;"-"&amp;TEXT('10U_M_Champ_35'!B156,"h:mm am/pm")</f>
        <v>10B-104-pt_1-2 v 3-4-12:10 PM</v>
      </c>
      <c r="D58" s="55" t="str">
        <f>'10U_M_Champ_35'!L171&amp;"-"&amp;'10U_M_Champ_35'!O171&amp;"-"&amp;TEXT('10U_M_Champ_35'!B171,"h:mm am/pm")</f>
        <v>10B-105-pt_13-20 qtr-12:10 PM</v>
      </c>
      <c r="E58" s="354" t="str">
        <f>'12U_M_Classic_53'!L264&amp;"-"&amp;'12U_M_Classic_53'!N264&amp;"-"&amp;TEXT('12U_M_Classic_53'!B264,"h:mm am/pm")</f>
        <v>12BX-140-ag_17th-24th-12:10 PM</v>
      </c>
      <c r="G58" s="354" t="str">
        <f>'12U_M_Classic_53'!L247&amp;"-"&amp;'12U_M_Classic_53'!N247&amp;"-"&amp;TEXT('12U_M_Classic_53'!B247,"h:mm am/pm")</f>
        <v>12BX-136-ag_W to semi, L to play-in 2v3-12:10 PM</v>
      </c>
      <c r="H58" s="354" t="str">
        <f>'12U_M_Classic_53'!L282&amp;"-"&amp;'12U_M_Classic_53'!N282&amp;"-"&amp;TEXT('12U_M_Classic_53'!B282,"h:mm am/pm")</f>
        <v>12BX-147-bz_W-12:10 PM</v>
      </c>
      <c r="I58" s="353">
        <v>0.50694444444444398</v>
      </c>
      <c r="J58" s="354" t="str">
        <f>'12U_M_Classic_53'!L316&amp;"-"&amp;'12U_M_Classic_53'!N316&amp;"-"&amp;TEXT('12U_M_Classic_53'!B316,"h:mm am/pm")</f>
        <v>12BX-141-bz_W to semi, L to play-in-12:10 PM</v>
      </c>
      <c r="K58" s="353">
        <v>0.50694444444444398</v>
      </c>
      <c r="L58" s="56" t="str">
        <f>'12U_M_Champ'!L201&amp;"-"&amp;'12U_M_Champ'!N201&amp;"-"&amp;TEXT('12U_M_Champ'!B201,"h:mm am/pm")</f>
        <v>12B-137-pt_1-2 v 3-4-12:10 PM</v>
      </c>
      <c r="M58" s="56" t="str">
        <f>'12U_M_Champ'!L231&amp;"-"&amp;'12U_M_Champ'!N231&amp;"-"&amp;TEXT('12U_M_Champ'!B231,"h:mm am/pm")</f>
        <v>12B-139-au_1-2 v 3-4-12:10 PM</v>
      </c>
      <c r="N58" s="56" t="str">
        <f>'12U_M_Champ'!L216&amp;"-"&amp;'12U_M_Champ'!N216&amp;"-"&amp;TEXT('12U_M_Champ'!B216,"h:mm am/pm")</f>
        <v>12B-138-pt_13-20 qtr-12:10 PM</v>
      </c>
      <c r="O58" s="354" t="str">
        <f>'12U_M_Classic_53'!L297&amp;"-"&amp;'12U_M_Classic_53'!N297&amp;"-"&amp;TEXT('12U_M_Classic_53'!B297,"h:mm am/pm")</f>
        <v>12BX-130-bz_9-16 QF-12:10 PM</v>
      </c>
      <c r="P58" s="353">
        <v>0.54166666666666696</v>
      </c>
      <c r="Q58" s="355" t="str">
        <f>'14U_M_Champ'!L201&amp;"-"&amp;'14U_M_Champ'!N201&amp;"-"&amp;TEXT('14U_M_Champ'!B201,"h:mm am/pm")</f>
        <v>14B-137-pt_1-2 v 3-4-1:00 PM</v>
      </c>
      <c r="R58" s="355" t="str">
        <f>'14U_M_Champ'!L216&amp;"-"&amp;'14U_M_Champ'!N216&amp;"-"&amp;TEXT('14U_M_Champ'!B216,"h:mm am/pm")</f>
        <v>14B-138-pt_13-20 qtr-1:00 PM</v>
      </c>
      <c r="S58" s="355" t="str">
        <f>'14U_M_Champ'!L246&amp;"-"&amp;'14U_M_Champ'!N246&amp;"-"&amp;TEXT('14U_M_Champ'!B246,"h:mm am/pm")</f>
        <v>14B-140-au_13-20 qtr-1:00 PM</v>
      </c>
      <c r="T58" s="49"/>
      <c r="U58" s="56" t="str">
        <f>'12U_M_Champ'!L246&amp;"-"&amp;'12U_M_Champ'!N246&amp;"-"&amp;TEXT('12U_M_Champ'!B246,"h:mm am/pm")</f>
        <v>12B-140-au_13-20 qtr-12:10 PM</v>
      </c>
      <c r="V58" s="356" t="str">
        <f>'14U_M_Invite_36'!L171&amp;"-"&amp;'14U_M_Invite_36'!O171&amp;"-"&amp;TEXT('14U_M_Invite_36'!B171,"h:mm am/pm")</f>
        <v>14BQ-105-ni_13-20 qtr-1:00 PM</v>
      </c>
      <c r="W58" s="356" t="str">
        <f>'14U_M_Invite_36'!L186&amp;"-"&amp;'14U_M_Invite_36'!O186&amp;"-"&amp;TEXT('14U_M_Invite_36'!B186,"h:mm am/pm")</f>
        <v>14BQ-106-cu_1-2 v 3-4-1:00 PM</v>
      </c>
      <c r="X58" s="353">
        <v>0.54166666666666696</v>
      </c>
      <c r="Z58" s="49"/>
      <c r="AA58" s="358" t="str">
        <f>'14U_M_Classic'!L243&amp;"-"&amp;'14U_M_Classic'!C243&amp;"-"&amp;TEXT('14U_M_Classic'!B243,"h:mm am/pm")</f>
        <v>14BX-139-1-2 v 3-4-1:00 PM</v>
      </c>
      <c r="AB58" s="358" t="str">
        <f>'14U_M_Classic'!L258&amp;"-"&amp;'14U_M_Classic'!C258&amp;"-"&amp;TEXT('14U_M_Classic'!B258,"h:mm am/pm")</f>
        <v>14BX-140-13-20 qtr-1:00 PM</v>
      </c>
      <c r="AC58" s="366" t="str">
        <f>'14U_M_Classic'!L227&amp;"-"&amp;'14U_M_Classic'!C227&amp;"-"&amp;TEXT('14U_M_Classic'!B227,"h:mm am/pm")</f>
        <v>14BX-134-13-20 qtr-12:30 PM</v>
      </c>
      <c r="AD58" s="363" t="str">
        <f>'18U_M_Champ'!L221&amp;"-"&amp;'18U_M_Champ'!N221&amp;"-"&amp;TEXT('18U_M_Champ'!B221,"h:mm am/pm")</f>
        <v>18B-138-pt_13-20 qtr-1:00 PM</v>
      </c>
      <c r="AE58" s="359" t="str">
        <f>'18U_M_Classic'!L216&amp;"-"&amp;'18U_M_Classic'!O216&amp;"-"&amp;TEXT('18U_M_Classic'!B216,"h:mm am/pm")</f>
        <v>18BX-138-ag_13-20 qtr-1:00 PM</v>
      </c>
      <c r="AF58" s="361" t="str">
        <f>'18U_M_INVITE_NEW_23'!L108&amp;"-"&amp;'18U_M_INVITE_NEW_23'!N108&amp;"-"&amp;TEXT('18U_M_INVITE_NEW_23'!B108,"h:mm am/pm")</f>
        <v>18BQ-063-ni_5-6 v 7-8-1:00 PM</v>
      </c>
      <c r="AG58" s="357" t="str">
        <f>'16U_M_Invite'!L209&amp;"-"&amp;'16U_M_Invite'!O209&amp;"-"&amp;TEXT('16U_M_Invite'!B209,"h:mm am/pm")</f>
        <v>16BQ-137-ni_1-2 v 3-4-1:00 PM</v>
      </c>
      <c r="AH58" s="49"/>
      <c r="AI58" s="359" t="str">
        <f>'18U_M_Classic'!L246&amp;"-"&amp;'18U_M_Classic'!O246&amp;"-"&amp;TEXT('18U_M_Classic'!B246,"h:mm am/pm")</f>
        <v>18BX-140-bz_13-20 qtr-1:00 PM</v>
      </c>
      <c r="AJ58" s="49"/>
      <c r="AK58" s="357" t="str">
        <f>'16U_M_Invite'!L254&amp;"-"&amp;'16U_M_Invite'!O254&amp;"-"&amp;TEXT('16U_M_Invite'!B254,"h:mm am/pm")</f>
        <v>16BQ-140-cu_13-20 qtr-1:00 PM</v>
      </c>
      <c r="AL58" s="357" t="str">
        <f>'16U_M_Invite'!L239&amp;"-"&amp;'16U_M_Invite'!O239&amp;"-"&amp;TEXT('16U_M_Invite'!B239,"h:mm am/pm")</f>
        <v>16BQ-139-cu_1-2 v 3-4-1:00 PM</v>
      </c>
      <c r="AM58" s="357" t="str">
        <f>'16U_M_Invite'!L224&amp;"-"&amp;'16U_M_Invite'!O224&amp;"-"&amp;TEXT('16U_M_Invite'!B224,"h:mm am/pm")</f>
        <v>16BQ-138-ni_13-20 qtr-1:00 PM</v>
      </c>
      <c r="AN58" s="360" t="str">
        <f>'16U_M_Classic'!L201&amp;"-"&amp;'16U_M_Classic'!O201&amp;"-"&amp;TEXT('16U_M_Classic'!B201,"h:mm am/pm")</f>
        <v>16BX-137-ag_1-2 v 3-4-1:00 PM</v>
      </c>
      <c r="AO58" s="355" t="str">
        <f>'14U_M_Champ'!L231&amp;"-"&amp;'14U_M_Champ'!N231&amp;"-"&amp;TEXT('14U_M_Champ'!B231,"h:mm am/pm")</f>
        <v>14B-139-au_1-2 v 3-4-1:00 PM</v>
      </c>
      <c r="AP58" s="360" t="str">
        <f>'16U_M_Classic'!L232&amp;"-"&amp;'16U_M_Classic'!O232&amp;"-"&amp;TEXT('16U_M_Classic'!B232,"h:mm am/pm")</f>
        <v>16BX-135-bz_1-2 v 3-4-1:00 PM</v>
      </c>
      <c r="AQ58" s="360" t="str">
        <f>'16U_M_Classic'!L248&amp;"-"&amp;'16U_M_Classic'!O248&amp;"-"&amp;TEXT('16U_M_Classic'!B248,"h:mm am/pm")</f>
        <v>16BX-148-bz_21-24 RR-1:00 PM</v>
      </c>
      <c r="AR58" s="359" t="str">
        <f>'18U_M_Classic'!L231&amp;"-"&amp;'18U_M_Classic'!O231&amp;"-"&amp;TEXT('18U_M_Classic'!B231,"h:mm am/pm")</f>
        <v>18BX-139-bz_1-2 v 3-4-1:00 PM</v>
      </c>
      <c r="AS58" s="356" t="str">
        <f>'14U_M_Invite_36'!L156&amp;"-"&amp;'14U_M_Invite_36'!O156&amp;"-"&amp;TEXT('14U_M_Invite_36'!B156,"h:mm am/pm")</f>
        <v>14BQ-104-ni_1-2 v 3-4-1:00 PM</v>
      </c>
      <c r="AT58" s="361" t="str">
        <f>'18U_M_INVITE_NEW_23'!L124&amp;"-"&amp;'18U_M_INVITE_NEW_23'!N124&amp;"-"&amp;TEXT('18U_M_INVITE_NEW_23'!B124,"h:mm am/pm")</f>
        <v>18BQ-066-cu_Group-1:00 PM</v>
      </c>
      <c r="AU58" s="353">
        <v>0.54166666666666696</v>
      </c>
      <c r="AV58" s="362" t="str">
        <f>'16U_M_Champ'!L201&amp;"-"&amp;'16U_M_Champ'!O201&amp;"-"&amp;TEXT('16U_M_Champ'!B201,"h:mm am/pm")</f>
        <v>16B-137-pt_1-2 v 3-4-1:00 PM</v>
      </c>
      <c r="AW58" s="362" t="str">
        <f>'16U_M_Champ'!L231&amp;"-"&amp;'16U_M_Champ'!O231&amp;"-"&amp;TEXT('16U_M_Champ'!B231,"h:mm am/pm")</f>
        <v>16B-139-au_1-2 v 3-4-1:00 PM</v>
      </c>
      <c r="AX58" s="362" t="str">
        <f>'16U_M_Champ'!L216&amp;"-"&amp;'16U_M_Champ'!O216&amp;"-"&amp;TEXT('16U_M_Champ'!B216,"h:mm am/pm")</f>
        <v>16B-138-pt_13-20 qtr-1:00 PM</v>
      </c>
      <c r="AY58" s="362" t="str">
        <f>'16U_M_Champ'!L246&amp;"-"&amp;'16U_M_Champ'!O246&amp;"-"&amp;TEXT('16U_M_Champ'!B246,"h:mm am/pm")</f>
        <v>16B-140-au_13-20 qtr-1:00 PM</v>
      </c>
      <c r="AZ58" s="359" t="str">
        <f>'18U_M_Classic'!L201&amp;"-"&amp;'18U_M_Classic'!O201&amp;"-"&amp;TEXT('18U_M_Classic'!B201,"h:mm am/pm")</f>
        <v>18BX-137-ag_1-2 v 3-4-1:00 PM</v>
      </c>
      <c r="BA58" s="353">
        <v>0.54166666666666696</v>
      </c>
      <c r="BB58" s="358" t="str">
        <f>'14U_M_Classic'!L213&amp;"-"&amp;'14U_M_Classic'!C213&amp;"-"&amp;TEXT('14U_M_Classic'!B213,"h:mm am/pm")</f>
        <v>14BX-137-1-2 v 3-4-1:00 PM</v>
      </c>
      <c r="BC58" s="363" t="str">
        <f>'18U_M_Champ'!L206&amp;"-"&amp;'18U_M_Champ'!N206&amp;"-"&amp;TEXT('18U_M_Champ'!B206,"h:mm am/pm")</f>
        <v>18B-137-pt_1-2 v 3-4-1:00 PM</v>
      </c>
      <c r="BD58" s="363" t="str">
        <f>'18U_M_Champ'!L236&amp;"-"&amp;'18U_M_Champ'!N236&amp;"-"&amp;TEXT('18U_M_Champ'!B236,"h:mm am/pm")</f>
        <v>18B-139-au_1-2 v 3-4-1:00 PM</v>
      </c>
      <c r="BE58" s="363" t="str">
        <f>'18U_M_Champ'!L251&amp;"-"&amp;'18U_M_Champ'!N251&amp;"-"&amp;TEXT('18U_M_Champ'!B251,"h:mm am/pm")</f>
        <v>18B-140-au_13-20 qtr-1:00 PM</v>
      </c>
      <c r="BF58" s="360" t="str">
        <f>'16U_M_Classic'!L216&amp;"-"&amp;'16U_M_Classic'!O216&amp;"-"&amp;TEXT('16U_M_Classic'!B216,"h:mm am/pm")</f>
        <v>16BX-134-ag_13-20 qtr-1:00 PM</v>
      </c>
    </row>
    <row r="59" spans="1:61">
      <c r="A59" s="353">
        <v>0.54166666666666696</v>
      </c>
      <c r="B59" s="55" t="str">
        <f>'10U_M_Champ_35'!L187&amp;"-"&amp;'10U_M_Champ_35'!O187&amp;"-"&amp;TEXT('10U_M_Champ_35'!B187,"h:mm am/pm")</f>
        <v>10B-109-au_5-6 v 7-8-1:00 PM</v>
      </c>
      <c r="C59" s="55" t="str">
        <f>'10U_M_Champ_35'!L157&amp;"-"&amp;'10U_M_Champ_35'!O157&amp;"-"&amp;TEXT('10U_M_Champ_35'!B157,"h:mm am/pm")</f>
        <v>10B-107-pt_5-6 v 7-8-1:00 PM</v>
      </c>
      <c r="D59" s="55" t="str">
        <f>'10U_M_Champ_35'!L172&amp;"-"&amp;'10U_M_Champ_35'!O172&amp;"-"&amp;TEXT('10U_M_Champ_35'!B172,"h:mm am/pm")</f>
        <v>10B-108-pt_21-24 RR-1:00 PM</v>
      </c>
      <c r="E59" s="354" t="str">
        <f>'12U_M_Classic_53'!L265&amp;"-"&amp;'12U_M_Classic_53'!N265&amp;"-"&amp;TEXT('12U_M_Classic_53'!B265,"h:mm am/pm")</f>
        <v>12BX-117-ag_9-16 QF-1:00 PM</v>
      </c>
      <c r="G59" s="354" t="str">
        <f>'12U_M_Classic_53'!L248&amp;"-"&amp;'12U_M_Classic_53'!N248&amp;"-"&amp;TEXT('12U_M_Classic_53'!B248,"h:mm am/pm")</f>
        <v>12BX-139-ag_W to play-in-1:00 PM</v>
      </c>
      <c r="I59" s="353">
        <v>0.54166666666666696</v>
      </c>
      <c r="J59" s="354" t="str">
        <f>'12U_M_Classic_53'!L317&amp;"-"&amp;'12U_M_Classic_53'!N317&amp;"-"&amp;TEXT('12U_M_Classic_53'!B317,"h:mm am/pm")</f>
        <v>12BX-150-bz_W to play-in-1:00 PM</v>
      </c>
      <c r="K59" s="353">
        <v>0.54166666666666696</v>
      </c>
      <c r="L59" s="56" t="str">
        <f>'12U_M_Champ'!L202&amp;"-"&amp;'12U_M_Champ'!N202&amp;"-"&amp;TEXT('12U_M_Champ'!B202,"h:mm am/pm")</f>
        <v>12B-141-pt_5-6 v 7-8-1:00 PM</v>
      </c>
      <c r="M59" s="56" t="str">
        <f>'12U_M_Champ'!L232&amp;"-"&amp;'12U_M_Champ'!N232&amp;"-"&amp;TEXT('12U_M_Champ'!B232,"h:mm am/pm")</f>
        <v>12B-143-au_5-6 v 7-8-1:00 PM</v>
      </c>
      <c r="N59" s="56" t="str">
        <f>'12U_M_Champ'!L217&amp;"-"&amp;'12U_M_Champ'!N217&amp;"-"&amp;TEXT('12U_M_Champ'!B217,"h:mm am/pm")</f>
        <v>12B-142-pt_21-24 RR-1:00 PM</v>
      </c>
      <c r="O59" s="354" t="str">
        <f>'12U_M_Classic_53'!L298&amp;"-"&amp;'12U_M_Classic_53'!N298&amp;"-"&amp;TEXT('12U_M_Classic_53'!B298,"h:mm am/pm")</f>
        <v>12BX-125-bz_9-16 QF-1:00 PM</v>
      </c>
      <c r="P59" s="353">
        <v>0.58333333333333304</v>
      </c>
      <c r="Q59" s="355" t="str">
        <f>'14U_M_Champ'!L202&amp;"-"&amp;'14U_M_Champ'!N202&amp;"-"&amp;TEXT('14U_M_Champ'!B202,"h:mm am/pm")</f>
        <v>14B-141-pt_5-6 v 7-8-2:00 PM</v>
      </c>
      <c r="R59" s="355" t="str">
        <f>'14U_M_Champ'!L217&amp;"-"&amp;'14U_M_Champ'!N217&amp;"-"&amp;TEXT('14U_M_Champ'!B217,"h:mm am/pm")</f>
        <v>14B-142-pt_21-24 RR-2:00 PM</v>
      </c>
      <c r="S59" s="355" t="str">
        <f>'14U_M_Champ'!L247&amp;"-"&amp;'14U_M_Champ'!N247&amp;"-"&amp;TEXT('14U_M_Champ'!B247,"h:mm am/pm")</f>
        <v>14B-144-au_21-24 RR-2:00 PM</v>
      </c>
      <c r="T59" s="358" t="str">
        <f>'14U_M_Classic'!L262&amp;"-"&amp;'14U_M_Classic'!C262&amp;"-"&amp;TEXT('14U_M_Classic'!B262,"h:mm am/pm")</f>
        <v>14BX-156-17-20 semi-2:00 PM</v>
      </c>
      <c r="U59" s="56" t="str">
        <f>'12U_M_Champ'!L247&amp;"-"&amp;'12U_M_Champ'!N247&amp;"-"&amp;TEXT('12U_M_Champ'!B247,"h:mm am/pm")</f>
        <v>12B-144-au_21-24 RR-1:00 PM</v>
      </c>
      <c r="V59" s="356" t="str">
        <f>'14U_M_Invite_36'!L172&amp;"-"&amp;'14U_M_Invite_36'!O172&amp;"-"&amp;TEXT('14U_M_Invite_36'!B172,"h:mm am/pm")</f>
        <v>14BQ-108-ni_21-24 RR-2:00 PM</v>
      </c>
      <c r="W59" s="356" t="str">
        <f>'14U_M_Invite_36'!L187&amp;"-"&amp;'14U_M_Invite_36'!O187&amp;"-"&amp;TEXT('14U_M_Invite_36'!B187,"h:mm am/pm")</f>
        <v>14BQ-109-cu_5-6 v 7-8-2:00 PM</v>
      </c>
      <c r="X59" s="353">
        <v>0.58333333333333304</v>
      </c>
      <c r="Z59" s="49"/>
      <c r="AA59" s="358" t="str">
        <f>'14U_M_Classic'!L244&amp;"-"&amp;'14U_M_Classic'!C244&amp;"-"&amp;TEXT('14U_M_Classic'!B244,"h:mm am/pm")</f>
        <v>14BX-143-5-6 v 7-8-2:00 PM</v>
      </c>
      <c r="AB59" s="49"/>
      <c r="AC59" s="366" t="str">
        <f>'14U_M_Classic'!L228&amp;"-"&amp;'14U_M_Classic'!C228&amp;"-"&amp;TEXT('14U_M_Classic'!B228,"h:mm am/pm")</f>
        <v>14BX-138-13-20 qtr-1:30 PM</v>
      </c>
      <c r="AD59" s="363" t="str">
        <f>'18U_M_Champ'!L222&amp;"-"&amp;'18U_M_Champ'!N222&amp;"-"&amp;TEXT('18U_M_Champ'!B222,"h:mm am/pm")</f>
        <v>18B-142-pt_21-24 RR-2:00 PM</v>
      </c>
      <c r="AE59" s="359" t="str">
        <f>'18U_M_Classic'!L217&amp;"-"&amp;'18U_M_Classic'!O217&amp;"-"&amp;TEXT('18U_M_Classic'!B217,"h:mm am/pm")</f>
        <v>18BX-142-ag_21-24 RR-2:00 PM</v>
      </c>
      <c r="AF59" s="361" t="str">
        <f>'18U_M_INVITE_NEW_23'!L109&amp;"-"&amp;'18U_M_INVITE_NEW_23'!N109&amp;"-"&amp;TEXT('18U_M_INVITE_NEW_23'!B109,"h:mm am/pm")</f>
        <v>18BQ-065-ni_1-2 v 3-4-2:00 PM</v>
      </c>
      <c r="AG59" s="357" t="str">
        <f>'16U_M_Invite'!L210&amp;"-"&amp;'16U_M_Invite'!O210&amp;"-"&amp;TEXT('16U_M_Invite'!B210,"h:mm am/pm")</f>
        <v>16BQ-141-ni_5-6 v 7-8-2:00 PM</v>
      </c>
      <c r="AH59" s="49"/>
      <c r="AI59" s="359" t="str">
        <f>'18U_M_Classic'!L247&amp;"-"&amp;'18U_M_Classic'!O247&amp;"-"&amp;TEXT('18U_M_Classic'!B247,"h:mm am/pm")</f>
        <v>18BX-144-bz_21-24 RR-2:00 PM</v>
      </c>
      <c r="AJ59" s="49"/>
      <c r="AK59" s="357" t="str">
        <f>'16U_M_Invite'!L255&amp;"-"&amp;'16U_M_Invite'!O255&amp;"-"&amp;TEXT('16U_M_Invite'!B255,"h:mm am/pm")</f>
        <v>16BQ-144-cu_21-24 RR-2:00 PM</v>
      </c>
      <c r="AL59" s="357" t="str">
        <f>'16U_M_Invite'!L240&amp;"-"&amp;'16U_M_Invite'!O240&amp;"-"&amp;TEXT('16U_M_Invite'!B240,"h:mm am/pm")</f>
        <v>16BQ-143-cu_5-6 v 7-8-2:00 PM</v>
      </c>
      <c r="AM59" s="357" t="str">
        <f>'16U_M_Invite'!L225&amp;"-"&amp;'16U_M_Invite'!O225&amp;"-"&amp;TEXT('16U_M_Invite'!B225,"h:mm am/pm")</f>
        <v>16BQ-142-ni_21-24 RR-2:00 PM</v>
      </c>
      <c r="AN59" s="360" t="str">
        <f>'16U_M_Classic'!L202&amp;"-"&amp;'16U_M_Classic'!O202&amp;"-"&amp;TEXT('16U_M_Classic'!B202,"h:mm am/pm")</f>
        <v>16BX-141-ag_5-6 v 7-8-2:00 PM</v>
      </c>
      <c r="AO59" s="355" t="str">
        <f>'14U_M_Champ'!L232&amp;"-"&amp;'14U_M_Champ'!N232&amp;"-"&amp;TEXT('14U_M_Champ'!B232,"h:mm am/pm")</f>
        <v>14B-143-au_5-6 v 7-8-2:00 PM</v>
      </c>
      <c r="AP59" s="360" t="str">
        <f>'16U_M_Classic'!L233&amp;"-"&amp;'16U_M_Classic'!O233&amp;"-"&amp;TEXT('16U_M_Classic'!B233,"h:mm am/pm")</f>
        <v>16BX-139-bz_1-2 v 3-4-2:00 PM</v>
      </c>
      <c r="AQ59" s="360" t="str">
        <f>'16U_M_Classic'!L249&amp;"-"&amp;'16U_M_Classic'!O249&amp;"-"&amp;TEXT('16U_M_Classic'!B249,"h:mm am/pm")</f>
        <v>16BX-152-bz_13-16 semi-2:00 PM</v>
      </c>
      <c r="AR59" s="359" t="str">
        <f>'18U_M_Classic'!L232&amp;"-"&amp;'18U_M_Classic'!O232&amp;"-"&amp;TEXT('18U_M_Classic'!B232,"h:mm am/pm")</f>
        <v>18BX-143-bz_5-6 v 7-8-2:00 PM</v>
      </c>
      <c r="AS59" s="356" t="str">
        <f>'14U_M_Invite_36'!L157&amp;"-"&amp;'14U_M_Invite_36'!O157&amp;"-"&amp;TEXT('14U_M_Invite_36'!B157,"h:mm am/pm")</f>
        <v>14BQ-107-ni_5-6 v 7-8-2:00 PM</v>
      </c>
      <c r="AT59" s="361" t="str">
        <f>'18U_M_INVITE_NEW_23'!L125&amp;"-"&amp;'18U_M_INVITE_NEW_23'!N125&amp;"-"&amp;TEXT('18U_M_INVITE_NEW_23'!B125,"h:mm am/pm")</f>
        <v>18BQ-068-cu_Group-2:00 PM</v>
      </c>
      <c r="AU59" s="353">
        <v>0.58333333333333304</v>
      </c>
      <c r="AV59" s="362" t="str">
        <f>'16U_M_Champ'!L202&amp;"-"&amp;'16U_M_Champ'!O202&amp;"-"&amp;TEXT('16U_M_Champ'!B202,"h:mm am/pm")</f>
        <v>16B-141-pt_5-6 v 7-8-2:00 PM</v>
      </c>
      <c r="AW59" s="362" t="str">
        <f>'16U_M_Champ'!L232&amp;"-"&amp;'16U_M_Champ'!O232&amp;"-"&amp;TEXT('16U_M_Champ'!B232,"h:mm am/pm")</f>
        <v>16B-143-au_5-6 v 7-8-2:00 PM</v>
      </c>
      <c r="AX59" s="362" t="str">
        <f>'16U_M_Champ'!L217&amp;"-"&amp;'16U_M_Champ'!O217&amp;"-"&amp;TEXT('16U_M_Champ'!B217,"h:mm am/pm")</f>
        <v>16B-142-pt_21-24 RR-2:00 PM</v>
      </c>
      <c r="AY59" s="362" t="str">
        <f>'16U_M_Champ'!L247&amp;"-"&amp;'16U_M_Champ'!O247&amp;"-"&amp;TEXT('16U_M_Champ'!B247,"h:mm am/pm")</f>
        <v>16B-144-au_21-24 RR-2:00 PM</v>
      </c>
      <c r="AZ59" s="359" t="str">
        <f>'18U_M_Classic'!L202&amp;"-"&amp;'18U_M_Classic'!O202&amp;"-"&amp;TEXT('18U_M_Classic'!B202,"h:mm am/pm")</f>
        <v>18BX-141-ag_5-6 v 7-8-2:00 PM</v>
      </c>
      <c r="BA59" s="353">
        <v>0.58333333333333304</v>
      </c>
      <c r="BB59" s="358" t="str">
        <f>'14U_M_Classic'!L214&amp;"-"&amp;'14U_M_Classic'!C214&amp;"-"&amp;TEXT('14U_M_Classic'!B214,"h:mm am/pm")</f>
        <v>14BX-141-5-6 v 7-8-2:00 PM</v>
      </c>
      <c r="BC59" s="363" t="str">
        <f>'18U_M_Champ'!L207&amp;"-"&amp;'18U_M_Champ'!N207&amp;"-"&amp;TEXT('18U_M_Champ'!B207,"h:mm am/pm")</f>
        <v>18B-141-pt_5-6 v 7-8-2:00 PM</v>
      </c>
      <c r="BD59" s="363" t="str">
        <f>'18U_M_Champ'!L237&amp;"-"&amp;'18U_M_Champ'!N237&amp;"-"&amp;TEXT('18U_M_Champ'!B237,"h:mm am/pm")</f>
        <v>18B-143-au_5-6 v 7-8-2:00 PM</v>
      </c>
      <c r="BE59" s="363" t="str">
        <f>'18U_M_Champ'!L252&amp;"-"&amp;'18U_M_Champ'!N252&amp;"-"&amp;TEXT('18U_M_Champ'!B252,"h:mm am/pm")</f>
        <v>18B-144-au_21-24 RR-2:00 PM</v>
      </c>
      <c r="BF59" s="360" t="str">
        <f>'16U_M_Classic'!L217&amp;"-"&amp;'16U_M_Classic'!O217&amp;"-"&amp;TEXT('16U_M_Classic'!B217,"h:mm am/pm")</f>
        <v>16BX-138-ag_13-20 qtr-2:00 PM</v>
      </c>
    </row>
    <row r="60" spans="1:61">
      <c r="A60" s="353">
        <v>0.57638888888888895</v>
      </c>
      <c r="B60" s="55" t="str">
        <f>'10U_M_Champ_35'!L188&amp;"-"&amp;'10U_M_Champ_35'!O188&amp;"-"&amp;TEXT('10U_M_Champ_35'!B188,"h:mm am/pm")</f>
        <v>10B-112-au_9-11 RR-1:50 PM</v>
      </c>
      <c r="C60" s="55" t="str">
        <f>'10U_M_Champ_35'!L158&amp;"-"&amp;'10U_M_Champ_35'!O158&amp;"-"&amp;TEXT('10U_M_Champ_35'!B158,"h:mm am/pm")</f>
        <v>10B-110-pt_5-6 v 7-8-1:50 PM</v>
      </c>
      <c r="D60" s="55" t="str">
        <f>'10U_M_Champ_35'!L173&amp;"-"&amp;'10U_M_Champ_35'!O173&amp;"-"&amp;TEXT('10U_M_Champ_35'!B173,"h:mm am/pm")</f>
        <v>10B-111-pt_21-24 RR-1:50 PM</v>
      </c>
      <c r="E60" s="354" t="str">
        <f>'12U_M_Classic_53'!L266&amp;"-"&amp;'12U_M_Classic_53'!N266&amp;"-"&amp;TEXT('12U_M_Classic_53'!B266,"h:mm am/pm")</f>
        <v>12BX-122-ag_9-16 QF-1:50 PM</v>
      </c>
      <c r="G60" s="354" t="str">
        <f>'12U_M_Classic_53'!L249&amp;"-"&amp;'12U_M_Classic_53'!N249&amp;"-"&amp;TEXT('12U_M_Classic_53'!B249,"h:mm am/pm")</f>
        <v>12BX-142-ag_W to play-in-1:50 PM</v>
      </c>
      <c r="H60" s="354" t="str">
        <f>'12U_M_Classic_53'!L284&amp;"-"&amp;'12U_M_Classic_53'!N284&amp;"-"&amp;TEXT('12U_M_Classic_53'!B284,"h:mm am/pm")</f>
        <v>12BX-132-bz_V-1:50 PM</v>
      </c>
      <c r="I60" s="353">
        <v>0.57638888888888895</v>
      </c>
      <c r="J60" s="354" t="str">
        <f>'12U_M_Classic_53'!L318&amp;"-"&amp;'12U_M_Classic_53'!N318&amp;"-"&amp;TEXT('12U_M_Classic_53'!B318,"h:mm am/pm")</f>
        <v>12BX-155-bz_W to play-in-1:50 PM</v>
      </c>
      <c r="K60" s="353">
        <v>0.57638888888888895</v>
      </c>
      <c r="L60" s="56" t="str">
        <f>'12U_M_Champ'!L203&amp;"-"&amp;'12U_M_Champ'!N203&amp;"-"&amp;TEXT('12U_M_Champ'!B203,"h:mm am/pm")</f>
        <v>12B-145-pt_5-6 v 7-8-1:50 PM</v>
      </c>
      <c r="M60" s="56" t="str">
        <f>'12U_M_Champ'!L233&amp;"-"&amp;'12U_M_Champ'!N233&amp;"-"&amp;TEXT('12U_M_Champ'!B233,"h:mm am/pm")</f>
        <v>12B-147-au_5-6 v 7-8-1:50 PM</v>
      </c>
      <c r="N60" s="56" t="str">
        <f>'12U_M_Champ'!L218&amp;"-"&amp;'12U_M_Champ'!N218&amp;"-"&amp;TEXT('12U_M_Champ'!B218,"h:mm am/pm")</f>
        <v>12B-146-pt_21-24 RR-1:50 PM</v>
      </c>
      <c r="O60" s="354" t="str">
        <f>'12U_M_Classic_53'!L299&amp;"-"&amp;'12U_M_Classic_53'!N299&amp;"-"&amp;TEXT('12U_M_Classic_53'!B299,"h:mm am/pm")</f>
        <v>12BX-152-bz_X-1:50 PM</v>
      </c>
      <c r="P60" s="353">
        <v>0.625</v>
      </c>
      <c r="Q60" s="355" t="str">
        <f>'14U_M_Champ'!L203&amp;"-"&amp;'14U_M_Champ'!N203&amp;"-"&amp;TEXT('14U_M_Champ'!B203,"h:mm am/pm")</f>
        <v>14B-145-pt_5-6 v 7-8-3:00 PM</v>
      </c>
      <c r="R60" s="355" t="str">
        <f>'14U_M_Champ'!L218&amp;"-"&amp;'14U_M_Champ'!N218&amp;"-"&amp;TEXT('14U_M_Champ'!B218,"h:mm am/pm")</f>
        <v>14B-146-pt_21-24 RR-3:00 PM</v>
      </c>
      <c r="S60" s="355" t="str">
        <f>'14U_M_Champ'!L248&amp;"-"&amp;'14U_M_Champ'!N248&amp;"-"&amp;TEXT('14U_M_Champ'!B248,"h:mm am/pm")</f>
        <v>14B-148-au_21-24 RR-3:00 PM</v>
      </c>
      <c r="T60" s="358" t="str">
        <f>'14U_M_Classic'!L263&amp;"-"&amp;'14U_M_Classic'!C263&amp;"-"&amp;TEXT('14U_M_Classic'!B263,"h:mm am/pm")</f>
        <v>14BX-164-17-20 semi-3:00 PM</v>
      </c>
      <c r="U60" s="56" t="str">
        <f>'12U_M_Champ'!L248&amp;"-"&amp;'12U_M_Champ'!N248&amp;"-"&amp;TEXT('12U_M_Champ'!B248,"h:mm am/pm")</f>
        <v>12B-148-au_21-24 RR-1:50 PM</v>
      </c>
      <c r="V60" s="356" t="str">
        <f>'14U_M_Invite_36'!L173&amp;"-"&amp;'14U_M_Invite_36'!O173&amp;"-"&amp;TEXT('14U_M_Invite_36'!B173,"h:mm am/pm")</f>
        <v>14BQ-111-ni_21-24 RR-3:00 PM</v>
      </c>
      <c r="W60" s="356" t="str">
        <f>'14U_M_Invite_36'!L188&amp;"-"&amp;'14U_M_Invite_36'!O188&amp;"-"&amp;TEXT('14U_M_Invite_36'!B188,"h:mm am/pm")</f>
        <v>14BQ-112-cu_5-6 v 7-8-3:00 PM</v>
      </c>
      <c r="X60" s="353">
        <v>0.625</v>
      </c>
      <c r="Z60" s="49"/>
      <c r="AA60" s="358" t="str">
        <f>'14U_M_Classic'!L245&amp;"-"&amp;'14U_M_Classic'!C245&amp;"-"&amp;TEXT('14U_M_Classic'!B245,"h:mm am/pm")</f>
        <v>14BX-147-5-6 v 7-8-3:00 PM</v>
      </c>
      <c r="AB60" s="49"/>
      <c r="AC60" s="366" t="str">
        <f>'14U_M_Classic'!L229&amp;"-"&amp;'14U_M_Classic'!C229&amp;"-"&amp;TEXT('14U_M_Classic'!B229,"h:mm am/pm")</f>
        <v>14BX-142-21-24 RR-2:30 PM</v>
      </c>
      <c r="AD60" s="363" t="str">
        <f>'18U_M_Champ'!L223&amp;"-"&amp;'18U_M_Champ'!N223&amp;"-"&amp;TEXT('18U_M_Champ'!B223,"h:mm am/pm")</f>
        <v>18B-146-pt_21-24 RR-3:00 PM</v>
      </c>
      <c r="AE60" s="359" t="str">
        <f>'18U_M_Classic'!L218&amp;"-"&amp;'18U_M_Classic'!O218&amp;"-"&amp;TEXT('18U_M_Classic'!B218,"h:mm am/pm")</f>
        <v>18BX-146-ag_21-24 RR-3:00 PM</v>
      </c>
      <c r="AF60" s="361" t="str">
        <f>'18U_M_INVITE_NEW_23'!L110&amp;"-"&amp;'18U_M_INVITE_NEW_23'!N110&amp;"-"&amp;TEXT('18U_M_INVITE_NEW_23'!B110,"h:mm am/pm")</f>
        <v>18BQ-067-ni_5-6 v 7-8-3:00 PM</v>
      </c>
      <c r="AG60" s="357" t="str">
        <f>'16U_M_Invite'!L211&amp;"-"&amp;'16U_M_Invite'!O211&amp;"-"&amp;TEXT('16U_M_Invite'!B211,"h:mm am/pm")</f>
        <v>16BQ-145-ni_5-6 v 7-8-3:00 PM</v>
      </c>
      <c r="AH60" s="49"/>
      <c r="AI60" s="359" t="str">
        <f>'18U_M_Classic'!L248&amp;"-"&amp;'18U_M_Classic'!O248&amp;"-"&amp;TEXT('18U_M_Classic'!B248,"h:mm am/pm")</f>
        <v>18BX-148-bz_21-24 RR-3:00 PM</v>
      </c>
      <c r="AJ60" s="49"/>
      <c r="AK60" s="357" t="str">
        <f>'16U_M_Invite'!L256&amp;"-"&amp;'16U_M_Invite'!O256&amp;"-"&amp;TEXT('16U_M_Invite'!B256,"h:mm am/pm")</f>
        <v>16BQ-148-cu_21-24 RR-3:00 PM</v>
      </c>
      <c r="AL60" s="357" t="str">
        <f>'16U_M_Invite'!L241&amp;"-"&amp;'16U_M_Invite'!O241&amp;"-"&amp;TEXT('16U_M_Invite'!B241,"h:mm am/pm")</f>
        <v>16BQ-147-cu_5-6 v 7-8-3:00 PM</v>
      </c>
      <c r="AM60" s="357" t="str">
        <f>'16U_M_Invite'!L226&amp;"-"&amp;'16U_M_Invite'!O226&amp;"-"&amp;TEXT('16U_M_Invite'!B226,"h:mm am/pm")</f>
        <v>16BQ-146-ni_21-24 RR-3:00 PM</v>
      </c>
      <c r="AN60" s="360" t="str">
        <f>'16U_M_Classic'!L203&amp;"-"&amp;'16U_M_Classic'!O203&amp;"-"&amp;TEXT('16U_M_Classic'!B203,"h:mm am/pm")</f>
        <v>16BX-145-ag_5-6 v 7-8-3:00 PM</v>
      </c>
      <c r="AO60" s="355" t="str">
        <f>'14U_M_Champ'!L233&amp;"-"&amp;'14U_M_Champ'!N233&amp;"-"&amp;TEXT('14U_M_Champ'!B233,"h:mm am/pm")</f>
        <v>14B-147-au_5-6 v 7-8-3:00 PM</v>
      </c>
      <c r="AP60" s="360" t="str">
        <f>'16U_M_Classic'!L234&amp;"-"&amp;'16U_M_Classic'!O234&amp;"-"&amp;TEXT('16U_M_Classic'!B234,"h:mm am/pm")</f>
        <v>16BX-143-bz_5-6 v 7-8-3:00 PM</v>
      </c>
      <c r="AR60" s="359" t="str">
        <f>'18U_M_Classic'!L233&amp;"-"&amp;'18U_M_Classic'!O233&amp;"-"&amp;TEXT('18U_M_Classic'!B233,"h:mm am/pm")</f>
        <v>18BX-147-bz_5-6 v 7-8-3:00 PM</v>
      </c>
      <c r="AS60" s="356" t="str">
        <f>'14U_M_Invite_36'!L158&amp;"-"&amp;'14U_M_Invite_36'!O158&amp;"-"&amp;TEXT('14U_M_Invite_36'!B158,"h:mm am/pm")</f>
        <v>14BQ-110-ni_5-6 v 7-8-3:00 PM</v>
      </c>
      <c r="AT60" s="361" t="str">
        <f>'18U_M_INVITE_NEW_23'!L126&amp;"-"&amp;'18U_M_INVITE_NEW_23'!N126&amp;"-"&amp;TEXT('18U_M_INVITE_NEW_23'!B126,"h:mm am/pm")</f>
        <v>18BQ-070-cu_Group-3:00 PM</v>
      </c>
      <c r="AU60" s="353">
        <v>0.625</v>
      </c>
      <c r="AV60" s="362" t="str">
        <f>'16U_M_Champ'!L203&amp;"-"&amp;'16U_M_Champ'!O203&amp;"-"&amp;TEXT('16U_M_Champ'!B203,"h:mm am/pm")</f>
        <v>16B-145-pt_5-6 v 7-8-3:00 PM</v>
      </c>
      <c r="AW60" s="362" t="str">
        <f>'16U_M_Champ'!L233&amp;"-"&amp;'16U_M_Champ'!O233&amp;"-"&amp;TEXT('16U_M_Champ'!B233,"h:mm am/pm")</f>
        <v>16B-147-au_5-6 v 7-8-3:00 PM</v>
      </c>
      <c r="AX60" s="362" t="str">
        <f>'16U_M_Champ'!L218&amp;"-"&amp;'16U_M_Champ'!O218&amp;"-"&amp;TEXT('16U_M_Champ'!B218,"h:mm am/pm")</f>
        <v>16B-146-pt_21-24 RR-3:00 PM</v>
      </c>
      <c r="AY60" s="362" t="str">
        <f>'16U_M_Champ'!L248&amp;"-"&amp;'16U_M_Champ'!O248&amp;"-"&amp;TEXT('16U_M_Champ'!B248,"h:mm am/pm")</f>
        <v>16B-148-au_21-24 RR-3:00 PM</v>
      </c>
      <c r="AZ60" s="359" t="str">
        <f>'18U_M_Classic'!L203&amp;"-"&amp;'18U_M_Classic'!O203&amp;"-"&amp;TEXT('18U_M_Classic'!B203,"h:mm am/pm")</f>
        <v>18BX-145-ag_5-6 v 7-8-3:00 PM</v>
      </c>
      <c r="BA60" s="353">
        <v>0.625</v>
      </c>
      <c r="BB60" s="358" t="str">
        <f>'14U_M_Classic'!L215&amp;"-"&amp;'14U_M_Classic'!C215&amp;"-"&amp;TEXT('14U_M_Classic'!B215,"h:mm am/pm")</f>
        <v>14BX-145-5-6 v 7-8-3:00 PM</v>
      </c>
      <c r="BC60" s="363" t="str">
        <f>'18U_M_Champ'!L208&amp;"-"&amp;'18U_M_Champ'!N208&amp;"-"&amp;TEXT('18U_M_Champ'!B208,"h:mm am/pm")</f>
        <v>18B-145-pt_5-6 v 7-8-3:00 PM</v>
      </c>
      <c r="BD60" s="363" t="str">
        <f>'18U_M_Champ'!L238&amp;"-"&amp;'18U_M_Champ'!N238&amp;"-"&amp;TEXT('18U_M_Champ'!B238,"h:mm am/pm")</f>
        <v>18B-147-au_5-6 v 7-8-3:00 PM</v>
      </c>
      <c r="BE60" s="363" t="str">
        <f>'18U_M_Champ'!L253&amp;"-"&amp;'18U_M_Champ'!N253&amp;"-"&amp;TEXT('18U_M_Champ'!B253,"h:mm am/pm")</f>
        <v>18B-148-au_21-24 RR-3:00 PM</v>
      </c>
      <c r="BF60" s="360" t="str">
        <f>'16U_M_Classic'!L218&amp;"-"&amp;'16U_M_Classic'!O218&amp;"-"&amp;TEXT('16U_M_Classic'!B218,"h:mm am/pm")</f>
        <v>16BX-142-ag_21-24 RR-3:00 PM</v>
      </c>
    </row>
    <row r="61" spans="1:61">
      <c r="A61" s="353">
        <v>0.61111111111111105</v>
      </c>
      <c r="B61" s="55" t="str">
        <f>'10U_M_Champ_35'!L189&amp;"-"&amp;'10U_M_Champ_35'!O189&amp;"-"&amp;TEXT('10U_M_Champ_35'!B189,"h:mm am/pm")</f>
        <v>10B-115-au_qtr final-2:40 PM</v>
      </c>
      <c r="C61" s="55" t="str">
        <f>'10U_M_Champ_35'!L159&amp;"-"&amp;'10U_M_Champ_35'!O159&amp;"-"&amp;TEXT('10U_M_Champ_35'!B159,"h:mm am/pm")</f>
        <v>10B-113-pt_9-12 semi-2:40 PM</v>
      </c>
      <c r="D61" s="55" t="str">
        <f>'10U_M_Champ_35'!L174&amp;"-"&amp;'10U_M_Champ_35'!O174&amp;"-"&amp;TEXT('10U_M_Champ_35'!B174,"h:mm am/pm")</f>
        <v>10B-114-pt_13-16 semi-2:40 PM</v>
      </c>
      <c r="E61" s="354" t="str">
        <f>'12U_M_Classic_53'!L267&amp;"-"&amp;'12U_M_Classic_53'!N267&amp;"-"&amp;TEXT('12U_M_Classic_53'!B267,"h:mm am/pm")</f>
        <v>12BX-128-bz_17-20 semi-2:40 PM</v>
      </c>
      <c r="G61" s="354" t="str">
        <f>'12U_M_Classic_53'!L250&amp;"-"&amp;'12U_M_Classic_53'!N250&amp;"-"&amp;TEXT('12U_M_Classic_53'!B250,"h:mm am/pm")</f>
        <v>12BX-145-ag_21st-24th-2:40 PM</v>
      </c>
      <c r="H61" s="354" t="str">
        <f>'12U_M_Classic_53'!L285&amp;"-"&amp;'12U_M_Classic_53'!N285&amp;"-"&amp;TEXT('12U_M_Classic_53'!B285,"h:mm am/pm")</f>
        <v>12BX-144-bz_W-2:40 PM</v>
      </c>
      <c r="I61" s="353">
        <v>0.61111111111111105</v>
      </c>
      <c r="J61" s="354" t="str">
        <f>'12U_M_Classic_53'!L319&amp;"-"&amp;'12U_M_Classic_53'!N319&amp;"-"&amp;TEXT('12U_M_Classic_53'!B319,"h:mm am/pm")</f>
        <v>12BX-158-bz_13th-16th-2:40 PM</v>
      </c>
      <c r="K61" s="353">
        <v>0.61111111111111105</v>
      </c>
      <c r="L61" s="56" t="str">
        <f>'12U_M_Champ'!L204&amp;"-"&amp;'12U_M_Champ'!N204&amp;"-"&amp;TEXT('12U_M_Champ'!B204,"h:mm am/pm")</f>
        <v>12B-149-pt_9-12 semi-2:40 PM</v>
      </c>
      <c r="M61" s="56" t="str">
        <f>'12U_M_Champ'!L234&amp;"-"&amp;'12U_M_Champ'!N234&amp;"-"&amp;TEXT('12U_M_Champ'!B234,"h:mm am/pm")</f>
        <v>12B-151-au_9-12 semi-2:40 PM</v>
      </c>
      <c r="N61" s="56" t="str">
        <f>'12U_M_Champ'!L219&amp;"-"&amp;'12U_M_Champ'!N219&amp;"-"&amp;TEXT('12U_M_Champ'!B219,"h:mm am/pm")</f>
        <v>12B-150-pt_13-16 semi-2:40 PM</v>
      </c>
      <c r="O61" s="354" t="str">
        <f>'12U_M_Classic_53'!L300&amp;"-"&amp;'12U_M_Classic_53'!N300&amp;"-"&amp;TEXT('12U_M_Classic_53'!B300,"h:mm am/pm")</f>
        <v>12BX-149-bz_9th-12th-2:40 PM</v>
      </c>
      <c r="P61" s="353">
        <v>0.66666666666666696</v>
      </c>
      <c r="Q61" s="355" t="str">
        <f>'14U_M_Champ'!L204&amp;"-"&amp;'14U_M_Champ'!N204&amp;"-"&amp;TEXT('14U_M_Champ'!B204,"h:mm am/pm")</f>
        <v>14B-149-pt_9-12 semi-4:00 PM</v>
      </c>
      <c r="R61" s="355" t="str">
        <f>'14U_M_Champ'!L219&amp;"-"&amp;'14U_M_Champ'!N219&amp;"-"&amp;TEXT('14U_M_Champ'!B219,"h:mm am/pm")</f>
        <v>14B-150-pt_13-16 semi-4:00 PM</v>
      </c>
      <c r="S61" s="355" t="str">
        <f>'14U_M_Champ'!L249&amp;"-"&amp;'14U_M_Champ'!N249&amp;"-"&amp;TEXT('14U_M_Champ'!B249,"h:mm am/pm")</f>
        <v>14B-152-au_13-16 semi-4:00 PM</v>
      </c>
      <c r="T61" s="358" t="str">
        <f>'14U_M_Classic'!L264&amp;"-"&amp;'14U_M_Classic'!C264&amp;"-"&amp;TEXT('14U_M_Classic'!B264,"h:mm am/pm")</f>
        <v>14BX-144-21-24 RR-4:00 PM</v>
      </c>
      <c r="U61" s="56" t="str">
        <f>'12U_M_Champ'!L249&amp;"-"&amp;'12U_M_Champ'!N249&amp;"-"&amp;TEXT('12U_M_Champ'!B249,"h:mm am/pm")</f>
        <v>12B-152-au_13-16 semi-2:40 PM</v>
      </c>
      <c r="V61" s="356" t="str">
        <f>'14U_M_Invite_36'!L174&amp;"-"&amp;'14U_M_Invite_36'!O174&amp;"-"&amp;TEXT('14U_M_Invite_36'!B174,"h:mm am/pm")</f>
        <v>14BQ-114-ni_13-16 semi-4:00 PM</v>
      </c>
      <c r="W61" s="356" t="str">
        <f>'14U_M_Invite_36'!L189&amp;"-"&amp;'14U_M_Invite_36'!O189&amp;"-"&amp;TEXT('14U_M_Invite_36'!B189,"h:mm am/pm")</f>
        <v>14BQ-115-cu_9-12 semi-4:00 PM</v>
      </c>
      <c r="X61" s="353">
        <v>0.66666666666666696</v>
      </c>
      <c r="Z61" s="49"/>
      <c r="AA61" s="358" t="str">
        <f>'14U_M_Classic'!L246&amp;"-"&amp;'14U_M_Classic'!C246&amp;"-"&amp;TEXT('14U_M_Classic'!B246,"h:mm am/pm")</f>
        <v>14BX-151-9-12 semi-4:00 PM</v>
      </c>
      <c r="AB61" s="49"/>
      <c r="AC61" s="366" t="str">
        <f>'14U_M_Classic'!L230&amp;"-"&amp;'14U_M_Classic'!C230&amp;"-"&amp;TEXT('14U_M_Classic'!B230,"h:mm am/pm")</f>
        <v>14BX-146-21-24 RR-3:30 PM</v>
      </c>
      <c r="AD61" s="363" t="str">
        <f>'18U_M_Champ'!L224&amp;"-"&amp;'18U_M_Champ'!N224&amp;"-"&amp;TEXT('18U_M_Champ'!B224,"h:mm am/pm")</f>
        <v>18B-150-pt_13-16 semi-4:00 PM</v>
      </c>
      <c r="AE61" s="359" t="str">
        <f>'18U_M_Classic'!L219&amp;"-"&amp;'18U_M_Classic'!O219&amp;"-"&amp;TEXT('18U_M_Classic'!B219,"h:mm am/pm")</f>
        <v>18BX-150-ag_13-16 semi-4:00 PM</v>
      </c>
      <c r="AF61" s="361" t="str">
        <f>'18U_M_INVITE_NEW_23'!L111&amp;"-"&amp;'18U_M_INVITE_NEW_23'!N111&amp;"-"&amp;TEXT('18U_M_INVITE_NEW_23'!B111,"h:mm am/pm")</f>
        <v>18BQ-069-ni_9-12 semi-4:00 PM</v>
      </c>
      <c r="AG61" s="357" t="str">
        <f>'16U_M_Invite'!L212&amp;"-"&amp;'16U_M_Invite'!O212&amp;"-"&amp;TEXT('16U_M_Invite'!B212,"h:mm am/pm")</f>
        <v>16BQ-149-ni_9-12 semi-4:00 PM</v>
      </c>
      <c r="AH61" s="49"/>
      <c r="AI61" s="359" t="str">
        <f>'18U_M_Classic'!L249&amp;"-"&amp;'18U_M_Classic'!O249&amp;"-"&amp;TEXT('18U_M_Classic'!B249,"h:mm am/pm")</f>
        <v>18BX-152-bz_13-16 semi-4:00 PM</v>
      </c>
      <c r="AJ61" s="49"/>
      <c r="AK61" s="357" t="str">
        <f>'16U_M_Invite'!L257&amp;"-"&amp;'16U_M_Invite'!O257&amp;"-"&amp;TEXT('16U_M_Invite'!B257,"h:mm am/pm")</f>
        <v>16BQ-152-cu_13-16 semi-4:00 PM</v>
      </c>
      <c r="AL61" s="357" t="str">
        <f>'16U_M_Invite'!L242&amp;"-"&amp;'16U_M_Invite'!O242&amp;"-"&amp;TEXT('16U_M_Invite'!B242,"h:mm am/pm")</f>
        <v>16BQ-151-cu_9-12 semi-4:00 PM</v>
      </c>
      <c r="AM61" s="357" t="str">
        <f>'16U_M_Invite'!L227&amp;"-"&amp;'16U_M_Invite'!O227&amp;"-"&amp;TEXT('16U_M_Invite'!B227,"h:mm am/pm")</f>
        <v>16BQ-150-ni_13-16 semi-4:00 PM</v>
      </c>
      <c r="AN61" s="360" t="str">
        <f>'16U_M_Classic'!L204&amp;"-"&amp;'16U_M_Classic'!O204&amp;"-"&amp;TEXT('16U_M_Classic'!B204,"h:mm am/pm")</f>
        <v>16BX-149-ag_9-12 semi-4:00 PM</v>
      </c>
      <c r="AO61" s="355" t="str">
        <f>'14U_M_Champ'!L234&amp;"-"&amp;'14U_M_Champ'!N234&amp;"-"&amp;TEXT('14U_M_Champ'!B234,"h:mm am/pm")</f>
        <v>14B-151-au_9-12 semi-4:00 PM</v>
      </c>
      <c r="AP61" s="360" t="str">
        <f>'16U_M_Classic'!L235&amp;"-"&amp;'16U_M_Classic'!O235&amp;"-"&amp;TEXT('16U_M_Classic'!B235,"h:mm am/pm")</f>
        <v>16BX-147-bz_5-6 v 7-8-4:00 PM</v>
      </c>
      <c r="AR61" s="359" t="str">
        <f>'18U_M_Classic'!L234&amp;"-"&amp;'18U_M_Classic'!O234&amp;"-"&amp;TEXT('18U_M_Classic'!B234,"h:mm am/pm")</f>
        <v>18BX-151-bz_9-12 semi-4:00 PM</v>
      </c>
      <c r="AS61" s="356" t="str">
        <f>'14U_M_Invite_36'!L159&amp;"-"&amp;'14U_M_Invite_36'!O159&amp;"-"&amp;TEXT('14U_M_Invite_36'!B159,"h:mm am/pm")</f>
        <v>14BQ-113-ni_9-12 semi-4:00 PM</v>
      </c>
      <c r="AT61" s="361" t="str">
        <f>'18U_M_INVITE_NEW_23'!L127&amp;"-"&amp;'18U_M_INVITE_NEW_23'!N127&amp;"-"&amp;TEXT('18U_M_INVITE_NEW_23'!B127,"h:mm am/pm")</f>
        <v>18BQ-072-cu_Group-4:00 PM</v>
      </c>
      <c r="AU61" s="353">
        <v>0.66666666666666696</v>
      </c>
      <c r="AV61" s="362" t="str">
        <f>'16U_M_Champ'!L204&amp;"-"&amp;'16U_M_Champ'!O204&amp;"-"&amp;TEXT('16U_M_Champ'!B204,"h:mm am/pm")</f>
        <v>16B-149-pt_9-12 semi-4:00 PM</v>
      </c>
      <c r="AW61" s="362" t="str">
        <f>'16U_M_Champ'!L234&amp;"-"&amp;'16U_M_Champ'!O234&amp;"-"&amp;TEXT('16U_M_Champ'!B234,"h:mm am/pm")</f>
        <v>16B-151-au_9-12 semi-4:00 PM</v>
      </c>
      <c r="AX61" s="362" t="str">
        <f>'16U_M_Champ'!L219&amp;"-"&amp;'16U_M_Champ'!O219&amp;"-"&amp;TEXT('16U_M_Champ'!B219,"h:mm am/pm")</f>
        <v>16B-150-pt_13-16 semi-4:00 PM</v>
      </c>
      <c r="AY61" s="362" t="str">
        <f>'16U_M_Champ'!L249&amp;"-"&amp;'16U_M_Champ'!O249&amp;"-"&amp;TEXT('16U_M_Champ'!B249,"h:mm am/pm")</f>
        <v>16B-152-au_13-16 semi-4:00 PM</v>
      </c>
      <c r="AZ61" s="359" t="str">
        <f>'18U_M_Classic'!L204&amp;"-"&amp;'18U_M_Classic'!O204&amp;"-"&amp;TEXT('18U_M_Classic'!B204,"h:mm am/pm")</f>
        <v>18BX-149-ag_9-12 semi-4:00 PM</v>
      </c>
      <c r="BA61" s="353">
        <v>0.66666666666666696</v>
      </c>
      <c r="BB61" s="358" t="str">
        <f>'14U_M_Classic'!L216&amp;"-"&amp;'14U_M_Classic'!C216&amp;"-"&amp;TEXT('14U_M_Classic'!B216,"h:mm am/pm")</f>
        <v>14BX-149-9-12 semi-4:00 PM</v>
      </c>
      <c r="BC61" s="363" t="str">
        <f>'18U_M_Champ'!L209&amp;"-"&amp;'18U_M_Champ'!N209&amp;"-"&amp;TEXT('18U_M_Champ'!B209,"h:mm am/pm")</f>
        <v>18B-149-pt_9-12 semi-4:00 PM</v>
      </c>
      <c r="BD61" s="363" t="str">
        <f>'18U_M_Champ'!L239&amp;"-"&amp;'18U_M_Champ'!N239&amp;"-"&amp;TEXT('18U_M_Champ'!B239,"h:mm am/pm")</f>
        <v>18B-151-au_9-12 semi-4:00 PM</v>
      </c>
      <c r="BE61" s="363" t="str">
        <f>'18U_M_Champ'!L254&amp;"-"&amp;'18U_M_Champ'!N254&amp;"-"&amp;TEXT('18U_M_Champ'!B254,"h:mm am/pm")</f>
        <v>18B-152-au_13-16 semi-4:00 PM</v>
      </c>
      <c r="BF61" s="360" t="str">
        <f>'16U_M_Classic'!L219&amp;"-"&amp;'16U_M_Classic'!O219&amp;"-"&amp;TEXT('16U_M_Classic'!B219,"h:mm am/pm")</f>
        <v>16BX-146-ag_21-24 RR-4:00 PM</v>
      </c>
    </row>
    <row r="62" spans="1:61">
      <c r="A62" s="353">
        <v>0.64583333333333304</v>
      </c>
      <c r="B62" s="55" t="str">
        <f>'10U_M_Champ_35'!L190&amp;"-"&amp;'10U_M_Champ_35'!O190&amp;"-"&amp;TEXT('10U_M_Champ_35'!B190,"h:mm am/pm")</f>
        <v>10B-118-au_qtr final-3:30 PM</v>
      </c>
      <c r="C62" s="55" t="str">
        <f>'10U_M_Champ_35'!L160&amp;"-"&amp;'10U_M_Champ_35'!O160&amp;"-"&amp;TEXT('10U_M_Champ_35'!B160,"h:mm am/pm")</f>
        <v>10B-116-pt_9-12 semi-3:30 PM</v>
      </c>
      <c r="D62" s="55" t="str">
        <f>'10U_M_Champ_35'!L175&amp;"-"&amp;'10U_M_Champ_35'!O175&amp;"-"&amp;TEXT('10U_M_Champ_35'!B175,"h:mm am/pm")</f>
        <v>10B-117-pt_17-20 semi-3:30 PM</v>
      </c>
      <c r="E62" s="354" t="str">
        <f>'12U_M_Classic_53'!L268&amp;"-"&amp;'12U_M_Classic_53'!N268&amp;"-"&amp;TEXT('12U_M_Classic_53'!B268,"h:mm am/pm")</f>
        <v>12BX-129-bz_17-20 semi-3:30 PM</v>
      </c>
      <c r="G62" s="354" t="str">
        <f>'12U_M_Classic_53'!L251&amp;"-"&amp;'12U_M_Classic_53'!N251&amp;"-"&amp;TEXT('12U_M_Classic_53'!B251,"h:mm am/pm")</f>
        <v>12BX-148-ag_21st-24th-3:30 PM</v>
      </c>
      <c r="I62" s="353">
        <v>0.64583333333333304</v>
      </c>
      <c r="J62" s="354" t="str">
        <f>'12U_M_Classic_53'!L320&amp;"-"&amp;'12U_M_Classic_53'!N320&amp;"-"&amp;TEXT('12U_M_Classic_53'!B320,"h:mm am/pm")</f>
        <v>12BX-161-bz_13th-16th-3:30 PM</v>
      </c>
      <c r="K62" s="353">
        <v>0.64583333333333304</v>
      </c>
      <c r="L62" s="56" t="str">
        <f>'12U_M_Champ'!L205&amp;"-"&amp;'12U_M_Champ'!N205&amp;"-"&amp;TEXT('12U_M_Champ'!B205,"h:mm am/pm")</f>
        <v>12B-153-pt_9-12 semi-3:30 PM</v>
      </c>
      <c r="M62" s="56" t="str">
        <f>'12U_M_Champ'!L235&amp;"-"&amp;'12U_M_Champ'!N235&amp;"-"&amp;TEXT('12U_M_Champ'!B235,"h:mm am/pm")</f>
        <v>12B-155-au_9-12 semi-3:30 PM</v>
      </c>
      <c r="N62" s="56" t="str">
        <f>'12U_M_Champ'!L220&amp;"-"&amp;'12U_M_Champ'!N220&amp;"-"&amp;TEXT('12U_M_Champ'!B220,"h:mm am/pm")</f>
        <v>12B-154-pt_17-20 semi-3:30 PM</v>
      </c>
      <c r="O62" s="354" t="str">
        <f>'12U_M_Classic_53'!L301&amp;"-"&amp;'12U_M_Classic_53'!N301&amp;"-"&amp;TEXT('12U_M_Classic_53'!B301,"h:mm am/pm")</f>
        <v>12BX-154-bz_9th-12th-3:30 PM</v>
      </c>
      <c r="P62" s="353">
        <v>0.70833333333333304</v>
      </c>
      <c r="Q62" s="355" t="str">
        <f>'14U_M_Champ'!L205&amp;"-"&amp;'14U_M_Champ'!N205&amp;"-"&amp;TEXT('14U_M_Champ'!B205,"h:mm am/pm")</f>
        <v>14B-153-pt_9-12 semi-5:00 PM</v>
      </c>
      <c r="R62" s="355" t="str">
        <f>'14U_M_Champ'!L220&amp;"-"&amp;'14U_M_Champ'!N220&amp;"-"&amp;TEXT('14U_M_Champ'!B220,"h:mm am/pm")</f>
        <v>14B-154-pt_17-20 semi-5:00 PM</v>
      </c>
      <c r="S62" s="355" t="str">
        <f>'14U_M_Champ'!L250&amp;"-"&amp;'14U_M_Champ'!N250&amp;"-"&amp;TEXT('14U_M_Champ'!B250,"h:mm am/pm")</f>
        <v>14B-156-au_17-20 semi-5:00 PM</v>
      </c>
      <c r="T62" s="358" t="str">
        <f>'14U_M_Classic'!L265&amp;"-"&amp;'14U_M_Classic'!C265&amp;"-"&amp;TEXT('14U_M_Classic'!B265,"h:mm am/pm")</f>
        <v>14BX-148-21-24 RR-5:00 PM</v>
      </c>
      <c r="U62" s="56" t="str">
        <f>'12U_M_Champ'!L250&amp;"-"&amp;'12U_M_Champ'!N250&amp;"-"&amp;TEXT('12U_M_Champ'!B250,"h:mm am/pm")</f>
        <v>12B-156-au_17-20 semi-3:30 PM</v>
      </c>
      <c r="V62" s="356" t="str">
        <f>'14U_M_Invite_36'!L175&amp;"-"&amp;'14U_M_Invite_36'!O175&amp;"-"&amp;TEXT('14U_M_Invite_36'!B175,"h:mm am/pm")</f>
        <v>14BQ-117-ni_17-20 semi-5:00 PM</v>
      </c>
      <c r="W62" s="356" t="str">
        <f>'14U_M_Invite_36'!L190&amp;"-"&amp;'14U_M_Invite_36'!O190&amp;"-"&amp;TEXT('14U_M_Invite_36'!B190,"h:mm am/pm")</f>
        <v>14BQ-118-cu_9-12 semi-5:00 PM</v>
      </c>
      <c r="X62" s="353">
        <v>0.70833333333333304</v>
      </c>
      <c r="Z62" s="49"/>
      <c r="AA62" s="358" t="str">
        <f>'14U_M_Classic'!L247&amp;"-"&amp;'14U_M_Classic'!C247&amp;"-"&amp;TEXT('14U_M_Classic'!B247,"h:mm am/pm")</f>
        <v>14BX-155-9-12 semi-5:00 PM</v>
      </c>
      <c r="AB62" s="49"/>
      <c r="AC62" s="366" t="str">
        <f>'14U_M_Classic'!L231&amp;"-"&amp;'14U_M_Classic'!C231&amp;"-"&amp;TEXT('14U_M_Classic'!B231,"h:mm am/pm")</f>
        <v>14BX-150-13-16 semi-4:30 PM</v>
      </c>
      <c r="AD62" s="363" t="str">
        <f>'18U_M_Champ'!L225&amp;"-"&amp;'18U_M_Champ'!N225&amp;"-"&amp;TEXT('18U_M_Champ'!B225,"h:mm am/pm")</f>
        <v>18B-154-pt_17-20 semi-5:00 PM</v>
      </c>
      <c r="AE62" s="359" t="str">
        <f>'18U_M_Classic'!L220&amp;"-"&amp;'18U_M_Classic'!O220&amp;"-"&amp;TEXT('18U_M_Classic'!B220,"h:mm am/pm")</f>
        <v>18BX-154-ag_17-20 semi-5:00 PM</v>
      </c>
      <c r="AF62" s="361" t="str">
        <f>'18U_M_INVITE_NEW_23'!L112&amp;"-"&amp;'18U_M_INVITE_NEW_23'!N112&amp;"-"&amp;TEXT('18U_M_INVITE_NEW_23'!B112,"h:mm am/pm")</f>
        <v>18BQ-071-ni_9-12 semi-5:00 PM</v>
      </c>
      <c r="AG62" s="357" t="str">
        <f>'16U_M_Invite'!L213&amp;"-"&amp;'16U_M_Invite'!O213&amp;"-"&amp;TEXT('16U_M_Invite'!B213,"h:mm am/pm")</f>
        <v>16BQ-153-ni_9-12 semi-5:00 PM</v>
      </c>
      <c r="AH62" s="49"/>
      <c r="AI62" s="359" t="str">
        <f>'18U_M_Classic'!L250&amp;"-"&amp;'18U_M_Classic'!O250&amp;"-"&amp;TEXT('18U_M_Classic'!B250,"h:mm am/pm")</f>
        <v>18BX-156-bz_17-20 semi-5:00 PM</v>
      </c>
      <c r="AJ62" s="49"/>
      <c r="AK62" s="357" t="str">
        <f>'16U_M_Invite'!L258&amp;"-"&amp;'16U_M_Invite'!O258&amp;"-"&amp;TEXT('16U_M_Invite'!B258,"h:mm am/pm")</f>
        <v>16BQ-156-cu_17-20 semi-5:00 PM</v>
      </c>
      <c r="AL62" s="357" t="str">
        <f>'16U_M_Invite'!L243&amp;"-"&amp;'16U_M_Invite'!O243&amp;"-"&amp;TEXT('16U_M_Invite'!B243,"h:mm am/pm")</f>
        <v>16BQ-155-cu_9-12 semi-5:00 PM</v>
      </c>
      <c r="AM62" s="357" t="str">
        <f>'16U_M_Invite'!L228&amp;"-"&amp;'16U_M_Invite'!O228&amp;"-"&amp;TEXT('16U_M_Invite'!B228,"h:mm am/pm")</f>
        <v>16BQ-154-ni_17-20 semi-5:00 PM</v>
      </c>
      <c r="AN62" s="360" t="str">
        <f>'16U_M_Classic'!L205&amp;"-"&amp;'16U_M_Classic'!O205&amp;"-"&amp;TEXT('16U_M_Classic'!B205,"h:mm am/pm")</f>
        <v>16BX-153-ag_9-12 semi-5:00 PM</v>
      </c>
      <c r="AO62" s="355" t="str">
        <f>'14U_M_Champ'!L235&amp;"-"&amp;'14U_M_Champ'!N235&amp;"-"&amp;TEXT('14U_M_Champ'!B235,"h:mm am/pm")</f>
        <v>14B-155-au_9-12 semi-5:00 PM</v>
      </c>
      <c r="AP62" s="360" t="str">
        <f>'16U_M_Classic'!L236&amp;"-"&amp;'16U_M_Classic'!O236&amp;"-"&amp;TEXT('16U_M_Classic'!B236,"h:mm am/pm")</f>
        <v>16BX-151-bz_9-12 semi-5:00 PM</v>
      </c>
      <c r="AQ62" s="360" t="str">
        <f>'16U_M_Classic'!L252&amp;"-"&amp;'16U_M_Classic'!O252&amp;"-"&amp;TEXT('16U_M_Classic'!B252,"h:mm am/pm")</f>
        <v>16BX-156-bz_17-20 semi-5:00 PM</v>
      </c>
      <c r="AR62" s="359" t="str">
        <f>'18U_M_Classic'!L235&amp;"-"&amp;'18U_M_Classic'!O235&amp;"-"&amp;TEXT('18U_M_Classic'!B235,"h:mm am/pm")</f>
        <v>18BX-155-bz_9-12 semi-5:00 PM</v>
      </c>
      <c r="AS62" s="356" t="str">
        <f>'14U_M_Invite_36'!L160&amp;"-"&amp;'14U_M_Invite_36'!O160&amp;"-"&amp;TEXT('14U_M_Invite_36'!B160,"h:mm am/pm")</f>
        <v>14BQ-116-ni_9-12 semi-5:00 PM</v>
      </c>
      <c r="AT62" s="361" t="str">
        <f>'18U_M_INVITE_NEW_23'!L128&amp;"-"&amp;'18U_M_INVITE_NEW_23'!N128&amp;"-"&amp;TEXT('18U_M_INVITE_NEW_23'!B128,"h:mm am/pm")</f>
        <v>18BQ-074-cu_Group-5:00 PM</v>
      </c>
      <c r="AU62" s="353">
        <v>0.70833333333333304</v>
      </c>
      <c r="AV62" s="362" t="str">
        <f>'16U_M_Champ'!L205&amp;"-"&amp;'16U_M_Champ'!O205&amp;"-"&amp;TEXT('16U_M_Champ'!B205,"h:mm am/pm")</f>
        <v>16B-153-pt_9-12 semi-5:00 PM</v>
      </c>
      <c r="AW62" s="362" t="str">
        <f>'16U_M_Champ'!L235&amp;"-"&amp;'16U_M_Champ'!O235&amp;"-"&amp;TEXT('16U_M_Champ'!B235,"h:mm am/pm")</f>
        <v>16B-155-au_9-12 semi-5:00 PM</v>
      </c>
      <c r="AX62" s="362" t="str">
        <f>'16U_M_Champ'!L220&amp;"-"&amp;'16U_M_Champ'!O220&amp;"-"&amp;TEXT('16U_M_Champ'!B220,"h:mm am/pm")</f>
        <v>16B-154-pt_17-20 semi-5:00 PM</v>
      </c>
      <c r="AY62" s="362" t="str">
        <f>'16U_M_Champ'!L250&amp;"-"&amp;'16U_M_Champ'!O250&amp;"-"&amp;TEXT('16U_M_Champ'!B250,"h:mm am/pm")</f>
        <v>16B-156-au_17-20 semi-5:00 PM</v>
      </c>
      <c r="AZ62" s="359" t="str">
        <f>'18U_M_Classic'!L205&amp;"-"&amp;'18U_M_Classic'!O205&amp;"-"&amp;TEXT('18U_M_Classic'!B205,"h:mm am/pm")</f>
        <v>18BX-153-ag_9-12 semi-5:00 PM</v>
      </c>
      <c r="BA62" s="353">
        <v>0.70833333333333304</v>
      </c>
      <c r="BB62" s="358" t="str">
        <f>'14U_M_Classic'!L217&amp;"-"&amp;'14U_M_Classic'!C217&amp;"-"&amp;TEXT('14U_M_Classic'!B217,"h:mm am/pm")</f>
        <v>14BX-153-9-12 semi-5:00 PM</v>
      </c>
      <c r="BC62" s="363" t="str">
        <f>'18U_M_Champ'!L210&amp;"-"&amp;'18U_M_Champ'!N210&amp;"-"&amp;TEXT('18U_M_Champ'!B210,"h:mm am/pm")</f>
        <v>18B-153-pt_9-12 semi-5:00 PM</v>
      </c>
      <c r="BD62" s="363" t="str">
        <f>'18U_M_Champ'!L240&amp;"-"&amp;'18U_M_Champ'!N240&amp;"-"&amp;TEXT('18U_M_Champ'!B240,"h:mm am/pm")</f>
        <v>18B-155-au_9-12 semi-5:00 PM</v>
      </c>
      <c r="BE62" s="363" t="str">
        <f>'18U_M_Champ'!L255&amp;"-"&amp;'18U_M_Champ'!N255&amp;"-"&amp;TEXT('18U_M_Champ'!B255,"h:mm am/pm")</f>
        <v>18B-156-au_17-20 semi-5:00 PM</v>
      </c>
      <c r="BF62" s="360" t="str">
        <f>'16U_M_Classic'!L220&amp;"-"&amp;'16U_M_Classic'!O220&amp;"-"&amp;TEXT('16U_M_Classic'!B220,"h:mm am/pm")</f>
        <v>16BX-150-ag_13-16 semi-5:00 PM</v>
      </c>
    </row>
    <row r="63" spans="1:61">
      <c r="A63" s="353">
        <v>0.68055555555555602</v>
      </c>
      <c r="C63" s="55" t="str">
        <f>'10U_M_Champ_35'!L161&amp;"-"&amp;'10U_M_Champ_35'!O161&amp;"-"&amp;TEXT('10U_M_Champ_35'!B161,"h:mm am/pm")</f>
        <v>10B-119-pt_Play-in-4:20 PM</v>
      </c>
      <c r="D63" s="55" t="str">
        <f>'10U_M_Champ_35'!L176&amp;"-"&amp;'10U_M_Champ_35'!O176&amp;"-"&amp;TEXT('10U_M_Champ_35'!B176,"h:mm am/pm")</f>
        <v>10B-120-pt_13-16 semi-4:20 PM</v>
      </c>
      <c r="E63" s="354" t="str">
        <f>'12U_M_Classic_53'!L269&amp;"-"&amp;'12U_M_Classic_53'!N269&amp;"-"&amp;TEXT('12U_M_Classic_53'!B269,"h:mm am/pm")</f>
        <v>12BX-157-ag_17th-20th-4:20 PM</v>
      </c>
      <c r="G63" s="354" t="str">
        <f>'12U_M_Classic_53'!L252&amp;"-"&amp;'12U_M_Classic_53'!N252&amp;"-"&amp;TEXT('12U_M_Classic_53'!B252,"h:mm am/pm")</f>
        <v>12BX-151-ag_13th-16th-4:20 PM</v>
      </c>
      <c r="I63" s="353">
        <v>0.68055555555555602</v>
      </c>
      <c r="J63" s="354" t="str">
        <f>'12U_M_Classic_53'!L321&amp;"-"&amp;'12U_M_Classic_53'!N321&amp;"-"&amp;TEXT('12U_M_Classic_53'!B321,"h:mm am/pm")</f>
        <v>12BX-163-bz_play to semi, L to 5th-4:20 PM</v>
      </c>
      <c r="K63" s="353">
        <v>0.68055555555555602</v>
      </c>
      <c r="L63" s="56" t="str">
        <f>'12U_M_Champ'!L206&amp;"-"&amp;'12U_M_Champ'!N206&amp;"-"&amp;TEXT('12U_M_Champ'!B206,"h:mm am/pm")</f>
        <v>12B-157-pt_play to semi-4:20 PM</v>
      </c>
      <c r="M63" s="56" t="str">
        <f>'12U_M_Champ'!L236&amp;"-"&amp;'12U_M_Champ'!N236&amp;"-"&amp;TEXT('12U_M_Champ'!B236,"h:mm am/pm")</f>
        <v>12B-159-au_play to semi-4:20 PM</v>
      </c>
      <c r="N63" s="56" t="str">
        <f>'12U_M_Champ'!L221&amp;"-"&amp;'12U_M_Champ'!N221&amp;"-"&amp;TEXT('12U_M_Champ'!B221,"h:mm am/pm")</f>
        <v>12B-158-pt_13-16 semi-4:20 PM</v>
      </c>
      <c r="O63" s="354" t="str">
        <f>'12U_M_Classic_53'!L302&amp;"-"&amp;'12U_M_Classic_53'!N302&amp;"-"&amp;TEXT('12U_M_Classic_53'!B302,"h:mm am/pm")</f>
        <v>12BX-144A-bz_X-4:20 PM</v>
      </c>
      <c r="P63" s="353">
        <v>0.75</v>
      </c>
      <c r="Q63" s="355" t="str">
        <f>'14U_M_Champ'!L206&amp;"-"&amp;'14U_M_Champ'!N206&amp;"-"&amp;TEXT('14U_M_Champ'!B206,"h:mm am/pm")</f>
        <v>14B-157-pt_play to semi-6:00 PM</v>
      </c>
      <c r="R63" s="355" t="str">
        <f>'14U_M_Champ'!L221&amp;"-"&amp;'14U_M_Champ'!N221&amp;"-"&amp;TEXT('14U_M_Champ'!B221,"h:mm am/pm")</f>
        <v>14B-158-pt_13-16 semi-6:00 PM</v>
      </c>
      <c r="S63" s="355" t="str">
        <f>'14U_M_Champ'!L251&amp;"-"&amp;'14U_M_Champ'!N251&amp;"-"&amp;TEXT('14U_M_Champ'!B251,"h:mm am/pm")</f>
        <v>14B-160-au_13-16 semi-6:00 PM</v>
      </c>
      <c r="T63" s="358" t="str">
        <f>'14U_M_Classic'!L266&amp;"-"&amp;'14U_M_Classic'!C266&amp;"-"&amp;TEXT('14U_M_Classic'!B266,"h:mm am/pm")</f>
        <v>14BX-152-13-16 semi-6:00 PM</v>
      </c>
      <c r="U63" s="56" t="str">
        <f>'12U_M_Champ'!L251&amp;"-"&amp;'12U_M_Champ'!N251&amp;"-"&amp;TEXT('12U_M_Champ'!B251,"h:mm am/pm")</f>
        <v>12B-160-au_13-16 semi-4:20 PM</v>
      </c>
      <c r="V63" s="356" t="str">
        <f>'14U_M_Invite_36'!L176&amp;"-"&amp;'14U_M_Invite_36'!O176&amp;"-"&amp;TEXT('14U_M_Invite_36'!B176,"h:mm am/pm")</f>
        <v>14BQ-120-ni_13-16 semi-6:00 PM</v>
      </c>
      <c r="W63" s="356" t="str">
        <f>'14U_M_Invite_36'!L191&amp;"-"&amp;'14U_M_Invite_36'!O191&amp;"-"&amp;TEXT('14U_M_Invite_36'!B191,"h:mm am/pm")</f>
        <v>14BQ-121-cu_Play-in-6:00 PM</v>
      </c>
      <c r="X63" s="353">
        <v>0.75</v>
      </c>
      <c r="Z63" s="49"/>
      <c r="AA63" s="358" t="str">
        <f>'14U_M_Classic'!L248&amp;"-"&amp;'14U_M_Classic'!C248&amp;"-"&amp;TEXT('14U_M_Classic'!B248,"h:mm am/pm")</f>
        <v>14BX-159-play to semi-6:00 PM</v>
      </c>
      <c r="AB63" s="49"/>
      <c r="AC63" s="366" t="str">
        <f>'14U_M_Classic'!L232&amp;"-"&amp;'14U_M_Classic'!C232&amp;"-"&amp;TEXT('14U_M_Classic'!B232,"h:mm am/pm")</f>
        <v>14BX-154-17-20 semi-5:30 PM</v>
      </c>
      <c r="AD63" s="363" t="str">
        <f>'18U_M_Champ'!L226&amp;"-"&amp;'18U_M_Champ'!N226&amp;"-"&amp;TEXT('18U_M_Champ'!B226,"h:mm am/pm")</f>
        <v>18B-158-pt_13-16 semi-6:00 PM</v>
      </c>
      <c r="AE63" s="359" t="str">
        <f>'18U_M_Classic'!L221&amp;"-"&amp;'18U_M_Classic'!O221&amp;"-"&amp;TEXT('18U_M_Classic'!B221,"h:mm am/pm")</f>
        <v>18BX-158-ag_13-16 semi-6:00 PM</v>
      </c>
      <c r="AF63" s="361" t="str">
        <f>'18U_M_INVITE_NEW_23'!L113&amp;"-"&amp;'18U_M_INVITE_NEW_23'!N113&amp;"-"&amp;TEXT('18U_M_INVITE_NEW_23'!B113,"h:mm am/pm")</f>
        <v>18BQ-073-ni_qtr final-6:00 PM</v>
      </c>
      <c r="AG63" s="357" t="str">
        <f>'16U_M_Invite'!L214&amp;"-"&amp;'16U_M_Invite'!O214&amp;"-"&amp;TEXT('16U_M_Invite'!B214,"h:mm am/pm")</f>
        <v>16BQ-157-ni_play to semi-6:00 PM</v>
      </c>
      <c r="AH63" s="49"/>
      <c r="AI63" s="359" t="str">
        <f>'18U_M_Classic'!L251&amp;"-"&amp;'18U_M_Classic'!O251&amp;"-"&amp;TEXT('18U_M_Classic'!B251,"h:mm am/pm")</f>
        <v>18BX-160-bz_13-16 semi-6:00 PM</v>
      </c>
      <c r="AJ63" s="49"/>
      <c r="AK63" s="357" t="str">
        <f>'16U_M_Invite'!L259&amp;"-"&amp;'16U_M_Invite'!O259&amp;"-"&amp;TEXT('16U_M_Invite'!B259,"h:mm am/pm")</f>
        <v>16BQ-160-cu_13-16 semi-6:00 PM</v>
      </c>
      <c r="AL63" s="357" t="str">
        <f>'16U_M_Invite'!L244&amp;"-"&amp;'16U_M_Invite'!O244&amp;"-"&amp;TEXT('16U_M_Invite'!B244,"h:mm am/pm")</f>
        <v>16BQ-159-cu_play to semi-6:00 PM</v>
      </c>
      <c r="AM63" s="357" t="str">
        <f>'16U_M_Invite'!L229&amp;"-"&amp;'16U_M_Invite'!O229&amp;"-"&amp;TEXT('16U_M_Invite'!B229,"h:mm am/pm")</f>
        <v>16BQ-158-ni_13-16 semi-6:00 PM</v>
      </c>
      <c r="AN63" s="360" t="str">
        <f>'16U_M_Classic'!L206&amp;"-"&amp;'16U_M_Classic'!O206&amp;"-"&amp;TEXT('16U_M_Classic'!B206,"h:mm am/pm")</f>
        <v>16BX-157-ag_play to semi-6:00 PM</v>
      </c>
      <c r="AO63" s="355" t="str">
        <f>'14U_M_Champ'!L236&amp;"-"&amp;'14U_M_Champ'!N236&amp;"-"&amp;TEXT('14U_M_Champ'!B236,"h:mm am/pm")</f>
        <v>14B-159-au_play to semi-6:00 PM</v>
      </c>
      <c r="AP63" s="360" t="str">
        <f>'16U_M_Classic'!L237&amp;"-"&amp;'16U_M_Classic'!O237&amp;"-"&amp;TEXT('16U_M_Classic'!B237,"h:mm am/pm")</f>
        <v>16BX-155-bz_9-12 semi-6:00 PM</v>
      </c>
      <c r="AQ63" s="360" t="str">
        <f>'16U_M_Classic'!L253&amp;"-"&amp;'16U_M_Classic'!O253&amp;"-"&amp;TEXT('16U_M_Classic'!B253,"h:mm am/pm")</f>
        <v>16BX-160-bz_13-16 semi-6:00 PM</v>
      </c>
      <c r="AR63" s="359" t="str">
        <f>'18U_M_Classic'!L236&amp;"-"&amp;'18U_M_Classic'!O236&amp;"-"&amp;TEXT('18U_M_Classic'!B236,"h:mm am/pm")</f>
        <v>18BX-159-bz_play to semi-6:00 PM</v>
      </c>
      <c r="AS63" s="356" t="str">
        <f>'14U_M_Invite_36'!L161&amp;"-"&amp;'14U_M_Invite_36'!O161&amp;"-"&amp;TEXT('14U_M_Invite_36'!B161,"h:mm am/pm")</f>
        <v>14BQ-119-ni_Play-in-6:00 PM</v>
      </c>
      <c r="AT63" s="361" t="str">
        <f>'18U_M_INVITE_NEW_23'!L129&amp;"-"&amp;'18U_M_INVITE_NEW_23'!N129&amp;"-"&amp;TEXT('18U_M_INVITE_NEW_23'!B129,"h:mm am/pm")</f>
        <v>18BQ-076-cu_Group-6:00 PM</v>
      </c>
      <c r="AU63" s="353">
        <v>0.75</v>
      </c>
      <c r="AV63" s="362" t="str">
        <f>'16U_M_Champ'!L206&amp;"-"&amp;'16U_M_Champ'!O206&amp;"-"&amp;TEXT('16U_M_Champ'!B206,"h:mm am/pm")</f>
        <v>16B-157-pt_play to semi-6:00 PM</v>
      </c>
      <c r="AW63" s="362" t="str">
        <f>'16U_M_Champ'!L236&amp;"-"&amp;'16U_M_Champ'!O236&amp;"-"&amp;TEXT('16U_M_Champ'!B236,"h:mm am/pm")</f>
        <v>16B-159-au_play to semi-6:00 PM</v>
      </c>
      <c r="AX63" s="362" t="str">
        <f>'16U_M_Champ'!L221&amp;"-"&amp;'16U_M_Champ'!O221&amp;"-"&amp;TEXT('16U_M_Champ'!B221,"h:mm am/pm")</f>
        <v>16B-158-pt_13-16 semi-6:00 PM</v>
      </c>
      <c r="AY63" s="362" t="str">
        <f>'16U_M_Champ'!L251&amp;"-"&amp;'16U_M_Champ'!O251&amp;"-"&amp;TEXT('16U_M_Champ'!B251,"h:mm am/pm")</f>
        <v>16B-160-au_13-16 semi-6:00 PM</v>
      </c>
      <c r="AZ63" s="359" t="str">
        <f>'18U_M_Classic'!L206&amp;"-"&amp;'18U_M_Classic'!O206&amp;"-"&amp;TEXT('18U_M_Classic'!B206,"h:mm am/pm")</f>
        <v>18BX-157-ag_play to semi-6:00 PM</v>
      </c>
      <c r="BA63" s="353">
        <v>0.75</v>
      </c>
      <c r="BB63" s="358" t="str">
        <f>'14U_M_Classic'!L218&amp;"-"&amp;'14U_M_Classic'!C218&amp;"-"&amp;TEXT('14U_M_Classic'!B218,"h:mm am/pm")</f>
        <v>14BX-157-play to semi-6:00 PM</v>
      </c>
      <c r="BC63" s="363" t="str">
        <f>'18U_M_Champ'!L211&amp;"-"&amp;'18U_M_Champ'!N211&amp;"-"&amp;TEXT('18U_M_Champ'!B211,"h:mm am/pm")</f>
        <v>18B-157-pt_qtr final-6:00 PM</v>
      </c>
      <c r="BD63" s="363" t="str">
        <f>'18U_M_Champ'!L241&amp;"-"&amp;'18U_M_Champ'!N241&amp;"-"&amp;TEXT('18U_M_Champ'!B241,"h:mm am/pm")</f>
        <v>18B-159-au_qtr final-6:00 PM</v>
      </c>
      <c r="BE63" s="363" t="str">
        <f>'18U_M_Champ'!L256&amp;"-"&amp;'18U_M_Champ'!N256&amp;"-"&amp;TEXT('18U_M_Champ'!B256,"h:mm am/pm")</f>
        <v>18B-160-au_13-16 semi-6:00 PM</v>
      </c>
      <c r="BF63" s="360" t="str">
        <f>'16U_M_Classic'!L221&amp;"-"&amp;'16U_M_Classic'!O221&amp;"-"&amp;TEXT('16U_M_Classic'!B221,"h:mm am/pm")</f>
        <v>16BX-154-ag_17-20 semi-6:00 PM</v>
      </c>
    </row>
    <row r="64" spans="1:61">
      <c r="A64" s="353">
        <v>0.71527777777777801</v>
      </c>
      <c r="C64" s="55" t="str">
        <f>'10U_M_Champ_35'!L162&amp;"-"&amp;'10U_M_Champ_35'!O162&amp;"-"&amp;TEXT('10U_M_Champ_35'!B162,"h:mm am/pm")</f>
        <v>10B-122-pt_Play-in-5:10 PM</v>
      </c>
      <c r="D64" s="55" t="str">
        <f>'10U_M_Champ_35'!L177&amp;"-"&amp;'10U_M_Champ_35'!O177&amp;"-"&amp;TEXT('10U_M_Champ_35'!B177,"h:mm am/pm")</f>
        <v>10B-123-pt_17-20 semi-5:10 PM</v>
      </c>
      <c r="E64" s="354" t="str">
        <f>'12U_M_Classic_53'!L270&amp;"-"&amp;'12U_M_Classic_53'!N270&amp;"-"&amp;TEXT('12U_M_Classic_53'!B270,"h:mm am/pm")</f>
        <v>12BX-160-ag_17th-20th-5:10 PM</v>
      </c>
      <c r="G64" s="354" t="str">
        <f>'12U_M_Classic_53'!L253&amp;"-"&amp;'12U_M_Classic_53'!N253&amp;"-"&amp;TEXT('12U_M_Classic_53'!B253,"h:mm am/pm")</f>
        <v>12BX-156-ag_13th-16th-5:10 PM</v>
      </c>
      <c r="I64" s="353">
        <v>0.71527777777777801</v>
      </c>
      <c r="J64" s="354" t="str">
        <f>'12U_M_Classic_53'!L322&amp;"-"&amp;'12U_M_Classic_53'!N322&amp;"-"&amp;TEXT('12U_M_Classic_53'!B322,"h:mm am/pm")</f>
        <v>12BX-164-bz_play to semi, L to 5th-5:10 PM</v>
      </c>
      <c r="K64" s="353">
        <v>0.71527777777777801</v>
      </c>
      <c r="L64" s="56" t="str">
        <f>'12U_M_Champ'!L207&amp;"-"&amp;'12U_M_Champ'!N207&amp;"-"&amp;TEXT('12U_M_Champ'!B207,"h:mm am/pm")</f>
        <v>12B-161-pt_play to semi-5:10 PM</v>
      </c>
      <c r="M64" s="56" t="str">
        <f>'12U_M_Champ'!L237&amp;"-"&amp;'12U_M_Champ'!N237&amp;"-"&amp;TEXT('12U_M_Champ'!B237,"h:mm am/pm")</f>
        <v>12B-163-au_play to semi-5:10 PM</v>
      </c>
      <c r="N64" s="56" t="str">
        <f>'12U_M_Champ'!L222&amp;"-"&amp;'12U_M_Champ'!N222&amp;"-"&amp;TEXT('12U_M_Champ'!B222,"h:mm am/pm")</f>
        <v>12B-162-pt_17-20 semi-5:10 PM</v>
      </c>
      <c r="P64" s="353">
        <v>0.79166666666666696</v>
      </c>
      <c r="Q64" s="355" t="str">
        <f>'14U_M_Champ'!L207&amp;"-"&amp;'14U_M_Champ'!N207&amp;"-"&amp;TEXT('14U_M_Champ'!B207,"h:mm am/pm")</f>
        <v>14B-161-pt_play to semi-7:00 PM</v>
      </c>
      <c r="R64" s="355" t="str">
        <f>'14U_M_Champ'!L222&amp;"-"&amp;'14U_M_Champ'!N222&amp;"-"&amp;TEXT('14U_M_Champ'!B222,"h:mm am/pm")</f>
        <v>14B-162-pt_17-20 semi-7:00 PM</v>
      </c>
      <c r="S64" s="355" t="str">
        <f>'14U_M_Champ'!L252&amp;"-"&amp;'14U_M_Champ'!N252&amp;"-"&amp;TEXT('14U_M_Champ'!B252,"h:mm am/pm")</f>
        <v>14B-164-au_17-20 semi-7:00 PM</v>
      </c>
      <c r="T64" s="358" t="str">
        <f>'14U_M_Classic'!L267&amp;"-"&amp;'14U_M_Classic'!C267&amp;"-"&amp;TEXT('14U_M_Classic'!B267,"h:mm am/pm")</f>
        <v>14BX-160-13-16 semi-7:00 PM</v>
      </c>
      <c r="U64" s="56" t="str">
        <f>'12U_M_Champ'!L252&amp;"-"&amp;'12U_M_Champ'!N252&amp;"-"&amp;TEXT('12U_M_Champ'!B252,"h:mm am/pm")</f>
        <v>12B-164-au_17-20 semi-5:10 PM</v>
      </c>
      <c r="V64" s="356" t="str">
        <f>'14U_M_Invite_36'!L177&amp;"-"&amp;'14U_M_Invite_36'!O177&amp;"-"&amp;TEXT('14U_M_Invite_36'!B177,"h:mm am/pm")</f>
        <v>14BQ-123-ni_17-20 semi-7:00 PM</v>
      </c>
      <c r="W64" s="356" t="str">
        <f>'14U_M_Invite_36'!L192&amp;"-"&amp;'14U_M_Invite_36'!O192&amp;"-"&amp;TEXT('14U_M_Invite_36'!B192,"h:mm am/pm")</f>
        <v>14BQ-124-cu_Play-in-7:00 PM</v>
      </c>
      <c r="X64" s="353">
        <v>0.79166666666666696</v>
      </c>
      <c r="Z64" s="49"/>
      <c r="AA64" s="358" t="str">
        <f>'14U_M_Classic'!L249&amp;"-"&amp;'14U_M_Classic'!C249&amp;"-"&amp;TEXT('14U_M_Classic'!B249,"h:mm am/pm")</f>
        <v>14BX-163-play to semi-7:00 PM</v>
      </c>
      <c r="AB64" s="49"/>
      <c r="AC64" s="366" t="str">
        <f>'14U_M_Classic'!L233&amp;"-"&amp;'14U_M_Classic'!C233&amp;"-"&amp;TEXT('14U_M_Classic'!B233,"h:mm am/pm")</f>
        <v>14BX-158-13-16 semi-6:30 PM</v>
      </c>
      <c r="AD64" s="363" t="str">
        <f>'18U_M_Champ'!L227&amp;"-"&amp;'18U_M_Champ'!N227&amp;"-"&amp;TEXT('18U_M_Champ'!B227,"h:mm am/pm")</f>
        <v>18B-162-pt_17-20 semi-7:00 PM</v>
      </c>
      <c r="AE64" s="359" t="str">
        <f>'18U_M_Classic'!L222&amp;"-"&amp;'18U_M_Classic'!O222&amp;"-"&amp;TEXT('18U_M_Classic'!B222,"h:mm am/pm")</f>
        <v>18BX-162-ag_17-20 semi-7:00 PM</v>
      </c>
      <c r="AF64" s="361" t="str">
        <f>'18U_M_INVITE_NEW_23'!L114&amp;"-"&amp;'18U_M_INVITE_NEW_23'!N114&amp;"-"&amp;TEXT('18U_M_INVITE_NEW_23'!B114,"h:mm am/pm")</f>
        <v>18BQ-075-ni_qtr final-7:00 PM</v>
      </c>
      <c r="AG64" s="357" t="str">
        <f>'16U_M_Invite'!L215&amp;"-"&amp;'16U_M_Invite'!O215&amp;"-"&amp;TEXT('16U_M_Invite'!B215,"h:mm am/pm")</f>
        <v>16BQ-161-ni_play to semi-7:00 PM</v>
      </c>
      <c r="AH64" s="49"/>
      <c r="AI64" s="359" t="str">
        <f>'18U_M_Classic'!L252&amp;"-"&amp;'18U_M_Classic'!O252&amp;"-"&amp;TEXT('18U_M_Classic'!B252,"h:mm am/pm")</f>
        <v>18BX-164-bz_17-20 semi-7:00 PM</v>
      </c>
      <c r="AJ64" s="49"/>
      <c r="AK64" s="357" t="str">
        <f>'16U_M_Invite'!L260&amp;"-"&amp;'16U_M_Invite'!O260&amp;"-"&amp;TEXT('16U_M_Invite'!B260,"h:mm am/pm")</f>
        <v>16BQ-164-cu_17-20 semi-7:00 PM</v>
      </c>
      <c r="AL64" s="357" t="str">
        <f>'16U_M_Invite'!L245&amp;"-"&amp;'16U_M_Invite'!O245&amp;"-"&amp;TEXT('16U_M_Invite'!B245,"h:mm am/pm")</f>
        <v>16BQ-163-cu_play to semi-7:00 PM</v>
      </c>
      <c r="AM64" s="357" t="str">
        <f>'16U_M_Invite'!L230&amp;"-"&amp;'16U_M_Invite'!O230&amp;"-"&amp;TEXT('16U_M_Invite'!B230,"h:mm am/pm")</f>
        <v>16BQ-162-ni_17-20 semi-7:00 PM</v>
      </c>
      <c r="AN64" s="360" t="str">
        <f>'16U_M_Classic'!L207&amp;"-"&amp;'16U_M_Classic'!O207&amp;"-"&amp;TEXT('16U_M_Classic'!B207,"h:mm am/pm")</f>
        <v>16BX-161-ag_play to semi-7:00 PM</v>
      </c>
      <c r="AO64" s="355" t="str">
        <f>'14U_M_Champ'!L237&amp;"-"&amp;'14U_M_Champ'!N237&amp;"-"&amp;TEXT('14U_M_Champ'!B237,"h:mm am/pm")</f>
        <v>14B-163-au_play to semi-7:00 PM</v>
      </c>
      <c r="AP64" s="360" t="str">
        <f>'16U_M_Classic'!L238&amp;"-"&amp;'16U_M_Classic'!O238&amp;"-"&amp;TEXT('16U_M_Classic'!B238,"h:mm am/pm")</f>
        <v>16BX-159-bz_play to semi-7:00 PM</v>
      </c>
      <c r="AQ64" s="360" t="str">
        <f>'16U_M_Classic'!L254&amp;"-"&amp;'16U_M_Classic'!O254&amp;"-"&amp;TEXT('16U_M_Classic'!B254,"h:mm am/pm")</f>
        <v>16BX-164-bz_17-20 semi-7:00 PM</v>
      </c>
      <c r="AR64" s="359" t="str">
        <f>'18U_M_Classic'!L237&amp;"-"&amp;'18U_M_Classic'!O237&amp;"-"&amp;TEXT('18U_M_Classic'!B237,"h:mm am/pm")</f>
        <v>18BX-163-bz_play to semi-7:00 PM</v>
      </c>
      <c r="AS64" s="356" t="str">
        <f>'14U_M_Invite_36'!L162&amp;"-"&amp;'14U_M_Invite_36'!O162&amp;"-"&amp;TEXT('14U_M_Invite_36'!B162,"h:mm am/pm")</f>
        <v>14BQ-122-ni_Play-in-7:00 PM</v>
      </c>
      <c r="AT64" s="361" t="str">
        <f>'18U_M_INVITE_NEW_23'!L130&amp;"-"&amp;'18U_M_INVITE_NEW_23'!N130&amp;"-"&amp;TEXT('18U_M_INVITE_NEW_23'!B130,"h:mm am/pm")</f>
        <v>18BQ-097-cu_Group-7:00 PM</v>
      </c>
      <c r="AU64" s="353">
        <v>0.79166666666666696</v>
      </c>
      <c r="AV64" s="362" t="str">
        <f>'16U_M_Champ'!L207&amp;"-"&amp;'16U_M_Champ'!O207&amp;"-"&amp;TEXT('16U_M_Champ'!B207,"h:mm am/pm")</f>
        <v>16B-161-pt_play to semi-7:00 PM</v>
      </c>
      <c r="AW64" s="362" t="str">
        <f>'16U_M_Champ'!L237&amp;"-"&amp;'16U_M_Champ'!O237&amp;"-"&amp;TEXT('16U_M_Champ'!B237,"h:mm am/pm")</f>
        <v>16B-163-au_play to semi-7:00 PM</v>
      </c>
      <c r="AX64" s="362" t="str">
        <f>'16U_M_Champ'!L222&amp;"-"&amp;'16U_M_Champ'!O222&amp;"-"&amp;TEXT('16U_M_Champ'!B222,"h:mm am/pm")</f>
        <v>16B-162-pt_17-20 semi-7:00 PM</v>
      </c>
      <c r="AY64" s="362" t="str">
        <f>'16U_M_Champ'!L252&amp;"-"&amp;'16U_M_Champ'!O252&amp;"-"&amp;TEXT('16U_M_Champ'!B252,"h:mm am/pm")</f>
        <v>16B-164-au_17-20 semi-7:00 PM</v>
      </c>
      <c r="AZ64" s="359" t="str">
        <f>'18U_M_Classic'!L207&amp;"-"&amp;'18U_M_Classic'!O207&amp;"-"&amp;TEXT('18U_M_Classic'!B207,"h:mm am/pm")</f>
        <v>18BX-161-ag_play to semi-7:00 PM</v>
      </c>
      <c r="BA64" s="353">
        <v>0.79166666666666696</v>
      </c>
      <c r="BB64" s="358" t="str">
        <f>'14U_M_Classic'!L219&amp;"-"&amp;'14U_M_Classic'!C219&amp;"-"&amp;TEXT('14U_M_Classic'!B219,"h:mm am/pm")</f>
        <v>14BX-161-play to semi-7:00 PM</v>
      </c>
      <c r="BC64" s="363" t="str">
        <f>'18U_M_Champ'!L212&amp;"-"&amp;'18U_M_Champ'!N212&amp;"-"&amp;TEXT('18U_M_Champ'!B212,"h:mm am/pm")</f>
        <v>18B-161-pt_qtr final-7:00 PM</v>
      </c>
      <c r="BD64" s="363" t="str">
        <f>'18U_M_Champ'!L242&amp;"-"&amp;'18U_M_Champ'!N242&amp;"-"&amp;TEXT('18U_M_Champ'!B242,"h:mm am/pm")</f>
        <v>18B-163-au_qtr final-7:00 PM</v>
      </c>
      <c r="BE64" s="363" t="str">
        <f>'18U_M_Champ'!L257&amp;"-"&amp;'18U_M_Champ'!N257&amp;"-"&amp;TEXT('18U_M_Champ'!B257,"h:mm am/pm")</f>
        <v>18B-164-au_17-20 semi-7:00 PM</v>
      </c>
      <c r="BF64" s="360" t="str">
        <f>'16U_M_Classic'!L222&amp;"-"&amp;'16U_M_Classic'!O222&amp;"-"&amp;TEXT('16U_M_Classic'!B222,"h:mm am/pm")</f>
        <v>16BX-158-ag_13-16 semi-7:00 PM</v>
      </c>
    </row>
    <row r="65" spans="1:61">
      <c r="A65" s="353">
        <v>0.75</v>
      </c>
      <c r="E65" s="354" t="str">
        <f>'12U_M_Classic_53'!L271&amp;"-"&amp;'12U_M_Classic_53'!N271&amp;"-"&amp;TEXT('12U_M_Classic_53'!B271,"h:mm am/pm")</f>
        <v>12BX-143-ag_9th-12th-6:00 PM</v>
      </c>
      <c r="G65" s="354" t="str">
        <f>'12U_M_Classic_53'!L254&amp;"-"&amp;'12U_M_Classic_53'!N254&amp;"-"&amp;TEXT('12U_M_Classic_53'!B254,"h:mm am/pm")</f>
        <v>12BX-159-ag_play to semi, L to 5th-6:00 PM</v>
      </c>
      <c r="I65" s="353">
        <v>0.75</v>
      </c>
      <c r="K65" s="353">
        <v>0.75</v>
      </c>
      <c r="P65" s="353">
        <v>0.83333333333333304</v>
      </c>
      <c r="X65" s="353">
        <v>0.83333333333333304</v>
      </c>
      <c r="Z65" s="49"/>
      <c r="AB65" s="353"/>
      <c r="AC65" s="366" t="str">
        <f>'14U_M_Classic'!L234&amp;"-"&amp;'14U_M_Classic'!C234&amp;"-"&amp;TEXT('14U_M_Classic'!B234,"h:mm am/pm")</f>
        <v>14BX-162-17-20 semi-7:30 PM</v>
      </c>
      <c r="AD65" s="353"/>
      <c r="AH65" s="49"/>
      <c r="AJ65" s="49"/>
      <c r="AP65" s="360" t="str">
        <f>'16U_M_Classic'!L239&amp;"-"&amp;'16U_M_Classic'!O239&amp;"-"&amp;TEXT('16U_M_Classic'!B239,"h:mm am/pm")</f>
        <v>16BX-163-bz_play to semi-8:00 PM</v>
      </c>
      <c r="AT65" s="361" t="str">
        <f>'18U_M_INVITE_NEW_23'!L131&amp;"-"&amp;'18U_M_INVITE_NEW_23'!N131&amp;"-"&amp;TEXT('18U_M_INVITE_NEW_23'!B131,"h:mm am/pm")</f>
        <v>18BQ-098-cu_Group-8:00 PM</v>
      </c>
      <c r="AU65" s="353">
        <v>0.83333333333333304</v>
      </c>
      <c r="BA65" s="353">
        <v>0.83333333333333304</v>
      </c>
      <c r="BB65" s="353"/>
      <c r="BF65" s="360" t="str">
        <f>'16U_M_Classic'!L223&amp;"-"&amp;'16U_M_Classic'!O223&amp;"-"&amp;TEXT('16U_M_Classic'!B223,"h:mm am/pm")</f>
        <v>16BX-162-ag_17-20 semi-8:00 PM</v>
      </c>
    </row>
    <row r="66" spans="1:61">
      <c r="A66" s="353">
        <v>0.78472222222222199</v>
      </c>
      <c r="G66" s="354" t="str">
        <f>'12U_M_Classic_53'!L255&amp;"-"&amp;'12U_M_Classic_53'!N255&amp;"-"&amp;TEXT('12U_M_Classic_53'!B255,"h:mm am/pm")</f>
        <v>12BX-162-ag_play to semi, L to 5th-6:50 PM</v>
      </c>
      <c r="H66" s="354" t="str">
        <f>'12U_M_Classic_53'!L288&amp;"-"&amp;'12U_M_Classic_53'!N288&amp;"-"&amp;TEXT('12U_M_Classic_53'!B288,"h:mm am/pm")</f>
        <v>12BX-302-bz_27-29 RR-6:50 PM</v>
      </c>
      <c r="I66" s="353">
        <v>0.78472222222222199</v>
      </c>
      <c r="K66" s="353">
        <v>0.78472222222222199</v>
      </c>
      <c r="O66" s="354" t="str">
        <f>'12U_M_Classic_53'!L305&amp;"-"&amp;'12U_M_Classic_53'!N305&amp;"-"&amp;TEXT('12U_M_Classic_53'!B305,"h:mm am/pm")</f>
        <v>12BX-300-bz_21-23 RR-6:50 PM</v>
      </c>
      <c r="P66" s="353"/>
      <c r="X66" s="353"/>
      <c r="AB66" s="353"/>
      <c r="AC66" s="353"/>
      <c r="AD66" s="353"/>
      <c r="AU66" s="353"/>
      <c r="BA66" s="353"/>
      <c r="BB66" s="353"/>
    </row>
    <row r="67" spans="1:61">
      <c r="K67" s="353">
        <v>0.81944444444444398</v>
      </c>
      <c r="O67" s="354" t="str">
        <f>'12U_M_Classic_53'!L306&amp;"-"&amp;'12U_M_Classic_53'!N306&amp;"-"&amp;TEXT('12U_M_Classic_53'!B306,"h:mm am/pm")</f>
        <v>12BX-301-bz_24-26 RR-7:40 PM</v>
      </c>
      <c r="AC67" s="353"/>
    </row>
    <row r="69" spans="1:6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</row>
    <row r="71" spans="1:61">
      <c r="A71" s="45" t="s">
        <v>65</v>
      </c>
      <c r="I71" s="45" t="s">
        <v>65</v>
      </c>
      <c r="K71" s="45" t="s">
        <v>65</v>
      </c>
      <c r="L71" s="45"/>
      <c r="M71" s="45"/>
      <c r="N71" s="45"/>
      <c r="O71" s="45"/>
      <c r="P71" s="45" t="s">
        <v>65</v>
      </c>
      <c r="V71" s="45"/>
      <c r="X71" s="45" t="s">
        <v>65</v>
      </c>
      <c r="AA71" s="45"/>
      <c r="AB71" s="45"/>
      <c r="AD71" s="45"/>
      <c r="AE71" s="45"/>
      <c r="AH71" s="45"/>
      <c r="AI71" s="45"/>
      <c r="AJ71" s="45"/>
      <c r="AL71" s="45"/>
      <c r="AU71" s="45" t="s">
        <v>65</v>
      </c>
      <c r="AX71" s="46" t="s">
        <v>64</v>
      </c>
      <c r="BA71" s="45" t="s">
        <v>65</v>
      </c>
      <c r="BC71" s="45"/>
    </row>
    <row r="72" spans="1:61">
      <c r="B72" s="44" t="s">
        <v>9</v>
      </c>
      <c r="C72" s="44" t="s">
        <v>10</v>
      </c>
      <c r="D72" s="44" t="s">
        <v>11</v>
      </c>
      <c r="E72" s="44" t="s">
        <v>12</v>
      </c>
      <c r="F72" s="44" t="s">
        <v>13</v>
      </c>
      <c r="G72" s="44" t="s">
        <v>14</v>
      </c>
      <c r="H72" s="44" t="s">
        <v>15</v>
      </c>
      <c r="J72" s="44" t="s">
        <v>16</v>
      </c>
      <c r="L72" s="44" t="s">
        <v>17</v>
      </c>
      <c r="M72" s="44" t="s">
        <v>18</v>
      </c>
      <c r="N72" s="44" t="s">
        <v>19</v>
      </c>
      <c r="O72" s="44" t="s">
        <v>20</v>
      </c>
      <c r="Q72" s="44" t="s">
        <v>21</v>
      </c>
      <c r="R72" s="44" t="s">
        <v>22</v>
      </c>
      <c r="S72" s="44" t="s">
        <v>23</v>
      </c>
      <c r="T72" s="44" t="s">
        <v>24</v>
      </c>
      <c r="U72" s="44" t="s">
        <v>25</v>
      </c>
      <c r="V72" s="44" t="s">
        <v>26</v>
      </c>
      <c r="W72" s="44" t="s">
        <v>27</v>
      </c>
      <c r="Y72" s="44" t="s">
        <v>28</v>
      </c>
      <c r="Z72" s="44" t="s">
        <v>29</v>
      </c>
      <c r="AA72" s="44" t="s">
        <v>30</v>
      </c>
      <c r="AB72" s="44" t="s">
        <v>31</v>
      </c>
      <c r="AC72" s="44" t="s">
        <v>32</v>
      </c>
      <c r="AD72" s="44" t="s">
        <v>33</v>
      </c>
      <c r="AE72" s="44" t="s">
        <v>34</v>
      </c>
      <c r="AF72" s="44" t="s">
        <v>35</v>
      </c>
      <c r="AG72" s="44" t="s">
        <v>36</v>
      </c>
      <c r="AH72" s="44" t="s">
        <v>37</v>
      </c>
      <c r="AI72" s="44" t="s">
        <v>38</v>
      </c>
      <c r="AJ72" s="44" t="s">
        <v>39</v>
      </c>
      <c r="AK72" s="44" t="s">
        <v>40</v>
      </c>
      <c r="AL72" s="44" t="s">
        <v>41</v>
      </c>
      <c r="AM72" s="44" t="s">
        <v>42</v>
      </c>
      <c r="AN72" s="44" t="s">
        <v>43</v>
      </c>
      <c r="AO72" s="44" t="s">
        <v>44</v>
      </c>
      <c r="AP72" s="44" t="s">
        <v>45</v>
      </c>
      <c r="AQ72" s="44" t="s">
        <v>46</v>
      </c>
      <c r="AR72" s="44" t="s">
        <v>47</v>
      </c>
      <c r="AS72" s="44" t="s">
        <v>48</v>
      </c>
      <c r="AT72" s="44" t="s">
        <v>49</v>
      </c>
      <c r="AV72" s="44" t="s">
        <v>50</v>
      </c>
      <c r="AW72" s="44" t="s">
        <v>51</v>
      </c>
      <c r="AX72" s="44" t="s">
        <v>52</v>
      </c>
      <c r="AY72" s="44" t="s">
        <v>53</v>
      </c>
      <c r="AZ72" s="44" t="s">
        <v>54</v>
      </c>
      <c r="BB72" s="44" t="s">
        <v>55</v>
      </c>
      <c r="BC72" s="44" t="s">
        <v>56</v>
      </c>
      <c r="BD72" s="44" t="s">
        <v>57</v>
      </c>
      <c r="BE72" s="44" t="s">
        <v>58</v>
      </c>
      <c r="BF72" s="44" t="s">
        <v>59</v>
      </c>
      <c r="BI72" s="44">
        <f>COUNTA(B72:BG72)</f>
        <v>51</v>
      </c>
    </row>
    <row r="73" spans="1:61">
      <c r="A73" s="353">
        <v>0.29166666666666669</v>
      </c>
      <c r="E73" s="354" t="str">
        <f>'12U_M_Classic_53'!L355&amp;"-"&amp;'12U_M_Classic_53'!N355&amp;"-"&amp;TEXT('12U_M_Classic_53'!B355,"h:mm am/pm")</f>
        <v>12BX-189-ag_9th-7:00 AM</v>
      </c>
      <c r="F73" s="354" t="str">
        <f>'12U_M_Classic_53'!L337&amp;"-"&amp;'12U_M_Classic_53'!N337&amp;"-"&amp;TEXT('12U_M_Classic_53'!B337,"h:mm am/pm")</f>
        <v>12BX-184-bz_13th-7:00 AM</v>
      </c>
      <c r="G73" s="354" t="str">
        <f>'12U_M_Classic_53'!L364&amp;"-"&amp;'12U_M_Classic_53'!N364&amp;"-"&amp;TEXT('12U_M_Classic_53'!B364,"h:mm am/pm")</f>
        <v>12BX-169-bz_semi-7:00 AM</v>
      </c>
      <c r="H73" s="354" t="str">
        <f>'12U_M_Classic_53'!L328&amp;"-"&amp;'12U_M_Classic_53'!N328&amp;"-"&amp;TEXT('12U_M_Classic_53'!B328,"h:mm am/pm")</f>
        <v>12BX-303-bz_21-23 RR-7:00 AM</v>
      </c>
      <c r="I73" s="353">
        <v>0.29166666666666669</v>
      </c>
      <c r="J73" s="354" t="str">
        <f>'12U_M_Classic_53'!L346&amp;"-"&amp;'12U_M_Classic_53'!N346&amp;"-"&amp;TEXT('12U_M_Classic_53'!B346,"h:mm am/pm")</f>
        <v>12BX-175-ag_23rd-7:00 AM</v>
      </c>
      <c r="K73" s="353">
        <v>0.29166666666666669</v>
      </c>
      <c r="L73" s="56" t="str">
        <f>'12U_M_Champ'!L285&amp;"-"&amp;'12U_M_Champ'!N285&amp;"-"&amp;TEXT('12U_M_Champ'!B285,"h:mm am/pm")</f>
        <v>12B-171-au_semi-7:00 AM</v>
      </c>
      <c r="M73" s="56" t="str">
        <f>'12U_M_Champ'!L258&amp;"-"&amp;'12U_M_Champ'!N258&amp;"-"&amp;TEXT('12U_M_Champ'!B258,"h:mm am/pm")</f>
        <v>12B-182-pt_9th-7:00 AM</v>
      </c>
      <c r="N73" s="56" t="str">
        <f>'12U_M_Champ'!L267&amp;"-"&amp;'12U_M_Champ'!N267&amp;"-"&amp;TEXT('12U_M_Champ'!B267,"h:mm am/pm")</f>
        <v>12B-180-au_15th-7:00 AM</v>
      </c>
      <c r="O73" s="56" t="str">
        <f>'12U_M_Champ'!L276&amp;"-"&amp;'12U_M_Champ'!N276&amp;"-"&amp;TEXT('12U_M_Champ'!B276,"h:mm am/pm")</f>
        <v>12B-167-au_21-24 RR-7:00 AM</v>
      </c>
      <c r="P73" s="353">
        <v>0.29166666666666669</v>
      </c>
      <c r="Q73" s="355" t="str">
        <f>'14U_M_Champ'!L285&amp;"-"&amp;'14U_M_Champ'!N285&amp;"-"&amp;TEXT('14U_M_Champ'!B285,"h:mm am/pm")</f>
        <v>14B-171-au_semi-7:00 AM</v>
      </c>
      <c r="R73" s="355" t="str">
        <f>'14U_M_Champ'!L258&amp;"-"&amp;'14U_M_Champ'!N258&amp;"-"&amp;TEXT('14U_M_Champ'!B258,"h:mm am/pm")</f>
        <v>14B-165-pt_21-24 RR-7:00 AM</v>
      </c>
      <c r="S73" s="355" t="str">
        <f>'14U_M_Champ'!L276&amp;"-"&amp;'14U_M_Champ'!N276&amp;"-"&amp;TEXT('14U_M_Champ'!B276,"h:mm am/pm")</f>
        <v>14B-184-au_11th-7:00 AM</v>
      </c>
      <c r="T73" s="355" t="str">
        <f>'14U_M_Champ'!L267&amp;"-"&amp;'14U_M_Champ'!N267&amp;"-"&amp;TEXT('14U_M_Champ'!B267,"h:mm am/pm")</f>
        <v>14B-167-au_21-24 RR-7:00 AM</v>
      </c>
      <c r="U73" s="356" t="str">
        <f>'14U_M_Invite_36'!L215&amp;"-"&amp;'14U_M_Invite_36'!O215&amp;"-"&amp;TEXT('14U_M_Invite_36'!B215,"h:mm am/pm")</f>
        <v>14BQ-127-cu_semi-7:00 AM</v>
      </c>
      <c r="V73" s="356" t="str">
        <f>'14U_M_Invite_36'!L198&amp;"-"&amp;'14U_M_Invite_36'!O198&amp;"-"&amp;TEXT('14U_M_Invite_36'!B198,"h:mm am/pm")</f>
        <v>14BQ-131-ni_semi-7:00 AM</v>
      </c>
      <c r="W73" s="356" t="str">
        <f>'14U_M_Invite_36'!L207&amp;"-"&amp;'14U_M_Invite_36'!O207&amp;"-"&amp;TEXT('14U_M_Invite_36'!B207,"h:mm am/pm")</f>
        <v>14BQ-125-ni_21-24 RR-7:00 AM</v>
      </c>
      <c r="X73" s="353">
        <v>0.29166666666666669</v>
      </c>
      <c r="Y73" s="356" t="str">
        <f>'14U_M_Invite_36'!L224&amp;"-"&amp;'14U_M_Invite_36'!O224&amp;"-"&amp;TEXT('14U_M_Invite_36'!B224,"h:mm am/pm")</f>
        <v>14BQ-126-ni_21-24 RR-7:00 AM</v>
      </c>
      <c r="Z73" s="49"/>
      <c r="AA73" s="358" t="str">
        <f>'14U_M_Classic'!L283&amp;"-"&amp;'14U_M_Classic'!C283&amp;"-"&amp;TEXT('14U_M_Classic'!B283,"h:mm am/pm")</f>
        <v>14BX-176-19th-7:00 AM</v>
      </c>
      <c r="AB73" s="358" t="str">
        <f>'14U_M_Classic'!L293&amp;"-"&amp;'14U_M_Classic'!C293&amp;"-"&amp;TEXT('14U_M_Classic'!B293,"h:mm am/pm")</f>
        <v>14BX-188-7th-7:00 AM</v>
      </c>
      <c r="AC73" s="358" t="str">
        <f>'14U_M_Classic'!L273&amp;"-"&amp;'14U_M_Classic'!C273&amp;"-"&amp;TEXT('14U_M_Classic'!B273,"h:mm am/pm")</f>
        <v>14BX-186-5th-7:00 AM</v>
      </c>
      <c r="AD73" s="363" t="str">
        <f>'18U_M_Champ'!L281&amp;"-"&amp;'18U_M_Champ'!N281&amp;"-"&amp;TEXT('18U_M_Champ'!B281,"h:mm am/pm")</f>
        <v>18B-171-au_semi-7:00 AM</v>
      </c>
      <c r="AE73" s="363" t="str">
        <f>'18U_M_Champ'!L290&amp;"-"&amp;'18U_M_Champ'!N290&amp;"-"&amp;TEXT('18U_M_Champ'!B290,"h:mm am/pm")</f>
        <v>18B-184-au_11th-7:00 AM</v>
      </c>
      <c r="AF73" s="361" t="str">
        <f>'18U_M_INVITE_NEW_23'!L148&amp;"-"&amp;'18U_M_INVITE_NEW_23'!N148&amp;"-"&amp;TEXT('18U_M_INVITE_NEW_23'!B148,"h:mm am/pm")</f>
        <v>18BQ-077-cu_Semi-7:00 AM</v>
      </c>
      <c r="AG73" s="357" t="str">
        <f>'16U_M_Invite'!L285&amp;"-"&amp;'16U_M_Invite'!O285&amp;"-"&amp;TEXT('16U_M_Invite'!B285,"h:mm am/pm")</f>
        <v>16BQ-167-cu_21-24 RR-7:00 AM</v>
      </c>
      <c r="AH73" s="49"/>
      <c r="AI73" s="359" t="str">
        <f>'18U_M_Classic'!L278&amp;"-"&amp;'18U_M_Classic'!O278&amp;"-"&amp;TEXT('18U_M_Classic'!B278,"h:mm am/pm")</f>
        <v>18BX-176-bz_19th-7:00 AM</v>
      </c>
      <c r="AJ73" s="49"/>
      <c r="AK73" s="357" t="str">
        <f>'16U_M_Invite'!L275&amp;"-"&amp;'16U_M_Invite'!O275&amp;"-"&amp;TEXT('16U_M_Invite'!B275,"h:mm am/pm")</f>
        <v>16BQ-168-cu_21-24 RR-7:00 AM</v>
      </c>
      <c r="AL73" s="357" t="str">
        <f>'16U_M_Invite'!L295&amp;"-"&amp;'16U_M_Invite'!O295&amp;"-"&amp;TEXT('16U_M_Invite'!B295,"h:mm am/pm")</f>
        <v>16BQ-171-cu_semi-7:00 AM</v>
      </c>
      <c r="AM73" s="357" t="str">
        <f>'16U_M_Invite'!L266&amp;"-"&amp;'16U_M_Invite'!O266&amp;"-"&amp;TEXT('16U_M_Invite'!B266,"h:mm am/pm")</f>
        <v>16BQ-165-ni_21-24 RR-7:00 AM</v>
      </c>
      <c r="AN73" s="360" t="str">
        <f>'16U_M_Classic'!L270&amp;"-"&amp;'16U_M_Classic'!O270&amp;"-"&amp;TEXT('16U_M_Classic'!B270,"h:mm am/pm")</f>
        <v>16BX-167-bz_21-24 RR-7:00 AM</v>
      </c>
      <c r="AO73" s="360" t="str">
        <f>'16U_M_Classic'!L289&amp;"-"&amp;'16U_M_Classic'!O289&amp;"-"&amp;TEXT('16U_M_Classic'!B289,"h:mm am/pm")</f>
        <v>16BX-171-bz_semi-7:00 AM</v>
      </c>
      <c r="AP73" s="359" t="str">
        <f>'18U_M_Classic'!L268&amp;"-"&amp;'18U_M_Classic'!O268&amp;"-"&amp;TEXT('18U_M_Classic'!B268,"h:mm am/pm")</f>
        <v>18BX-167-bz_21-24 RR-7:00 AM</v>
      </c>
      <c r="AQ73" s="360" t="str">
        <f>'16U_M_Classic'!L260&amp;"-"&amp;'16U_M_Classic'!O260&amp;"-"&amp;TEXT('16U_M_Classic'!B260,"h:mm am/pm")</f>
        <v>16BX-165-ag_21-24 RR-7:00 AM</v>
      </c>
      <c r="AR73" s="359" t="str">
        <f>'18U_M_Classic'!L287&amp;"-"&amp;'18U_M_Classic'!O287&amp;"-"&amp;TEXT('18U_M_Classic'!B287,"h:mm am/pm")</f>
        <v>18BX-171-bz_semi-7:00 AM</v>
      </c>
      <c r="AS73" s="358" t="str">
        <f>'14U_M_Classic'!L302&amp;"-"&amp;'14U_M_Classic'!C302&amp;"-"&amp;TEXT('14U_M_Classic'!B302,"h:mm am/pm")</f>
        <v>14BX-171-semi-7:00 AM</v>
      </c>
      <c r="AT73" s="361" t="str">
        <f>'18U_M_INVITE_NEW_23'!L137&amp;"-"&amp;'18U_M_INVITE_NEW_23'!N137&amp;"-"&amp;TEXT('18U_M_INVITE_NEW_23'!B137,"h:mm am/pm")</f>
        <v>18BQ-085-ni_7th-7:00 AM</v>
      </c>
      <c r="AU73" s="353">
        <v>0.29166666666666669</v>
      </c>
      <c r="AV73" s="362" t="str">
        <f>'16U_M_Champ'!L297&amp;"-"&amp;'16U_M_Champ'!O297&amp;"-"&amp;TEXT('16U_M_Champ'!B297,"h:mm am/pm")</f>
        <v>16B-171-au_semi-7:00 AM</v>
      </c>
      <c r="AW73" s="362" t="str">
        <f>'16U_M_Champ'!L258&amp;"-"&amp;'16U_M_Champ'!O258&amp;"-"&amp;TEXT('16U_M_Champ'!B258,"h:mm am/pm")</f>
        <v>16B-182-pt_9th-7:00 AM</v>
      </c>
      <c r="AX73" s="49"/>
      <c r="AY73" s="362" t="str">
        <f>'16U_M_Champ'!L276&amp;"-"&amp;'16U_M_Champ'!O276&amp;"-"&amp;TEXT('16U_M_Champ'!B276,"h:mm am/pm")</f>
        <v>16B-167-au_21-24 RR-7:00 AM</v>
      </c>
      <c r="AZ73" s="359" t="str">
        <f>'18U_M_Classic'!L258&amp;"-"&amp;'18U_M_Classic'!O258&amp;"-"&amp;TEXT('18U_M_Classic'!B258,"h:mm am/pm")</f>
        <v>18BX-182-ag_9th-7:00 AM</v>
      </c>
      <c r="BA73" s="353">
        <v>0.29166666666666669</v>
      </c>
      <c r="BB73" s="49"/>
      <c r="BC73" s="49"/>
      <c r="BD73" s="363" t="str">
        <f>'18U_M_Champ'!L263&amp;"-"&amp;'18U_M_Champ'!N263&amp;"-"&amp;TEXT('18U_M_Champ'!B263,"h:mm am/pm")</f>
        <v>18B-165-pt_21-24 RR-7:00 AM</v>
      </c>
      <c r="BE73" s="363" t="str">
        <f>'18U_M_Champ'!L272&amp;"-"&amp;'18U_M_Champ'!N272&amp;"-"&amp;TEXT('18U_M_Champ'!B272,"h:mm am/pm")</f>
        <v>18B-167-au_21-24 RR-7:00 AM</v>
      </c>
      <c r="BF73" s="360" t="str">
        <f>'16U_M_Classic'!L279&amp;"-"&amp;'16U_M_Classic'!O279&amp;"-"&amp;TEXT('16U_M_Classic'!B279,"h:mm am/pm")</f>
        <v>16BX-184-bz_11th-7:00 AM</v>
      </c>
    </row>
    <row r="74" spans="1:61">
      <c r="A74" s="353">
        <v>0.33333333333333298</v>
      </c>
      <c r="B74" s="55" t="str">
        <f>'10U_M_Champ_35'!L214&amp;"-"&amp;'10U_M_Champ_35'!O214&amp;"-"&amp;TEXT('10U_M_Champ_35'!B214,"h:mm am/pm")</f>
        <v>10B-125-pt_21-24 RR-8:00 AM</v>
      </c>
      <c r="C74" s="55" t="str">
        <f>'10U_M_Champ_35'!L196&amp;"-"&amp;'10U_M_Champ_35'!O196&amp;"-"&amp;TEXT('10U_M_Champ_35'!B196,"h:mm am/pm")</f>
        <v>10B-124-au_semi-8:00 AM</v>
      </c>
      <c r="D74" s="55" t="str">
        <f>'10U_M_Champ_35'!L205&amp;"-"&amp;'10U_M_Champ_35'!O205&amp;"-"&amp;TEXT('10U_M_Champ_35'!B205,"h:mm am/pm")</f>
        <v>10B-138-pt_9th-8:00 AM</v>
      </c>
      <c r="E74" s="354" t="str">
        <f>'12U_M_Classic_53'!L356&amp;"-"&amp;'12U_M_Classic_53'!N356&amp;"-"&amp;TEXT('12U_M_Classic_53'!B356,"h:mm am/pm")</f>
        <v>12BX-187-ag_11th-8:00 AM</v>
      </c>
      <c r="F74" s="354" t="str">
        <f>'12U_M_Classic_53'!L338&amp;"-"&amp;'12U_M_Classic_53'!N338&amp;"-"&amp;TEXT('12U_M_Classic_53'!B338,"h:mm am/pm")</f>
        <v>12BX-182-bz_15th-8:00 AM</v>
      </c>
      <c r="G74" s="354" t="str">
        <f>'12U_M_Classic_53'!L365&amp;"-"&amp;'12U_M_Classic_53'!N365&amp;"-"&amp;TEXT('12U_M_Classic_53'!B365,"h:mm am/pm")</f>
        <v>12BX-170-bz_semi-8:00 AM</v>
      </c>
      <c r="H74" s="354" t="str">
        <f>'12U_M_Classic_53'!L329&amp;"-"&amp;'12U_M_Classic_53'!N329&amp;"-"&amp;TEXT('12U_M_Classic_53'!B329,"h:mm am/pm")</f>
        <v>12BX-304-bz_24-26 RR-8:00 AM</v>
      </c>
      <c r="I74" s="353">
        <v>0.33333333333333298</v>
      </c>
      <c r="J74" s="354" t="str">
        <f>'12U_M_Classic_53'!L347&amp;"-"&amp;'12U_M_Classic_53'!N347&amp;"-"&amp;TEXT('12U_M_Classic_53'!B347,"h:mm am/pm")</f>
        <v>12BX-177-ag_21st-8:00 AM</v>
      </c>
      <c r="K74" s="353">
        <v>0.33333333333333298</v>
      </c>
      <c r="L74" s="56" t="str">
        <f>'12U_M_Champ'!L286&amp;"-"&amp;'12U_M_Champ'!N286&amp;"-"&amp;TEXT('12U_M_Champ'!B286,"h:mm am/pm")</f>
        <v>12B-172-au_semi-8:00 AM</v>
      </c>
      <c r="M74" s="56" t="str">
        <f>'12U_M_Champ'!L259&amp;"-"&amp;'12U_M_Champ'!N259&amp;"-"&amp;TEXT('12U_M_Champ'!B259,"h:mm am/pm")</f>
        <v>12B-181-pt_11th-8:00 AM</v>
      </c>
      <c r="N74" s="56" t="str">
        <f>'12U_M_Champ'!L268&amp;"-"&amp;'12U_M_Champ'!N268&amp;"-"&amp;TEXT('12U_M_Champ'!B268,"h:mm am/pm")</f>
        <v>12B-179-au_13th-8:00 AM</v>
      </c>
      <c r="O74" s="56" t="str">
        <f>'12U_M_Champ'!L277&amp;"-"&amp;'12U_M_Champ'!N277&amp;"-"&amp;TEXT('12U_M_Champ'!B277,"h:mm am/pm")</f>
        <v>12B-168-au_21-24 RR-8:00 AM</v>
      </c>
      <c r="P74" s="353">
        <v>0.33333333333333298</v>
      </c>
      <c r="Q74" s="355" t="str">
        <f>'14U_M_Champ'!L286&amp;"-"&amp;'14U_M_Champ'!N286&amp;"-"&amp;TEXT('14U_M_Champ'!B286,"h:mm am/pm")</f>
        <v>14B-172-au_semi-8:00 AM</v>
      </c>
      <c r="R74" s="355" t="str">
        <f>'14U_M_Champ'!L259&amp;"-"&amp;'14U_M_Champ'!N259&amp;"-"&amp;TEXT('14U_M_Champ'!B259,"h:mm am/pm")</f>
        <v>14B-166-pt_21-24 RR-8:00 AM</v>
      </c>
      <c r="S74" s="355" t="str">
        <f>'14U_M_Champ'!L277&amp;"-"&amp;'14U_M_Champ'!N277&amp;"-"&amp;TEXT('14U_M_Champ'!B277,"h:mm am/pm")</f>
        <v>14B-183-au_9th-8:00 AM</v>
      </c>
      <c r="T74" s="355" t="str">
        <f>'14U_M_Champ'!L268&amp;"-"&amp;'14U_M_Champ'!N268&amp;"-"&amp;TEXT('14U_M_Champ'!B268,"h:mm am/pm")</f>
        <v>14B-168-au_21-24 RR-8:00 AM</v>
      </c>
      <c r="U74" s="356" t="str">
        <f>'14U_M_Invite_36'!L216&amp;"-"&amp;'14U_M_Invite_36'!O216&amp;"-"&amp;TEXT('14U_M_Invite_36'!B216,"h:mm am/pm")</f>
        <v>14BQ-130-cu_semi-8:00 AM</v>
      </c>
      <c r="V74" s="356" t="str">
        <f>'14U_M_Invite_36'!L199&amp;"-"&amp;'14U_M_Invite_36'!O199&amp;"-"&amp;TEXT('14U_M_Invite_36'!B199,"h:mm am/pm")</f>
        <v>14BQ-132-ni_semi-8:00 AM</v>
      </c>
      <c r="W74" s="356" t="str">
        <f>'14U_M_Invite_36'!L208&amp;"-"&amp;'14U_M_Invite_36'!O208&amp;"-"&amp;TEXT('14U_M_Invite_36'!B208,"h:mm am/pm")</f>
        <v>14BQ-129-ni_17th-8:00 AM</v>
      </c>
      <c r="X74" s="353">
        <v>0.33333333333333298</v>
      </c>
      <c r="Y74" s="356" t="str">
        <f>'14U_M_Invite_36'!L225&amp;"-"&amp;'14U_M_Invite_36'!O225&amp;"-"&amp;TEXT('14U_M_Invite_36'!B225,"h:mm am/pm")</f>
        <v>14BQ-133-cu_9th-8:00 AM</v>
      </c>
      <c r="Z74" s="49"/>
      <c r="AA74" s="358" t="str">
        <f>'14U_M_Classic'!L284&amp;"-"&amp;'14U_M_Classic'!C284&amp;"-"&amp;TEXT('14U_M_Classic'!B284,"h:mm am/pm")</f>
        <v>14BX-187-5th-8:00 AM</v>
      </c>
      <c r="AB74" s="358" t="str">
        <f>'14U_M_Classic'!L294&amp;"-"&amp;'14U_M_Classic'!C294&amp;"-"&amp;TEXT('14U_M_Classic'!B294,"h:mm am/pm")</f>
        <v>14BX-183-9th-8:00 AM</v>
      </c>
      <c r="AC74" s="358" t="str">
        <f>'14U_M_Classic'!L274&amp;"-"&amp;'14U_M_Classic'!C274&amp;"-"&amp;TEXT('14U_M_Classic'!B274,"h:mm am/pm")</f>
        <v>14BX-182-9th-8:00 AM</v>
      </c>
      <c r="AD74" s="363" t="str">
        <f>'18U_M_Champ'!L282&amp;"-"&amp;'18U_M_Champ'!N282&amp;"-"&amp;TEXT('18U_M_Champ'!B282,"h:mm am/pm")</f>
        <v>18B-172-au_semi-8:00 AM</v>
      </c>
      <c r="AE74" s="363" t="str">
        <f>'18U_M_Champ'!L291&amp;"-"&amp;'18U_M_Champ'!N291&amp;"-"&amp;TEXT('18U_M_Champ'!B291,"h:mm am/pm")</f>
        <v>18B-183-au_9th-8:00 AM</v>
      </c>
      <c r="AF74" s="361" t="str">
        <f>'18U_M_INVITE_NEW_23'!L149&amp;"-"&amp;'18U_M_INVITE_NEW_23'!N149&amp;"-"&amp;TEXT('18U_M_INVITE_NEW_23'!B149,"h:mm am/pm")</f>
        <v>18BQ-078-cu_Semi-8:00 AM</v>
      </c>
      <c r="AG74" s="357" t="str">
        <f>'16U_M_Invite'!L286&amp;"-"&amp;'16U_M_Invite'!O286&amp;"-"&amp;TEXT('16U_M_Invite'!B286,"h:mm am/pm")</f>
        <v>16BQ-176-cu_19th-8:00 AM</v>
      </c>
      <c r="AH74" s="49"/>
      <c r="AI74" s="359" t="str">
        <f>'18U_M_Classic'!L279&amp;"-"&amp;'18U_M_Classic'!O279&amp;"-"&amp;TEXT('18U_M_Classic'!B279,"h:mm am/pm")</f>
        <v>18BX-187-bz_5th-8:00 AM</v>
      </c>
      <c r="AJ74" s="49"/>
      <c r="AK74" s="357" t="str">
        <f>'16U_M_Invite'!L276&amp;"-"&amp;'16U_M_Invite'!O276&amp;"-"&amp;TEXT('16U_M_Invite'!B276,"h:mm am/pm")</f>
        <v>16BQ-187-cu_5th-8:00 AM</v>
      </c>
      <c r="AL74" s="357" t="str">
        <f>'16U_M_Invite'!L296&amp;"-"&amp;'16U_M_Invite'!O296&amp;"-"&amp;TEXT('16U_M_Invite'!B296,"h:mm am/pm")</f>
        <v>16BQ-172-cu_semi-8:00 AM</v>
      </c>
      <c r="AM74" s="357" t="str">
        <f>'16U_M_Invite'!L267&amp;"-"&amp;'16U_M_Invite'!O267&amp;"-"&amp;TEXT('16U_M_Invite'!B267,"h:mm am/pm")</f>
        <v>16BQ-166-ni_21-24 RR-8:00 AM</v>
      </c>
      <c r="AN74" s="360" t="str">
        <f>'16U_M_Classic'!L271&amp;"-"&amp;'16U_M_Classic'!O271&amp;"-"&amp;TEXT('16U_M_Classic'!B271,"h:mm am/pm")</f>
        <v>16BX-168-bz_21-24 RR-8:00 AM</v>
      </c>
      <c r="AO74" s="360" t="str">
        <f>'16U_M_Classic'!L290&amp;"-"&amp;'16U_M_Classic'!O290&amp;"-"&amp;TEXT('16U_M_Classic'!B290,"h:mm am/pm")</f>
        <v>16BX-172-bz_semi-8:00 AM</v>
      </c>
      <c r="AP74" s="359" t="str">
        <f>'18U_M_Classic'!L269&amp;"-"&amp;'18U_M_Classic'!O269&amp;"-"&amp;TEXT('18U_M_Classic'!B269,"h:mm am/pm")</f>
        <v>18BX-168-bz_21-24 RR-8:00 AM</v>
      </c>
      <c r="AQ74" s="360" t="str">
        <f>'16U_M_Classic'!L261&amp;"-"&amp;'16U_M_Classic'!O261&amp;"-"&amp;TEXT('16U_M_Classic'!B261,"h:mm am/pm")</f>
        <v>16BX-166-ag_21-24 RR-8:00 AM</v>
      </c>
      <c r="AR74" s="359" t="str">
        <f>'18U_M_Classic'!L288&amp;"-"&amp;'18U_M_Classic'!O288&amp;"-"&amp;TEXT('18U_M_Classic'!B288,"h:mm am/pm")</f>
        <v>18BX-172-bz_semi-8:00 AM</v>
      </c>
      <c r="AS74" s="358" t="str">
        <f>'14U_M_Classic'!L303&amp;"-"&amp;'14U_M_Classic'!C303&amp;"-"&amp;TEXT('14U_M_Classic'!B303,"h:mm am/pm")</f>
        <v>14BX-172-semi-8:00 AM</v>
      </c>
      <c r="AT74" s="361" t="str">
        <f>'18U_M_INVITE_NEW_23'!L138&amp;"-"&amp;'18U_M_INVITE_NEW_23'!N138&amp;"-"&amp;TEXT('18U_M_INVITE_NEW_23'!B138,"h:mm am/pm")</f>
        <v>18BQ-086-ni_5th-8:00 AM</v>
      </c>
      <c r="AU74" s="353">
        <v>0.33333333333333298</v>
      </c>
      <c r="AV74" s="362" t="str">
        <f>'16U_M_Champ'!L298&amp;"-"&amp;'16U_M_Champ'!O298&amp;"-"&amp;TEXT('16U_M_Champ'!B298,"h:mm am/pm")</f>
        <v>16B-172-au_semi-8:00 AM</v>
      </c>
      <c r="AW74" s="362" t="str">
        <f>'16U_M_Champ'!L259&amp;"-"&amp;'16U_M_Champ'!O259&amp;"-"&amp;TEXT('16U_M_Champ'!B259,"h:mm am/pm")</f>
        <v>16B-185-pt_7th-8:00 AM</v>
      </c>
      <c r="AX74" s="362" t="str">
        <f>'16U_M_Champ'!L267&amp;"-"&amp;'16U_M_Champ'!O267&amp;"-"&amp;TEXT('16U_M_Champ'!B267,"h:mm am/pm")</f>
        <v>16B-175-au_17th-8:00 AM</v>
      </c>
      <c r="AY74" s="362" t="str">
        <f>'16U_M_Champ'!L277&amp;"-"&amp;'16U_M_Champ'!O277&amp;"-"&amp;TEXT('16U_M_Champ'!B277,"h:mm am/pm")</f>
        <v>16B-168-au_21-24 RR-8:00 AM</v>
      </c>
      <c r="AZ74" s="359" t="str">
        <f>'18U_M_Classic'!L259&amp;"-"&amp;'18U_M_Classic'!O259&amp;"-"&amp;TEXT('18U_M_Classic'!B259,"h:mm am/pm")</f>
        <v>18BX-185-ag_7th-8:00 AM</v>
      </c>
      <c r="BA74" s="353">
        <v>0.33333333333333298</v>
      </c>
      <c r="BB74" s="49"/>
      <c r="BC74" s="49"/>
      <c r="BD74" s="363" t="str">
        <f>'18U_M_Champ'!L264&amp;"-"&amp;'18U_M_Champ'!N264&amp;"-"&amp;TEXT('18U_M_Champ'!B264,"h:mm am/pm")</f>
        <v>18B-166-pt_21-24 RR-8:00 AM</v>
      </c>
      <c r="BE74" s="363" t="str">
        <f>'18U_M_Champ'!L273&amp;"-"&amp;'18U_M_Champ'!N273&amp;"-"&amp;TEXT('18U_M_Champ'!B273,"h:mm am/pm")</f>
        <v>18B-168-au_21-24 RR-8:00 AM</v>
      </c>
      <c r="BF74" s="360" t="str">
        <f>'16U_M_Classic'!L280&amp;"-"&amp;'16U_M_Classic'!O280&amp;"-"&amp;TEXT('16U_M_Classic'!B280,"h:mm am/pm")</f>
        <v>16BX-186-ag_5th-8:00 AM</v>
      </c>
    </row>
    <row r="75" spans="1:61">
      <c r="A75" s="353">
        <v>0.375</v>
      </c>
      <c r="B75" s="55" t="str">
        <f>'10U_M_Champ_35'!L215&amp;"-"&amp;'10U_M_Champ_35'!O215&amp;"-"&amp;TEXT('10U_M_Champ_35'!B215,"h:mm am/pm")</f>
        <v>10B-126-pt_21-24 RR-9:00 AM</v>
      </c>
      <c r="C75" s="55" t="str">
        <f>'10U_M_Champ_35'!L197&amp;"-"&amp;'10U_M_Champ_35'!O197&amp;"-"&amp;TEXT('10U_M_Champ_35'!B197,"h:mm am/pm")</f>
        <v>10B-127-au_semi-9:00 AM</v>
      </c>
      <c r="D75" s="55" t="str">
        <f>'10U_M_Champ_35'!L206&amp;"-"&amp;'10U_M_Champ_35'!O206&amp;"-"&amp;TEXT('10U_M_Champ_35'!B206,"h:mm am/pm")</f>
        <v>10B-137-pt_11th-9:00 AM</v>
      </c>
      <c r="E75" s="354" t="str">
        <f>'12U_M_Classic_53'!L357&amp;"-"&amp;'12U_M_Classic_53'!N357&amp;"-"&amp;TEXT('12U_M_Classic_53'!B357,"h:mm am/pm")</f>
        <v>12BX-185-ag_13th-9:00 AM</v>
      </c>
      <c r="F75" s="354" t="str">
        <f>'12U_M_Classic_53'!L339&amp;"-"&amp;'12U_M_Classic_53'!N339&amp;"-"&amp;TEXT('12U_M_Classic_53'!B339,"h:mm am/pm")</f>
        <v>12BX-193-ag_5th-9:00 AM</v>
      </c>
      <c r="G75" s="354" t="str">
        <f>'12U_M_Classic_53'!L366&amp;"-"&amp;'12U_M_Classic_53'!N366&amp;"-"&amp;TEXT('12U_M_Classic_53'!B366,"h:mm am/pm")</f>
        <v>12BX-171-ag_semi-9:00 AM</v>
      </c>
      <c r="H75" s="354" t="str">
        <f>'12U_M_Classic_53'!L330&amp;"-"&amp;'12U_M_Classic_53'!N330&amp;"-"&amp;TEXT('12U_M_Classic_53'!B330,"h:mm am/pm")</f>
        <v>12BX-305-bz_27-29 RR-9:00 AM</v>
      </c>
      <c r="I75" s="353">
        <v>0.375</v>
      </c>
      <c r="J75" s="354" t="str">
        <f>'12U_M_Classic_53'!L348&amp;"-"&amp;'12U_M_Classic_53'!N348&amp;"-"&amp;TEXT('12U_M_Classic_53'!B348,"h:mm am/pm")</f>
        <v>12BX-190-bz_7th-9:00 AM</v>
      </c>
      <c r="K75" s="353">
        <v>0.375</v>
      </c>
      <c r="L75" s="56" t="str">
        <f>'12U_M_Champ'!L287&amp;"-"&amp;'12U_M_Champ'!N287&amp;"-"&amp;TEXT('12U_M_Champ'!B287,"h:mm am/pm")</f>
        <v>12B-185-pt_7th-9:00 AM</v>
      </c>
      <c r="M75" s="56" t="str">
        <f>'12U_M_Champ'!L260&amp;"-"&amp;'12U_M_Champ'!N260&amp;"-"&amp;TEXT('12U_M_Champ'!B260,"h:mm am/pm")</f>
        <v>12B-178-pt_13th-9:00 AM</v>
      </c>
      <c r="N75" s="56" t="str">
        <f>'12U_M_Champ'!L269&amp;"-"&amp;'12U_M_Champ'!N269&amp;"-"&amp;TEXT('12U_M_Champ'!B269,"h:mm am/pm")</f>
        <v>12B-187-au_5th-9:00 AM</v>
      </c>
      <c r="O75" s="56" t="str">
        <f>'12U_M_Champ'!L278&amp;"-"&amp;'12U_M_Champ'!N278&amp;"-"&amp;TEXT('12U_M_Champ'!B278,"h:mm am/pm")</f>
        <v>12B-165-pt_21-24 RR-9:00 AM</v>
      </c>
      <c r="P75" s="353">
        <v>0.375</v>
      </c>
      <c r="Q75" s="355" t="str">
        <f>'14U_M_Champ'!L287&amp;"-"&amp;'14U_M_Champ'!N287&amp;"-"&amp;TEXT('14U_M_Champ'!B287,"h:mm am/pm")</f>
        <v>14B-187-au_5th-9:00 AM</v>
      </c>
      <c r="R75" s="355" t="str">
        <f>'14U_M_Champ'!L260&amp;"-"&amp;'14U_M_Champ'!N260&amp;"-"&amp;TEXT('14U_M_Champ'!B260,"h:mm am/pm")</f>
        <v>14B-186-pt_5th-9:00 AM</v>
      </c>
      <c r="S75" s="355" t="str">
        <f>'14U_M_Champ'!L278&amp;"-"&amp;'14U_M_Champ'!N278&amp;"-"&amp;TEXT('14U_M_Champ'!B278,"h:mm am/pm")</f>
        <v>14B-178-pt_13th-9:00 AM</v>
      </c>
      <c r="T75" s="355" t="str">
        <f>'14U_M_Champ'!L269&amp;"-"&amp;'14U_M_Champ'!N269&amp;"-"&amp;TEXT('14U_M_Champ'!B269,"h:mm am/pm")</f>
        <v>14B-176-au_19th-9:00 AM</v>
      </c>
      <c r="U75" s="356" t="str">
        <f>'14U_M_Invite_36'!L217&amp;"-"&amp;'14U_M_Invite_36'!O217&amp;"-"&amp;TEXT('14U_M_Invite_36'!B217,"h:mm am/pm")</f>
        <v>14BQ-142-cu_7th-9:00 AM</v>
      </c>
      <c r="V75" s="356" t="str">
        <f>'14U_M_Invite_36'!L200&amp;"-"&amp;'14U_M_Invite_36'!O200&amp;"-"&amp;TEXT('14U_M_Invite_36'!B200,"h:mm am/pm")</f>
        <v>14BQ-140-ni_7th-9:00 AM</v>
      </c>
      <c r="W75" s="356" t="str">
        <f>'14U_M_Invite_36'!L209&amp;"-"&amp;'14U_M_Invite_36'!O209&amp;"-"&amp;TEXT('14U_M_Invite_36'!B209,"h:mm am/pm")</f>
        <v>14BQ-128-ni_19th-9:00 AM</v>
      </c>
      <c r="X75" s="353">
        <v>0.375</v>
      </c>
      <c r="Y75" s="356" t="str">
        <f>'14U_M_Invite_36'!L226&amp;"-"&amp;'14U_M_Invite_36'!O226&amp;"-"&amp;TEXT('14U_M_Invite_36'!B226,"h:mm am/pm")</f>
        <v>14BQ-136-cu_11th-9:00 AM</v>
      </c>
      <c r="Z75" s="49"/>
      <c r="AA75" s="358" t="str">
        <f>'14U_M_Classic'!L285&amp;"-"&amp;'14U_M_Classic'!C285&amp;"-"&amp;TEXT('14U_M_Classic'!B285,"h:mm am/pm")</f>
        <v>14BX-165-21-24 RR-9:00 AM</v>
      </c>
      <c r="AB75" s="358" t="str">
        <f>'14U_M_Classic'!L295&amp;"-"&amp;'14U_M_Classic'!C295&amp;"-"&amp;TEXT('14U_M_Classic'!B295,"h:mm am/pm")</f>
        <v>14BX-184-11th-9:00 AM</v>
      </c>
      <c r="AC75" s="358" t="str">
        <f>'14U_M_Classic'!L275&amp;"-"&amp;'14U_M_Classic'!C275&amp;"-"&amp;TEXT('14U_M_Classic'!B275,"h:mm am/pm")</f>
        <v>14BX-185-7th-9:00 AM</v>
      </c>
      <c r="AD75" s="363" t="str">
        <f>'18U_M_Champ'!L283&amp;"-"&amp;'18U_M_Champ'!N283&amp;"-"&amp;TEXT('18U_M_Champ'!B283,"h:mm am/pm")</f>
        <v>18B-188-au_7th-9:00 AM</v>
      </c>
      <c r="AE75" s="363" t="str">
        <f>'18U_M_Champ'!L292&amp;"-"&amp;'18U_M_Champ'!N292&amp;"-"&amp;TEXT('18U_M_Champ'!B292,"h:mm am/pm")</f>
        <v>18B-185-pt_7th-9:00 AM</v>
      </c>
      <c r="AF75" s="361" t="str">
        <f>'18U_M_INVITE_NEW_23'!L150&amp;"-"&amp;'18U_M_INVITE_NEW_23'!N150&amp;"-"&amp;TEXT('18U_M_INVITE_NEW_23'!B150,"h:mm am/pm")</f>
        <v>18BQ-079-ni_Semi-9:00 AM</v>
      </c>
      <c r="AG75" s="357" t="str">
        <f>'16U_M_Invite'!L287&amp;"-"&amp;'16U_M_Invite'!O287&amp;"-"&amp;TEXT('16U_M_Invite'!B287,"h:mm am/pm")</f>
        <v>16BQ-175-cu_17th-9:00 AM</v>
      </c>
      <c r="AH75" s="49"/>
      <c r="AI75" s="359" t="str">
        <f>'18U_M_Classic'!L280&amp;"-"&amp;'18U_M_Classic'!O280&amp;"-"&amp;TEXT('18U_M_Classic'!B280,"h:mm am/pm")</f>
        <v>18BX-183-bz_9th-9:00 AM</v>
      </c>
      <c r="AJ75" s="49"/>
      <c r="AK75" s="357" t="str">
        <f>'16U_M_Invite'!L277&amp;"-"&amp;'16U_M_Invite'!O277&amp;"-"&amp;TEXT('16U_M_Invite'!B277,"h:mm am/pm")</f>
        <v>16BQ-188-cu_7th-9:00 AM</v>
      </c>
      <c r="AL75" s="357" t="str">
        <f>'16U_M_Invite'!L297&amp;"-"&amp;'16U_M_Invite'!O297&amp;"-"&amp;TEXT('16U_M_Invite'!B297,"h:mm am/pm")</f>
        <v>16BQ-173-ni_semi-9:00 AM</v>
      </c>
      <c r="AM75" s="357" t="str">
        <f>'16U_M_Invite'!L268&amp;"-"&amp;'16U_M_Invite'!O268&amp;"-"&amp;TEXT('16U_M_Invite'!B268,"h:mm am/pm")</f>
        <v>16BQ-169-ni_19th-9:00 AM</v>
      </c>
      <c r="AN75" s="360" t="str">
        <f>'16U_M_Classic'!L272&amp;"-"&amp;'16U_M_Classic'!O272&amp;"-"&amp;TEXT('16U_M_Classic'!B272,"h:mm am/pm")</f>
        <v>16BX-179-bz_13th-9:00 AM</v>
      </c>
      <c r="AO75" s="360" t="str">
        <f>'16U_M_Classic'!L291&amp;"-"&amp;'16U_M_Classic'!O291&amp;"-"&amp;TEXT('16U_M_Classic'!B291,"h:mm am/pm")</f>
        <v>16BX-173-ag_semi-9:00 AM</v>
      </c>
      <c r="AP75" s="359" t="str">
        <f>'18U_M_Classic'!L270&amp;"-"&amp;'18U_M_Classic'!O270&amp;"-"&amp;TEXT('18U_M_Classic'!B270,"h:mm am/pm")</f>
        <v>18BX-166-ag_21-24 RR-9:00 AM</v>
      </c>
      <c r="AQ75" s="360" t="str">
        <f>'16U_M_Classic'!L262&amp;"-"&amp;'16U_M_Classic'!O262&amp;"-"&amp;TEXT('16U_M_Classic'!B262,"h:mm am/pm")</f>
        <v>16BX-181-ag_11th-9:00 AM</v>
      </c>
      <c r="AR75" s="359" t="str">
        <f>'18U_M_Classic'!L289&amp;"-"&amp;'18U_M_Classic'!O289&amp;"-"&amp;TEXT('18U_M_Classic'!B289,"h:mm am/pm")</f>
        <v>18BX-173-ag_semi-9:00 AM</v>
      </c>
      <c r="AS75" s="358" t="str">
        <f>'14U_M_Classic'!L304&amp;"-"&amp;'14U_M_Classic'!C304&amp;"-"&amp;TEXT('14U_M_Classic'!B304,"h:mm am/pm")</f>
        <v>14BX-173-semi-9:00 AM</v>
      </c>
      <c r="AT75" s="361" t="str">
        <f>'18U_M_INVITE_NEW_23'!L139&amp;"-"&amp;'18U_M_INVITE_NEW_23'!N139&amp;"-"&amp;TEXT('18U_M_INVITE_NEW_23'!B139,"h:mm am/pm")</f>
        <v>18BQ-087-cu_9th-11th-9:00 AM</v>
      </c>
      <c r="AU75" s="353">
        <v>0.375</v>
      </c>
      <c r="AV75" s="362" t="str">
        <f>'16U_M_Champ'!L299&amp;"-"&amp;'16U_M_Champ'!O299&amp;"-"&amp;TEXT('16U_M_Champ'!B299,"h:mm am/pm")</f>
        <v>16B-188-au_7th-9:00 AM</v>
      </c>
      <c r="AW75" s="362" t="str">
        <f>'16U_M_Champ'!L260&amp;"-"&amp;'16U_M_Champ'!O260&amp;"-"&amp;TEXT('16U_M_Champ'!B260,"h:mm am/pm")</f>
        <v>16B-186-pt_5th-9:00 AM</v>
      </c>
      <c r="AX75" s="362" t="str">
        <f>'16U_M_Champ'!L268&amp;"-"&amp;'16U_M_Champ'!O268&amp;"-"&amp;TEXT('16U_M_Champ'!B268,"h:mm am/pm")</f>
        <v>16B-176-au_19th-9:00 AM</v>
      </c>
      <c r="AY75" s="362" t="str">
        <f>'16U_M_Champ'!L278&amp;"-"&amp;'16U_M_Champ'!O278&amp;"-"&amp;TEXT('16U_M_Champ'!B278,"h:mm am/pm")</f>
        <v>16B-183-au_9th-9:00 AM</v>
      </c>
      <c r="AZ75" s="359" t="str">
        <f>'18U_M_Classic'!L260&amp;"-"&amp;'18U_M_Classic'!O260&amp;"-"&amp;TEXT('18U_M_Classic'!B260,"h:mm am/pm")</f>
        <v>18BX-186-ag_5th-9:00 AM</v>
      </c>
      <c r="BA75" s="353">
        <v>0.375</v>
      </c>
      <c r="BB75" s="49"/>
      <c r="BC75" s="49"/>
      <c r="BD75" s="363" t="str">
        <f>'18U_M_Champ'!L265&amp;"-"&amp;'18U_M_Champ'!N265&amp;"-"&amp;TEXT('18U_M_Champ'!B265,"h:mm am/pm")</f>
        <v>18B-169-pt_19th-9:00 AM</v>
      </c>
      <c r="BE75" s="363" t="str">
        <f>'18U_M_Champ'!L274&amp;"-"&amp;'18U_M_Champ'!N274&amp;"-"&amp;TEXT('18U_M_Champ'!B274,"h:mm am/pm")</f>
        <v>18B-176-au_19th-9:00 AM</v>
      </c>
      <c r="BF75" s="360" t="str">
        <f>'16U_M_Classic'!L281&amp;"-"&amp;'16U_M_Classic'!O281&amp;"-"&amp;TEXT('16U_M_Classic'!B281,"h:mm am/pm")</f>
        <v>16BX-185-ag_7th-9:00 AM</v>
      </c>
    </row>
    <row r="76" spans="1:61">
      <c r="A76" s="353">
        <v>0.41666666666666702</v>
      </c>
      <c r="B76" s="55" t="str">
        <f>'10U_M_Champ_35'!L216&amp;"-"&amp;'10U_M_Champ_35'!O216&amp;"-"&amp;TEXT('10U_M_Champ_35'!B216,"h:mm am/pm")</f>
        <v>10B-136-au_9-11 RR-10:00 AM</v>
      </c>
      <c r="C76" s="55" t="str">
        <f>'10U_M_Champ_35'!L198&amp;"-"&amp;'10U_M_Champ_35'!O198&amp;"-"&amp;TEXT('10U_M_Champ_35'!B198,"h:mm am/pm")</f>
        <v>10B-140-pt_7th-10:00 AM</v>
      </c>
      <c r="D76" s="55" t="str">
        <f>'10U_M_Champ_35'!L207&amp;"-"&amp;'10U_M_Champ_35'!O207&amp;"-"&amp;TEXT('10U_M_Champ_35'!B207,"h:mm am/pm")</f>
        <v>10B-135-pt_13th-10:00 AM</v>
      </c>
      <c r="E76" s="354" t="str">
        <f>'12U_M_Classic_53'!L358&amp;"-"&amp;'12U_M_Classic_53'!N358&amp;"-"&amp;TEXT('12U_M_Classic_53'!B358,"h:mm am/pm")</f>
        <v>12BX-183-ag_15th-10:00 AM</v>
      </c>
      <c r="F76" s="354" t="str">
        <f>'12U_M_Classic_53'!L340&amp;"-"&amp;'12U_M_Classic_53'!N340&amp;"-"&amp;TEXT('12U_M_Classic_53'!B340,"h:mm am/pm")</f>
        <v>12BX-191-ag_7th-10:00 AM</v>
      </c>
      <c r="G76" s="354" t="str">
        <f>'12U_M_Classic_53'!L367&amp;"-"&amp;'12U_M_Classic_53'!N367&amp;"-"&amp;TEXT('12U_M_Classic_53'!B367,"h:mm am/pm")</f>
        <v>12BX-172-ag_semi-10:00 AM</v>
      </c>
      <c r="H76" s="354" t="str">
        <f>'12U_M_Classic_53'!L331&amp;"-"&amp;'12U_M_Classic_53'!N331&amp;"-"&amp;TEXT('12U_M_Classic_53'!B331,"h:mm am/pm")</f>
        <v>12BX-306-bz_21-23 RR-10:00 AM</v>
      </c>
      <c r="I76" s="353">
        <v>0.41666666666666702</v>
      </c>
      <c r="J76" s="354" t="str">
        <f>'12U_M_Classic_53'!L349&amp;"-"&amp;'12U_M_Classic_53'!N349&amp;"-"&amp;TEXT('12U_M_Classic_53'!B349,"h:mm am/pm")</f>
        <v>12BX-192-bz_5th-10:00 AM</v>
      </c>
      <c r="K76" s="353">
        <v>0.41666666666666702</v>
      </c>
      <c r="L76" s="56" t="str">
        <f>'12U_M_Champ'!L288&amp;"-"&amp;'12U_M_Champ'!N288&amp;"-"&amp;TEXT('12U_M_Champ'!B288,"h:mm am/pm")</f>
        <v>12B-186-pt_5th-10:00 AM</v>
      </c>
      <c r="M76" s="56" t="str">
        <f>'12U_M_Champ'!L261&amp;"-"&amp;'12U_M_Champ'!N261&amp;"-"&amp;TEXT('12U_M_Champ'!B261,"h:mm am/pm")</f>
        <v>12B-177-pt_15th-10:00 AM</v>
      </c>
      <c r="N76" s="56" t="str">
        <f>'12U_M_Champ'!L270&amp;"-"&amp;'12U_M_Champ'!N270&amp;"-"&amp;TEXT('12U_M_Champ'!B270,"h:mm am/pm")</f>
        <v>12B-188-au_7th-10:00 AM</v>
      </c>
      <c r="O76" s="56" t="str">
        <f>'12U_M_Champ'!L279&amp;"-"&amp;'12U_M_Champ'!N279&amp;"-"&amp;TEXT('12U_M_Champ'!B279,"h:mm am/pm")</f>
        <v>12B-166-pt_21-24 RR-10:00 AM</v>
      </c>
      <c r="P76" s="353">
        <v>0.41666666666666702</v>
      </c>
      <c r="Q76" s="355" t="str">
        <f>'14U_M_Champ'!L288&amp;"-"&amp;'14U_M_Champ'!N288&amp;"-"&amp;TEXT('14U_M_Champ'!B288,"h:mm am/pm")</f>
        <v>14B-188-au_7th-10:00 AM</v>
      </c>
      <c r="R76" s="355" t="str">
        <f>'14U_M_Champ'!L261&amp;"-"&amp;'14U_M_Champ'!N261&amp;"-"&amp;TEXT('14U_M_Champ'!B261,"h:mm am/pm")</f>
        <v>14B-185-pt_7th-10:00 AM</v>
      </c>
      <c r="S76" s="355" t="str">
        <f>'14U_M_Champ'!L279&amp;"-"&amp;'14U_M_Champ'!N279&amp;"-"&amp;TEXT('14U_M_Champ'!B279,"h:mm am/pm")</f>
        <v>14B-177-pt_15th-10:00 AM</v>
      </c>
      <c r="T76" s="355" t="str">
        <f>'14U_M_Champ'!L270&amp;"-"&amp;'14U_M_Champ'!N270&amp;"-"&amp;TEXT('14U_M_Champ'!B270,"h:mm am/pm")</f>
        <v>14B-175-au_17th-10:00 AM</v>
      </c>
      <c r="U76" s="356" t="str">
        <f>'14U_M_Invite_36'!L218&amp;"-"&amp;'14U_M_Invite_36'!O218&amp;"-"&amp;TEXT('14U_M_Invite_36'!B218,"h:mm am/pm")</f>
        <v>14BQ-139-cu_5th-10:00 AM</v>
      </c>
      <c r="V76" s="356" t="str">
        <f>'14U_M_Invite_36'!L201&amp;"-"&amp;'14U_M_Invite_36'!O201&amp;"-"&amp;TEXT('14U_M_Invite_36'!B201,"h:mm am/pm")</f>
        <v>14BQ-141-ni_5th-10:00 AM</v>
      </c>
      <c r="W76" s="356" t="str">
        <f>'14U_M_Invite_36'!L210&amp;"-"&amp;'14U_M_Invite_36'!O210&amp;"-"&amp;TEXT('14U_M_Invite_36'!B210,"h:mm am/pm")</f>
        <v>14BQ-138-ni_9th-10:00 AM</v>
      </c>
      <c r="X76" s="353">
        <v>0.41666666666666702</v>
      </c>
      <c r="Y76" s="356" t="str">
        <f>'14U_M_Invite_36'!L227&amp;"-"&amp;'14U_M_Invite_36'!O227&amp;"-"&amp;TEXT('14U_M_Invite_36'!B227,"h:mm am/pm")</f>
        <v>14BQ-135-ni_13th-10:00 AM</v>
      </c>
      <c r="Z76" s="49"/>
      <c r="AA76" s="358" t="str">
        <f>'14U_M_Classic'!L286&amp;"-"&amp;'14U_M_Classic'!C286&amp;"-"&amp;TEXT('14U_M_Classic'!B286,"h:mm am/pm")</f>
        <v>14BX-166-21-24 RR-10:00 AM</v>
      </c>
      <c r="AB76" s="358" t="str">
        <f>'14U_M_Classic'!L296&amp;"-"&amp;'14U_M_Classic'!C296&amp;"-"&amp;TEXT('14U_M_Classic'!B296,"h:mm am/pm")</f>
        <v>14BX-179-13th-10:00 AM</v>
      </c>
      <c r="AC76" s="358" t="str">
        <f>'14U_M_Classic'!L276&amp;"-"&amp;'14U_M_Classic'!C276&amp;"-"&amp;TEXT('14U_M_Classic'!B276,"h:mm am/pm")</f>
        <v>14BX-181-11th-10:00 AM</v>
      </c>
      <c r="AD76" s="363" t="str">
        <f>'18U_M_Champ'!L284&amp;"-"&amp;'18U_M_Champ'!N284&amp;"-"&amp;TEXT('18U_M_Champ'!B284,"h:mm am/pm")</f>
        <v>18B-187-au_5th-10:00 AM</v>
      </c>
      <c r="AE76" s="363" t="str">
        <f>'18U_M_Champ'!L293&amp;"-"&amp;'18U_M_Champ'!N293&amp;"-"&amp;TEXT('18U_M_Champ'!B293,"h:mm am/pm")</f>
        <v>18B-186-pt_5th-10:00 AM</v>
      </c>
      <c r="AF76" s="361" t="str">
        <f>'18U_M_INVITE_NEW_23'!L151&amp;"-"&amp;'18U_M_INVITE_NEW_23'!N151&amp;"-"&amp;TEXT('18U_M_INVITE_NEW_23'!B151,"h:mm am/pm")</f>
        <v>18BQ-080-ni_Semi-10:00 AM</v>
      </c>
      <c r="AG76" s="357" t="str">
        <f>'16U_M_Invite'!L288&amp;"-"&amp;'16U_M_Invite'!O288&amp;"-"&amp;TEXT('16U_M_Invite'!B288,"h:mm am/pm")</f>
        <v>16BQ-186-ni_5th-10:00 AM</v>
      </c>
      <c r="AH76" s="49"/>
      <c r="AI76" s="359" t="str">
        <f>'18U_M_Classic'!L281&amp;"-"&amp;'18U_M_Classic'!O281&amp;"-"&amp;TEXT('18U_M_Classic'!B281,"h:mm am/pm")</f>
        <v>18BX-188-bz_7th-10:00 AM</v>
      </c>
      <c r="AJ76" s="49"/>
      <c r="AK76" s="357" t="str">
        <f>'16U_M_Invite'!L278&amp;"-"&amp;'16U_M_Invite'!O278&amp;"-"&amp;TEXT('16U_M_Invite'!B278,"h:mm am/pm")</f>
        <v>16BQ-183-cu_9th-10:00 AM</v>
      </c>
      <c r="AL76" s="357" t="str">
        <f>'16U_M_Invite'!L298&amp;"-"&amp;'16U_M_Invite'!O298&amp;"-"&amp;TEXT('16U_M_Invite'!B298,"h:mm am/pm")</f>
        <v>16BQ-174-ni_semi-10:00 AM</v>
      </c>
      <c r="AM76" s="357" t="str">
        <f>'16U_M_Invite'!L269&amp;"-"&amp;'16U_M_Invite'!O269&amp;"-"&amp;TEXT('16U_M_Invite'!B269,"h:mm am/pm")</f>
        <v>16BQ-170-ni_17th-10:00 AM</v>
      </c>
      <c r="AN76" s="360" t="str">
        <f>'16U_M_Classic'!L273&amp;"-"&amp;'16U_M_Classic'!O273&amp;"-"&amp;TEXT('16U_M_Classic'!B273,"h:mm am/pm")</f>
        <v>16BX-180-bz_15th-10:00 AM</v>
      </c>
      <c r="AO76" s="360" t="str">
        <f>'16U_M_Classic'!L292&amp;"-"&amp;'16U_M_Classic'!O292&amp;"-"&amp;TEXT('16U_M_Classic'!B292,"h:mm am/pm")</f>
        <v>16BX-174-ag_semi-10:00 AM</v>
      </c>
      <c r="AP76" s="359" t="str">
        <f>'18U_M_Classic'!L271&amp;"-"&amp;'18U_M_Classic'!O271&amp;"-"&amp;TEXT('18U_M_Classic'!B271,"h:mm am/pm")</f>
        <v>18BX-165-ag_21-24 RR-10:00 AM</v>
      </c>
      <c r="AQ76" s="360" t="str">
        <f>'16U_M_Classic'!L263&amp;"-"&amp;'16U_M_Classic'!O263&amp;"-"&amp;TEXT('16U_M_Classic'!B263,"h:mm am/pm")</f>
        <v>16BX-178-ag_13th-10:00 AM</v>
      </c>
      <c r="AR76" s="359" t="str">
        <f>'18U_M_Classic'!L290&amp;"-"&amp;'18U_M_Classic'!O290&amp;"-"&amp;TEXT('18U_M_Classic'!B290,"h:mm am/pm")</f>
        <v>18BX-174-ag_semi-10:00 AM</v>
      </c>
      <c r="AS76" s="358" t="str">
        <f>'14U_M_Classic'!L305&amp;"-"&amp;'14U_M_Classic'!C305&amp;"-"&amp;TEXT('14U_M_Classic'!B305,"h:mm am/pm")</f>
        <v>14BX-174-semi-10:00 AM</v>
      </c>
      <c r="AT76" s="361" t="str">
        <f>'18U_M_INVITE_NEW_23'!L140&amp;"-"&amp;'18U_M_INVITE_NEW_23'!N140&amp;"-"&amp;TEXT('18U_M_INVITE_NEW_23'!B140,"h:mm am/pm")</f>
        <v>18BQ-088-cu_9th-11th-10:00 AM</v>
      </c>
      <c r="AU76" s="353">
        <v>0.41666666666666702</v>
      </c>
      <c r="AV76" s="362" t="str">
        <f>'16U_M_Champ'!L300&amp;"-"&amp;'16U_M_Champ'!O300&amp;"-"&amp;TEXT('16U_M_Champ'!B300,"h:mm am/pm")</f>
        <v>16B-187-au_5th-10:00 AM</v>
      </c>
      <c r="AW76" s="362" t="str">
        <f>'16U_M_Champ'!L261&amp;"-"&amp;'16U_M_Champ'!O261&amp;"-"&amp;TEXT('16U_M_Champ'!B261,"h:mm am/pm")</f>
        <v>16B-181-pt_11th-10:00 AM</v>
      </c>
      <c r="AX76" s="362" t="str">
        <f>'16U_M_Champ'!L269&amp;"-"&amp;'16U_M_Champ'!O269&amp;"-"&amp;TEXT('16U_M_Champ'!B269,"h:mm am/pm")</f>
        <v>16B-165-pt_21-24 RR-10:00 AM</v>
      </c>
      <c r="AY76" s="362" t="str">
        <f>'16U_M_Champ'!L279&amp;"-"&amp;'16U_M_Champ'!O279&amp;"-"&amp;TEXT('16U_M_Champ'!B279,"h:mm am/pm")</f>
        <v>16B-184-au_11th-10:00 AM</v>
      </c>
      <c r="AZ76" s="359" t="str">
        <f>'18U_M_Classic'!L261&amp;"-"&amp;'18U_M_Classic'!O261&amp;"-"&amp;TEXT('18U_M_Classic'!B261,"h:mm am/pm")</f>
        <v>18BX-181-ag_11th-10:00 AM</v>
      </c>
      <c r="BA76" s="353">
        <v>0.41666666666666702</v>
      </c>
      <c r="BB76" s="49"/>
      <c r="BC76" s="49"/>
      <c r="BD76" s="363" t="str">
        <f>'18U_M_Champ'!L266&amp;"-"&amp;'18U_M_Champ'!N266&amp;"-"&amp;TEXT('18U_M_Champ'!B266,"h:mm am/pm")</f>
        <v>18B-178-pt_13th-10:00 AM</v>
      </c>
      <c r="BE76" s="363" t="str">
        <f>'18U_M_Champ'!L275&amp;"-"&amp;'18U_M_Champ'!N275&amp;"-"&amp;TEXT('18U_M_Champ'!B275,"h:mm am/pm")</f>
        <v>18B-179-au_13th-10:00 AM</v>
      </c>
      <c r="BF76" s="360" t="str">
        <f>'16U_M_Classic'!L282&amp;"-"&amp;'16U_M_Classic'!O282&amp;"-"&amp;TEXT('16U_M_Classic'!B282,"h:mm am/pm")</f>
        <v>16BX-182-ag_9th-10:00 AM</v>
      </c>
    </row>
    <row r="77" spans="1:61">
      <c r="A77" s="353">
        <v>0.45833333333333298</v>
      </c>
      <c r="B77" s="55" t="str">
        <f>'10U_M_Champ_35'!L217&amp;"-"&amp;'10U_M_Champ_35'!O217&amp;"-"&amp;TEXT('10U_M_Champ_35'!B217,"h:mm am/pm")</f>
        <v>10B-139-au_5th-11:00 AM</v>
      </c>
      <c r="C77" s="55" t="str">
        <f>'10U_M_Champ_35'!L199&amp;"-"&amp;'10U_M_Champ_35'!O199&amp;"-"&amp;TEXT('10U_M_Champ_35'!B199,"h:mm am/pm")</f>
        <v>10B-141-pt_5th-11:00 AM</v>
      </c>
      <c r="D77" s="55" t="str">
        <f>'10U_M_Champ_35'!L208&amp;"-"&amp;'10U_M_Champ_35'!O208&amp;"-"&amp;TEXT('10U_M_Champ_35'!B208,"h:mm am/pm")</f>
        <v>10B-134-pt_15th-11:00 AM</v>
      </c>
      <c r="E77" s="354" t="str">
        <f>'12U_M_Classic_53'!L359&amp;"-"&amp;'12U_M_Classic_53'!N359&amp;"-"&amp;TEXT('12U_M_Classic_53'!B359,"h:mm am/pm")</f>
        <v>12BX-181-ag_17th-11:00 AM</v>
      </c>
      <c r="F77" s="354" t="str">
        <f>'12U_M_Classic_53'!L341&amp;"-"&amp;'12U_M_Classic_53'!N341&amp;"-"&amp;TEXT('12U_M_Classic_53'!B341,"h:mm am/pm")</f>
        <v>12BX-167-bz_17th-11:00 AM</v>
      </c>
      <c r="G77" s="354" t="str">
        <f>'12U_M_Classic_53'!L368&amp;"-"&amp;'12U_M_Classic_53'!N368&amp;"-"&amp;TEXT('12U_M_Classic_53'!B368,"h:mm am/pm")</f>
        <v>12BX-194-bz_3rd-11:00 AM</v>
      </c>
      <c r="H77" s="354" t="str">
        <f>'12U_M_Classic_53'!L332&amp;"-"&amp;'12U_M_Classic_53'!N332&amp;"-"&amp;TEXT('12U_M_Classic_53'!B332,"h:mm am/pm")</f>
        <v>12BX-307-bz_24-26 RR-11:00 AM</v>
      </c>
      <c r="I77" s="353">
        <v>0.45833333333333298</v>
      </c>
      <c r="J77" s="354" t="str">
        <f>'12U_M_Classic_53'!L350&amp;"-"&amp;'12U_M_Classic_53'!N350&amp;"-"&amp;TEXT('12U_M_Classic_53'!B350,"h:mm am/pm")</f>
        <v>12BX-188-bz_9th-11:00 AM</v>
      </c>
      <c r="K77" s="353">
        <v>0.45833333333333298</v>
      </c>
      <c r="L77" s="56" t="str">
        <f>'12U_M_Champ'!L289&amp;"-"&amp;'12U_M_Champ'!N289&amp;"-"&amp;TEXT('12U_M_Champ'!B289,"h:mm am/pm")</f>
        <v>12B-189-au_3rd-11:00 AM</v>
      </c>
      <c r="M77" s="56" t="str">
        <f>'12U_M_Champ'!L262&amp;"-"&amp;'12U_M_Champ'!N262&amp;"-"&amp;TEXT('12U_M_Champ'!B262,"h:mm am/pm")</f>
        <v>12B-170-pt_17th-11:00 AM</v>
      </c>
      <c r="N77" s="56" t="str">
        <f>'12U_M_Champ'!L271&amp;"-"&amp;'12U_M_Champ'!N271&amp;"-"&amp;TEXT('12U_M_Champ'!B271,"h:mm am/pm")</f>
        <v>12B-183-au_9th-11:00 AM</v>
      </c>
      <c r="O77" s="56" t="str">
        <f>'12U_M_Champ'!L280&amp;"-"&amp;'12U_M_Champ'!N280&amp;"-"&amp;TEXT('12U_M_Champ'!B280,"h:mm am/pm")</f>
        <v>12B-176-au_19th-11:00 AM</v>
      </c>
      <c r="P77" s="353">
        <v>0.45833333333333298</v>
      </c>
      <c r="Q77" s="355" t="str">
        <f>'14U_M_Champ'!L289&amp;"-"&amp;'14U_M_Champ'!N289&amp;"-"&amp;TEXT('14U_M_Champ'!B289,"h:mm am/pm")</f>
        <v>14B-189-au_3rd-11:00 AM</v>
      </c>
      <c r="R77" s="355" t="str">
        <f>'14U_M_Champ'!L262&amp;"-"&amp;'14U_M_Champ'!N262&amp;"-"&amp;TEXT('14U_M_Champ'!B262,"h:mm am/pm")</f>
        <v>14B-182-pt_9th-11:00 AM</v>
      </c>
      <c r="S77" s="355" t="str">
        <f>'14U_M_Champ'!L280&amp;"-"&amp;'14U_M_Champ'!N280&amp;"-"&amp;TEXT('14U_M_Champ'!B280,"h:mm am/pm")</f>
        <v>14B-170-pt_17th-11:00 AM</v>
      </c>
      <c r="T77" s="355" t="str">
        <f>'14U_M_Champ'!L271&amp;"-"&amp;'14U_M_Champ'!N271&amp;"-"&amp;TEXT('14U_M_Champ'!B271,"h:mm am/pm")</f>
        <v>14B-180-au_15th-11:00 AM</v>
      </c>
      <c r="U77" s="356" t="str">
        <f>'14U_M_Invite_36'!L219&amp;"-"&amp;'14U_M_Invite_36'!O219&amp;"-"&amp;TEXT('14U_M_Invite_36'!B219,"h:mm am/pm")</f>
        <v>14BQ-143-cu_3rd-11:00 AM</v>
      </c>
      <c r="V77" s="356" t="str">
        <f>'14U_M_Invite_36'!L202&amp;"-"&amp;'14U_M_Invite_36'!O202&amp;"-"&amp;TEXT('14U_M_Invite_36'!B202,"h:mm am/pm")</f>
        <v>14BQ-145-ni_3rd-11:00 AM</v>
      </c>
      <c r="W77" s="356" t="str">
        <f>'14U_M_Invite_36'!L211&amp;"-"&amp;'14U_M_Invite_36'!O211&amp;"-"&amp;TEXT('14U_M_Invite_36'!B211,"h:mm am/pm")</f>
        <v>14BQ-137-ni_11th-11:00 AM</v>
      </c>
      <c r="X77" s="353">
        <v>0.45833333333333298</v>
      </c>
      <c r="Y77" s="356" t="str">
        <f>'14U_M_Invite_36'!L228&amp;"-"&amp;'14U_M_Invite_36'!O228&amp;"-"&amp;TEXT('14U_M_Invite_36'!B228,"h:mm am/pm")</f>
        <v>14BQ-134-ni_15th-11:00 AM</v>
      </c>
      <c r="Z77" s="49"/>
      <c r="AA77" s="358" t="str">
        <f>'14U_M_Classic'!L287&amp;"-"&amp;'14U_M_Classic'!C287&amp;"-"&amp;TEXT('14U_M_Classic'!B287,"h:mm am/pm")</f>
        <v>14BX-169-19th-11:00 AM</v>
      </c>
      <c r="AB77" s="358" t="str">
        <f>'14U_M_Classic'!L297&amp;"-"&amp;'14U_M_Classic'!C297&amp;"-"&amp;TEXT('14U_M_Classic'!B297,"h:mm am/pm")</f>
        <v>14BX-180-15th-11:00 AM</v>
      </c>
      <c r="AC77" s="358" t="str">
        <f>'14U_M_Classic'!L277&amp;"-"&amp;'14U_M_Classic'!C277&amp;"-"&amp;TEXT('14U_M_Classic'!B277,"h:mm am/pm")</f>
        <v>14BX-178-13th-11:00 AM</v>
      </c>
      <c r="AD77" s="363" t="str">
        <f>'18U_M_Champ'!L285&amp;"-"&amp;'18U_M_Champ'!N285&amp;"-"&amp;TEXT('18U_M_Champ'!B285,"h:mm am/pm")</f>
        <v>18B-189-au_3rd-11:00 AM</v>
      </c>
      <c r="AE77" s="363" t="str">
        <f>'18U_M_Champ'!L294&amp;"-"&amp;'18U_M_Champ'!N294&amp;"-"&amp;TEXT('18U_M_Champ'!B294,"h:mm am/pm")</f>
        <v>18B-182-pt_9th-11:00 AM</v>
      </c>
      <c r="AF77" s="361" t="str">
        <f>'18U_M_INVITE_NEW_23'!L152&amp;"-"&amp;'18U_M_INVITE_NEW_23'!N152&amp;"-"&amp;TEXT('18U_M_INVITE_NEW_23'!B152,"h:mm am/pm")</f>
        <v>18BQ-089-cu_3rd-11:00 AM</v>
      </c>
      <c r="AG77" s="357" t="str">
        <f>'16U_M_Invite'!L289&amp;"-"&amp;'16U_M_Invite'!O289&amp;"-"&amp;TEXT('16U_M_Invite'!B289,"h:mm am/pm")</f>
        <v>16BQ-185-ni_7th-11:00 AM</v>
      </c>
      <c r="AH77" s="49"/>
      <c r="AI77" s="359" t="str">
        <f>'18U_M_Classic'!L282&amp;"-"&amp;'18U_M_Classic'!O282&amp;"-"&amp;TEXT('18U_M_Classic'!B282,"h:mm am/pm")</f>
        <v>18BX-184-bz_11th-11:00 AM</v>
      </c>
      <c r="AJ77" s="49"/>
      <c r="AK77" s="357" t="str">
        <f>'16U_M_Invite'!L279&amp;"-"&amp;'16U_M_Invite'!O279&amp;"-"&amp;TEXT('16U_M_Invite'!B279,"h:mm am/pm")</f>
        <v>16BQ-184-cu_11th-11:00 AM</v>
      </c>
      <c r="AL77" s="357" t="str">
        <f>'16U_M_Invite'!L299&amp;"-"&amp;'16U_M_Invite'!O299&amp;"-"&amp;TEXT('16U_M_Invite'!B299,"h:mm am/pm")</f>
        <v>16BQ-189-cu_3rd-11:00 AM</v>
      </c>
      <c r="AM77" s="357" t="str">
        <f>'16U_M_Invite'!L270&amp;"-"&amp;'16U_M_Invite'!O270&amp;"-"&amp;TEXT('16U_M_Invite'!B270,"h:mm am/pm")</f>
        <v>16BQ-177-ni_15th-11:00 AM</v>
      </c>
      <c r="AN77" s="360" t="str">
        <f>'16U_M_Classic'!L274&amp;"-"&amp;'16U_M_Classic'!O274&amp;"-"&amp;TEXT('16U_M_Classic'!B274,"h:mm am/pm")</f>
        <v>16BX-175-bz_17th-11:00 AM</v>
      </c>
      <c r="AO77" s="360" t="str">
        <f>'16U_M_Classic'!L293&amp;"-"&amp;'16U_M_Classic'!O293&amp;"-"&amp;TEXT('16U_M_Classic'!B293,"h:mm am/pm")</f>
        <v>16BX-189-bz_3rd-11:00 AM</v>
      </c>
      <c r="AP77" s="359" t="str">
        <f>'18U_M_Classic'!L272&amp;"-"&amp;'18U_M_Classic'!O272&amp;"-"&amp;TEXT('18U_M_Classic'!B272,"h:mm am/pm")</f>
        <v>18BX-169-ag_19th-11:00 AM</v>
      </c>
      <c r="AQ77" s="360" t="str">
        <f>'16U_M_Classic'!L264&amp;"-"&amp;'16U_M_Classic'!O264&amp;"-"&amp;TEXT('16U_M_Classic'!B264,"h:mm am/pm")</f>
        <v>16BX-177-ag_15th-11:00 AM</v>
      </c>
      <c r="AR77" s="359" t="str">
        <f>'18U_M_Classic'!L291&amp;"-"&amp;'18U_M_Classic'!O291&amp;"-"&amp;TEXT('18U_M_Classic'!B291,"h:mm am/pm")</f>
        <v>18BX-189-bz_3rd-11:00 AM</v>
      </c>
      <c r="AS77" s="358" t="str">
        <f>'14U_M_Classic'!L306&amp;"-"&amp;'14U_M_Classic'!C306&amp;"-"&amp;TEXT('14U_M_Classic'!B306,"h:mm am/pm")</f>
        <v>14BX-189-3rd-11:00 AM</v>
      </c>
      <c r="AT77" s="361" t="str">
        <f>'18U_M_INVITE_NEW_23'!L141&amp;"-"&amp;'18U_M_INVITE_NEW_23'!N141&amp;"-"&amp;TEXT('18U_M_INVITE_NEW_23'!B141,"h:mm am/pm")</f>
        <v>18BQ-081-ni_11th-11:00 AM</v>
      </c>
      <c r="AU77" s="353">
        <v>0.45833333333333298</v>
      </c>
      <c r="AV77" s="362" t="str">
        <f>'16U_M_Champ'!L301&amp;"-"&amp;'16U_M_Champ'!O301&amp;"-"&amp;TEXT('16U_M_Champ'!B301,"h:mm am/pm")</f>
        <v>16B-189-au_3rd-11:00 AM</v>
      </c>
      <c r="AW77" s="362" t="str">
        <f>'16U_M_Champ'!L262&amp;"-"&amp;'16U_M_Champ'!O262&amp;"-"&amp;TEXT('16U_M_Champ'!B262,"h:mm am/pm")</f>
        <v>16B-178-pt_13th-11:00 AM</v>
      </c>
      <c r="AX77" s="362" t="str">
        <f>'16U_M_Champ'!L270&amp;"-"&amp;'16U_M_Champ'!O270&amp;"-"&amp;TEXT('16U_M_Champ'!B270,"h:mm am/pm")</f>
        <v>16B-166-pt_21-24 RR-11:00 AM</v>
      </c>
      <c r="AY77" s="362" t="str">
        <f>'16U_M_Champ'!L280&amp;"-"&amp;'16U_M_Champ'!O280&amp;"-"&amp;TEXT('16U_M_Champ'!B280,"h:mm am/pm")</f>
        <v>16B-179-au_13th-11:00 AM</v>
      </c>
      <c r="AZ77" s="359" t="str">
        <f>'18U_M_Classic'!L262&amp;"-"&amp;'18U_M_Classic'!O262&amp;"-"&amp;TEXT('18U_M_Classic'!B262,"h:mm am/pm")</f>
        <v>18BX-178-ag_13th-11:00 AM</v>
      </c>
      <c r="BA77" s="353">
        <v>0.45833333333333298</v>
      </c>
      <c r="BB77" s="49"/>
      <c r="BC77" s="49"/>
      <c r="BD77" s="363" t="str">
        <f>'18U_M_Champ'!L267&amp;"-"&amp;'18U_M_Champ'!N267&amp;"-"&amp;TEXT('18U_M_Champ'!B267,"h:mm am/pm")</f>
        <v>18B-177-pt_15th-11:00 AM</v>
      </c>
      <c r="BE77" s="363" t="str">
        <f>'18U_M_Champ'!L276&amp;"-"&amp;'18U_M_Champ'!N276&amp;"-"&amp;TEXT('18U_M_Champ'!B276,"h:mm am/pm")</f>
        <v>18B-180-au_15th-11:00 AM</v>
      </c>
      <c r="BF77" s="360" t="str">
        <f>'16U_M_Classic'!L283&amp;"-"&amp;'16U_M_Classic'!O283&amp;"-"&amp;TEXT('16U_M_Classic'!B283,"h:mm am/pm")</f>
        <v>16BX-187-bz_5th-11:00 AM</v>
      </c>
    </row>
    <row r="78" spans="1:61">
      <c r="A78" s="353">
        <v>0.5</v>
      </c>
      <c r="B78" s="55" t="str">
        <f>'10U_M_Champ_35'!L218&amp;"-"&amp;'10U_M_Champ_35'!O218&amp;"-"&amp;TEXT('10U_M_Champ_35'!B218,"h:mm am/pm")</f>
        <v>10B-140-au_7th-12:00 PM</v>
      </c>
      <c r="C78" s="55" t="str">
        <f>'10U_M_Champ_35'!L200&amp;"-"&amp;'10U_M_Champ_35'!O200&amp;"-"&amp;TEXT('10U_M_Champ_35'!B200,"h:mm am/pm")</f>
        <v>10B-130-au_3rd-12:00 PM</v>
      </c>
      <c r="D78" s="55" t="str">
        <f>'10U_M_Champ_35'!L209&amp;"-"&amp;'10U_M_Champ_35'!O209&amp;"-"&amp;TEXT('10U_M_Champ_35'!B209,"h:mm am/pm")</f>
        <v>10B-129-pt_17th-12:00 PM</v>
      </c>
      <c r="E78" s="354" t="str">
        <f>'12U_M_Classic_53'!L360&amp;"-"&amp;'12U_M_Classic_53'!N360&amp;"-"&amp;TEXT('12U_M_Classic_53'!B360,"h:mm am/pm")</f>
        <v>12BX-179-ag_19th-12:00 PM</v>
      </c>
      <c r="F78" s="354" t="str">
        <f>'12U_M_Classic_53'!L342&amp;"-"&amp;'12U_M_Classic_53'!N342&amp;"-"&amp;TEXT('12U_M_Classic_53'!B342,"h:mm am/pm")</f>
        <v>12BX-168-bz_19th-12:00 PM</v>
      </c>
      <c r="G78" s="354" t="str">
        <f>'12U_M_Classic_53'!L369&amp;"-"&amp;'12U_M_Classic_53'!N369&amp;"-"&amp;TEXT('12U_M_Classic_53'!B369,"h:mm am/pm")</f>
        <v>12BX-195-bz_1st-12:00 PM</v>
      </c>
      <c r="H78" s="354" t="str">
        <f>'12U_M_Classic_53'!L333&amp;"-"&amp;'12U_M_Classic_53'!N333&amp;"-"&amp;TEXT('12U_M_Classic_53'!B333,"h:mm am/pm")</f>
        <v>12BX-308-bz_27-29 RR-12:00 PM</v>
      </c>
      <c r="I78" s="353">
        <v>0.5</v>
      </c>
      <c r="J78" s="354" t="str">
        <f>'12U_M_Classic_53'!L351&amp;"-"&amp;'12U_M_Classic_53'!N351&amp;"-"&amp;TEXT('12U_M_Classic_53'!B351,"h:mm am/pm")</f>
        <v>12BX-186-bz_11th-12:00 PM</v>
      </c>
      <c r="K78" s="353">
        <v>0.5</v>
      </c>
      <c r="L78" s="56" t="str">
        <f>'12U_M_Champ'!L290&amp;"-"&amp;'12U_M_Champ'!N290&amp;"-"&amp;TEXT('12U_M_Champ'!B290,"h:mm am/pm")</f>
        <v>12B-190-au_1st-12:00 PM</v>
      </c>
      <c r="M78" s="56" t="str">
        <f>'12U_M_Champ'!L263&amp;"-"&amp;'12U_M_Champ'!N263&amp;"-"&amp;TEXT('12U_M_Champ'!B263,"h:mm am/pm")</f>
        <v>12B-169-pt_19th-12:00 PM</v>
      </c>
      <c r="N78" s="56" t="str">
        <f>'12U_M_Champ'!L272&amp;"-"&amp;'12U_M_Champ'!N272&amp;"-"&amp;TEXT('12U_M_Champ'!B272,"h:mm am/pm")</f>
        <v>12B-184-au_11th-12:00 PM</v>
      </c>
      <c r="O78" s="56" t="str">
        <f>'12U_M_Champ'!L281&amp;"-"&amp;'12U_M_Champ'!N281&amp;"-"&amp;TEXT('12U_M_Champ'!B281,"h:mm am/pm")</f>
        <v>12B-175-au_17th-12:00 PM</v>
      </c>
      <c r="P78" s="353">
        <v>0.5</v>
      </c>
      <c r="Q78" s="355" t="str">
        <f>'14U_M_Champ'!L290&amp;"-"&amp;'14U_M_Champ'!N290&amp;"-"&amp;TEXT('14U_M_Champ'!B290,"h:mm am/pm")</f>
        <v>14B-190-au_1st-12:00 PM</v>
      </c>
      <c r="R78" s="355" t="str">
        <f>'14U_M_Champ'!L263&amp;"-"&amp;'14U_M_Champ'!N263&amp;"-"&amp;TEXT('14U_M_Champ'!B263,"h:mm am/pm")</f>
        <v>14B-181-pt_11th-12:00 PM</v>
      </c>
      <c r="S78" s="355" t="str">
        <f>'14U_M_Champ'!L281&amp;"-"&amp;'14U_M_Champ'!N281&amp;"-"&amp;TEXT('14U_M_Champ'!B281,"h:mm am/pm")</f>
        <v>14B-169-pt_19th-12:00 PM</v>
      </c>
      <c r="T78" s="355" t="str">
        <f>'14U_M_Champ'!L272&amp;"-"&amp;'14U_M_Champ'!N272&amp;"-"&amp;TEXT('14U_M_Champ'!B272,"h:mm am/pm")</f>
        <v>14B-179-au_13th-12:00 PM</v>
      </c>
      <c r="U78" s="356" t="str">
        <f>'14U_M_Invite_36'!L220&amp;"-"&amp;'14U_M_Invite_36'!O220&amp;"-"&amp;TEXT('14U_M_Invite_36'!B220,"h:mm am/pm")</f>
        <v>14BQ-144-cu_1st-12:00 PM</v>
      </c>
      <c r="V78" s="356" t="str">
        <f>'14U_M_Invite_36'!L203&amp;"-"&amp;'14U_M_Invite_36'!O203&amp;"-"&amp;TEXT('14U_M_Invite_36'!B203,"h:mm am/pm")</f>
        <v>14BQ-146-ni_1st-12:00 PM</v>
      </c>
      <c r="X78" s="353">
        <v>0.5</v>
      </c>
      <c r="Z78" s="49"/>
      <c r="AA78" s="358" t="str">
        <f>'14U_M_Classic'!L288&amp;"-"&amp;'14U_M_Classic'!C288&amp;"-"&amp;TEXT('14U_M_Classic'!B288,"h:mm am/pm")</f>
        <v>14BX-167-21-24 RR-12:00 PM</v>
      </c>
      <c r="AB78" s="358" t="str">
        <f>'14U_M_Classic'!L298&amp;"-"&amp;'14U_M_Classic'!C298&amp;"-"&amp;TEXT('14U_M_Classic'!B298,"h:mm am/pm")</f>
        <v>14BX-175-17th-12:00 PM</v>
      </c>
      <c r="AC78" s="358" t="str">
        <f>'14U_M_Classic'!L278&amp;"-"&amp;'14U_M_Classic'!C278&amp;"-"&amp;TEXT('14U_M_Classic'!B278,"h:mm am/pm")</f>
        <v>14BX-177-15th-12:00 PM</v>
      </c>
      <c r="AD78" s="363" t="str">
        <f>'18U_M_Champ'!L286&amp;"-"&amp;'18U_M_Champ'!N286&amp;"-"&amp;TEXT('18U_M_Champ'!B286,"h:mm am/pm")</f>
        <v>18B-190-au_1st-12:00 PM</v>
      </c>
      <c r="AE78" s="363" t="str">
        <f>'18U_M_Champ'!L295&amp;"-"&amp;'18U_M_Champ'!N295&amp;"-"&amp;TEXT('18U_M_Champ'!B295,"h:mm am/pm")</f>
        <v>18B-181-pt_11th-12:00 PM</v>
      </c>
      <c r="AF78" s="361" t="str">
        <f>'18U_M_INVITE_NEW_23'!L153&amp;"-"&amp;'18U_M_INVITE_NEW_23'!N153&amp;"-"&amp;TEXT('18U_M_INVITE_NEW_23'!B153,"h:mm am/pm")</f>
        <v>18BQ-090-cu_1st-12:00 PM</v>
      </c>
      <c r="AG78" s="357" t="str">
        <f>'16U_M_Invite'!L290&amp;"-"&amp;'16U_M_Invite'!O290&amp;"-"&amp;TEXT('16U_M_Invite'!B290,"h:mm am/pm")</f>
        <v>16BQ-182-ni_9th-12:00 PM</v>
      </c>
      <c r="AH78" s="49"/>
      <c r="AI78" s="359" t="str">
        <f>'18U_M_Classic'!L283&amp;"-"&amp;'18U_M_Classic'!O283&amp;"-"&amp;TEXT('18U_M_Classic'!B283,"h:mm am/pm")</f>
        <v>18BX-179-bz_13th-12:00 PM</v>
      </c>
      <c r="AJ78" s="49"/>
      <c r="AK78" s="357" t="str">
        <f>'16U_M_Invite'!L280&amp;"-"&amp;'16U_M_Invite'!O280&amp;"-"&amp;TEXT('16U_M_Invite'!B280,"h:mm am/pm")</f>
        <v>16BQ-179-cu_13th-12:00 PM</v>
      </c>
      <c r="AL78" s="357" t="str">
        <f>'16U_M_Invite'!L300&amp;"-"&amp;'16U_M_Invite'!O300&amp;"-"&amp;TEXT('16U_M_Invite'!B300,"h:mm am/pm")</f>
        <v>16BQ-190-cu_1st-12:00 PM</v>
      </c>
      <c r="AM78" s="357" t="str">
        <f>'16U_M_Invite'!L271&amp;"-"&amp;'16U_M_Invite'!O271&amp;"-"&amp;TEXT('16U_M_Invite'!B271,"h:mm am/pm")</f>
        <v>16BQ-178-ni_13th-12:00 PM</v>
      </c>
      <c r="AN78" s="360" t="str">
        <f>'16U_M_Classic'!L275&amp;"-"&amp;'16U_M_Classic'!O275&amp;"-"&amp;TEXT('16U_M_Classic'!B275,"h:mm am/pm")</f>
        <v>16BX-176-bz_19th-12:00 PM</v>
      </c>
      <c r="AO78" s="360" t="str">
        <f>'16U_M_Classic'!L294&amp;"-"&amp;'16U_M_Classic'!O294&amp;"-"&amp;TEXT('16U_M_Classic'!B294,"h:mm am/pm")</f>
        <v>16BX-190-bz_1st-12:00 PM</v>
      </c>
      <c r="AP78" s="359" t="str">
        <f>'18U_M_Classic'!L273&amp;"-"&amp;'18U_M_Classic'!O273&amp;"-"&amp;TEXT('18U_M_Classic'!B273,"h:mm am/pm")</f>
        <v>18BX-180-bz_15th-12:00 PM</v>
      </c>
      <c r="AQ78" s="360" t="str">
        <f>'16U_M_Classic'!L265&amp;"-"&amp;'16U_M_Classic'!O265&amp;"-"&amp;TEXT('16U_M_Classic'!B265,"h:mm am/pm")</f>
        <v>16BX-170-ag_17th-12:00 PM</v>
      </c>
      <c r="AR78" s="359" t="str">
        <f>'18U_M_Classic'!L292&amp;"-"&amp;'18U_M_Classic'!O292&amp;"-"&amp;TEXT('18U_M_Classic'!B292,"h:mm am/pm")</f>
        <v>18BX-190-bz_1st-12:00 PM</v>
      </c>
      <c r="AS78" s="358" t="str">
        <f>'14U_M_Classic'!L307&amp;"-"&amp;'14U_M_Classic'!C307&amp;"-"&amp;TEXT('14U_M_Classic'!B307,"h:mm am/pm")</f>
        <v>14BX-190-1st-12:00 PM</v>
      </c>
      <c r="AT78" s="361" t="str">
        <f>'18U_M_INVITE_NEW_23'!L142&amp;"-"&amp;'18U_M_INVITE_NEW_23'!N142&amp;"-"&amp;TEXT('18U_M_INVITE_NEW_23'!B142,"h:mm am/pm")</f>
        <v>18BQ-082-ni_9th-12:00 PM</v>
      </c>
      <c r="AU78" s="353">
        <v>0.5</v>
      </c>
      <c r="AV78" s="362" t="str">
        <f>'16U_M_Champ'!L302&amp;"-"&amp;'16U_M_Champ'!O302&amp;"-"&amp;TEXT('16U_M_Champ'!B302,"h:mm am/pm")</f>
        <v>16B-190-au_1st-12:00 PM</v>
      </c>
      <c r="AW78" s="362" t="str">
        <f>'16U_M_Champ'!L263&amp;"-"&amp;'16U_M_Champ'!O263&amp;"-"&amp;TEXT('16U_M_Champ'!B263,"h:mm am/pm")</f>
        <v>16B-177-pt_15th-12:00 PM</v>
      </c>
      <c r="AX78" s="362" t="str">
        <f>'16U_M_Champ'!L271&amp;"-"&amp;'16U_M_Champ'!O271&amp;"-"&amp;TEXT('16U_M_Champ'!B271,"h:mm am/pm")</f>
        <v>16B-170-pt_17th-12:00 PM</v>
      </c>
      <c r="AY78" s="362" t="str">
        <f>'16U_M_Champ'!L281&amp;"-"&amp;'16U_M_Champ'!O281&amp;"-"&amp;TEXT('16U_M_Champ'!B281,"h:mm am/pm")</f>
        <v>16B-180-au_15th-12:00 PM</v>
      </c>
      <c r="AZ78" s="359" t="str">
        <f>'18U_M_Classic'!L263&amp;"-"&amp;'18U_M_Classic'!O263&amp;"-"&amp;TEXT('18U_M_Classic'!B263,"h:mm am/pm")</f>
        <v>18BX-177-ag_15th-12:00 PM</v>
      </c>
      <c r="BA78" s="353">
        <v>0.5</v>
      </c>
      <c r="BB78" s="49"/>
      <c r="BC78" s="49"/>
      <c r="BD78" s="363" t="str">
        <f>'18U_M_Champ'!L268&amp;"-"&amp;'18U_M_Champ'!N268&amp;"-"&amp;TEXT('18U_M_Champ'!B268,"h:mm am/pm")</f>
        <v>18B-170-pt_17th-12:00 PM</v>
      </c>
      <c r="BE78" s="363" t="str">
        <f>'18U_M_Champ'!L277&amp;"-"&amp;'18U_M_Champ'!N277&amp;"-"&amp;TEXT('18U_M_Champ'!B277,"h:mm am/pm")</f>
        <v>18B-175-au_17th-12:00 PM</v>
      </c>
      <c r="BF78" s="360" t="str">
        <f>'16U_M_Classic'!L284&amp;"-"&amp;'16U_M_Classic'!O284&amp;"-"&amp;TEXT('16U_M_Classic'!B284,"h:mm am/pm")</f>
        <v>16BX-188-bz_7th-12:00 PM</v>
      </c>
    </row>
    <row r="79" spans="1:61">
      <c r="A79" s="353">
        <v>0.54166666666666696</v>
      </c>
      <c r="B79" s="55" t="str">
        <f>'10U_M_Champ_35'!L219&amp;"-"&amp;'10U_M_Champ_35'!O219&amp;"-"&amp;TEXT('10U_M_Champ_35'!B219,"h:mm am/pm")</f>
        <v>10B-142-au_9-11 RR-1:00 PM</v>
      </c>
      <c r="C79" s="55" t="str">
        <f>'10U_M_Champ_35'!L201&amp;"-"&amp;'10U_M_Champ_35'!O201&amp;"-"&amp;TEXT('10U_M_Champ_35'!B201,"h:mm am/pm")</f>
        <v>10B-133-au_1st-1:00 PM</v>
      </c>
      <c r="D79" s="55" t="str">
        <f>'10U_M_Champ_35'!L210&amp;"-"&amp;'10U_M_Champ_35'!O210&amp;"-"&amp;TEXT('10U_M_Champ_35'!B210,"h:mm am/pm")</f>
        <v>10B-128-pt_19th-1:00 PM</v>
      </c>
      <c r="G79" s="354" t="str">
        <f>'12U_M_Classic_53'!L370&amp;"-"&amp;'12U_M_Classic_53'!N370&amp;"-"&amp;TEXT('12U_M_Classic_53'!B370,"h:mm am/pm")</f>
        <v>12BX-196-ag_3rd-1:00 PM</v>
      </c>
      <c r="I79" s="353">
        <v>0.54166666666666696</v>
      </c>
      <c r="K79" s="353">
        <v>0.54166666666666696</v>
      </c>
      <c r="P79" s="353">
        <v>0.54166666666666696</v>
      </c>
      <c r="X79" s="353">
        <v>0.54166666666666696</v>
      </c>
      <c r="Z79" s="49"/>
      <c r="AA79" s="358" t="str">
        <f>'14U_M_Classic'!L289&amp;"-"&amp;'14U_M_Classic'!C289&amp;"-"&amp;TEXT('14U_M_Classic'!B289,"h:mm am/pm")</f>
        <v>14BX-168-21-24 RR-1:00 PM</v>
      </c>
      <c r="AB79" s="353"/>
      <c r="AC79" s="358" t="str">
        <f>'14U_M_Classic'!L279&amp;"-"&amp;'14U_M_Classic'!C279&amp;"-"&amp;TEXT('14U_M_Classic'!B279,"h:mm am/pm")</f>
        <v>14BX-170-17th-1:00 PM</v>
      </c>
      <c r="AD79" s="353"/>
      <c r="AE79" s="353"/>
      <c r="AF79" s="361" t="str">
        <f>'18U_M_INVITE_NEW_23'!L154&amp;"-"&amp;'18U_M_INVITE_NEW_23'!N154&amp;"-"&amp;TEXT('18U_M_INVITE_NEW_23'!B154,"h:mm am/pm")</f>
        <v>18BQ-091-ni_3rd-1:00 PM</v>
      </c>
      <c r="AG79" s="357" t="str">
        <f>'16U_M_Invite'!L291&amp;"-"&amp;'16U_M_Invite'!O291&amp;"-"&amp;TEXT('16U_M_Invite'!B291,"h:mm am/pm")</f>
        <v>16BQ-181-ni_11th-1:00 PM</v>
      </c>
      <c r="AH79" s="49"/>
      <c r="AJ79" s="49"/>
      <c r="AK79" s="357" t="str">
        <f>'16U_M_Invite'!L281&amp;"-"&amp;'16U_M_Invite'!O281&amp;"-"&amp;TEXT('16U_M_Invite'!B281,"h:mm am/pm")</f>
        <v>16BQ-180-cu_15th-1:00 PM</v>
      </c>
      <c r="AL79" s="357" t="str">
        <f>'16U_M_Invite'!L301&amp;"-"&amp;'16U_M_Invite'!O301&amp;"-"&amp;TEXT('16U_M_Invite'!B301,"h:mm am/pm")</f>
        <v>16BQ-191-ni_3rd-1:00 PM</v>
      </c>
      <c r="AO79" s="360" t="str">
        <f>'16U_M_Classic'!L295&amp;"-"&amp;'16U_M_Classic'!O295&amp;"-"&amp;TEXT('16U_M_Classic'!B295,"h:mm am/pm")</f>
        <v>16BX-191-ag_3rd-1:00 PM</v>
      </c>
      <c r="AP79" s="359" t="str">
        <f>'18U_M_Classic'!L274&amp;"-"&amp;'18U_M_Classic'!O274&amp;"-"&amp;TEXT('18U_M_Classic'!B274,"h:mm am/pm")</f>
        <v>18BX-175-bz_17th-1:00 PM</v>
      </c>
      <c r="AQ79" s="360" t="str">
        <f>'16U_M_Classic'!L266&amp;"-"&amp;'16U_M_Classic'!O266&amp;"-"&amp;TEXT('16U_M_Classic'!B266,"h:mm am/pm")</f>
        <v>16BX-169-ag_19th-1:00 PM</v>
      </c>
      <c r="AR79" s="359" t="str">
        <f>'18U_M_Classic'!L293&amp;"-"&amp;'18U_M_Classic'!O293&amp;"-"&amp;TEXT('18U_M_Classic'!B293,"h:mm am/pm")</f>
        <v>18BX-191-ag_3rd-1:00 PM</v>
      </c>
      <c r="AS79" s="358" t="str">
        <f>'14U_M_Classic'!L308&amp;"-"&amp;'14U_M_Classic'!C308&amp;"-"&amp;TEXT('14U_M_Classic'!B308,"h:mm am/pm")</f>
        <v>14BX-191-3rd-1:00 PM</v>
      </c>
      <c r="AT79" s="361" t="str">
        <f>'18U_M_INVITE_NEW_23'!L143&amp;"-"&amp;'18U_M_INVITE_NEW_23'!N143&amp;"-"&amp;TEXT('18U_M_INVITE_NEW_23'!B143,"h:mm am/pm")</f>
        <v>18BQ-083-cu_5th-1:00 PM</v>
      </c>
      <c r="AU79" s="353">
        <v>0.54166666666666696</v>
      </c>
      <c r="AX79" s="362" t="str">
        <f>'16U_M_Champ'!L272&amp;"-"&amp;'16U_M_Champ'!O272&amp;"-"&amp;TEXT('16U_M_Champ'!B272,"h:mm am/pm")</f>
        <v>16B-169-pt_19th-1:00 PM</v>
      </c>
      <c r="AZ79" s="359" t="str">
        <f>'18U_M_Classic'!L264&amp;"-"&amp;'18U_M_Classic'!O264&amp;"-"&amp;TEXT('18U_M_Classic'!B264,"h:mm am/pm")</f>
        <v>18BX-170-ag_17th-1:00 PM</v>
      </c>
      <c r="BA79" s="353">
        <v>0.54166666666666696</v>
      </c>
      <c r="BB79" s="49"/>
      <c r="BC79" s="49"/>
      <c r="BF79" s="360" t="str">
        <f>'16U_M_Classic'!L285&amp;"-"&amp;'16U_M_Classic'!O285&amp;"-"&amp;TEXT('16U_M_Classic'!B285,"h:mm am/pm")</f>
        <v>16BX-183-bz_9th-1:00 PM</v>
      </c>
    </row>
    <row r="80" spans="1:61">
      <c r="A80" s="353">
        <v>0.58333333333333304</v>
      </c>
      <c r="G80" s="354" t="str">
        <f>'12U_M_Classic_53'!L371&amp;"-"&amp;'12U_M_Classic_53'!N371&amp;"-"&amp;TEXT('12U_M_Classic_53'!B371,"h:mm am/pm")</f>
        <v>12BX-197-ag_1st-2:00 PM</v>
      </c>
      <c r="I80" s="353">
        <v>0.58333333333333304</v>
      </c>
      <c r="K80" s="353">
        <v>0.58333333333333304</v>
      </c>
      <c r="P80" s="353">
        <v>0.58333333333333304</v>
      </c>
      <c r="X80" s="353">
        <v>0.58333333333333304</v>
      </c>
      <c r="Z80" s="49"/>
      <c r="AB80" s="353"/>
      <c r="AD80" s="353"/>
      <c r="AE80" s="353"/>
      <c r="AF80" s="361" t="str">
        <f>'18U_M_INVITE_NEW_23'!L155&amp;"-"&amp;'18U_M_INVITE_NEW_23'!N155&amp;"-"&amp;TEXT('18U_M_INVITE_NEW_23'!B155,"h:mm am/pm")</f>
        <v>18BQ-092-ni_1st-2:00 PM</v>
      </c>
      <c r="AH80" s="49"/>
      <c r="AJ80" s="49"/>
      <c r="AL80" s="357" t="str">
        <f>'16U_M_Invite'!L302&amp;"-"&amp;'16U_M_Invite'!O302&amp;"-"&amp;TEXT('16U_M_Invite'!B302,"h:mm am/pm")</f>
        <v>16BQ-192-ni_1st-2:00 PM</v>
      </c>
      <c r="AO80" s="360" t="str">
        <f>'16U_M_Classic'!L296&amp;"-"&amp;'16U_M_Classic'!O296&amp;"-"&amp;TEXT('16U_M_Classic'!B296,"h:mm am/pm")</f>
        <v>16BX-192-ag_1st-2:00 PM</v>
      </c>
      <c r="AR80" s="359" t="str">
        <f>'18U_M_Classic'!L294&amp;"-"&amp;'18U_M_Classic'!O294&amp;"-"&amp;TEXT('18U_M_Classic'!B294,"h:mm am/pm")</f>
        <v>18BX-192-ag_1st-2:00 PM</v>
      </c>
      <c r="AS80" s="358" t="str">
        <f>'14U_M_Classic'!L309&amp;"-"&amp;'14U_M_Classic'!C309&amp;"-"&amp;TEXT('14U_M_Classic'!B309,"h:mm am/pm")</f>
        <v>14BX-192-1st-2:00 PM</v>
      </c>
      <c r="AT80" s="361" t="str">
        <f>'18U_M_INVITE_NEW_23'!L144&amp;"-"&amp;'18U_M_INVITE_NEW_23'!N144&amp;"-"&amp;TEXT('18U_M_INVITE_NEW_23'!B144,"h:mm am/pm")</f>
        <v>18BQ-084-cu_9th-11th-2:00 PM</v>
      </c>
      <c r="AU80" s="353">
        <v>0.58333333333333304</v>
      </c>
      <c r="BA80" s="353">
        <v>0.58333333333333304</v>
      </c>
      <c r="BB80" s="49"/>
      <c r="BC80" s="49"/>
    </row>
    <row r="81" spans="1:55">
      <c r="A81" s="353">
        <v>0.624999999999997</v>
      </c>
      <c r="I81" s="353">
        <v>0.624999999999997</v>
      </c>
      <c r="K81" s="353">
        <v>0.624999999999997</v>
      </c>
      <c r="P81" s="353">
        <v>0.624999999999997</v>
      </c>
      <c r="X81" s="353">
        <v>0.624999999999997</v>
      </c>
      <c r="Z81" s="49"/>
      <c r="AB81" s="353"/>
      <c r="AD81" s="353"/>
      <c r="AE81" s="353"/>
      <c r="AH81" s="49"/>
      <c r="AJ81" s="49"/>
      <c r="AU81" s="353">
        <v>0.624999999999997</v>
      </c>
      <c r="BA81" s="353">
        <v>0.624999999999997</v>
      </c>
      <c r="BB81" s="49"/>
      <c r="BC81" s="49"/>
    </row>
    <row r="84" spans="1:55">
      <c r="B84" s="44" t="s">
        <v>66</v>
      </c>
      <c r="C84" s="44" t="s">
        <v>67</v>
      </c>
    </row>
    <row r="85" spans="1:55">
      <c r="A85" s="353">
        <v>0.29166666666666669</v>
      </c>
      <c r="B85" s="55" t="str">
        <f>'10U_M_Champ_35'!L223&amp;"-"&amp;'10U_M_Champ_35'!O223&amp;"-"&amp;TEXT('10U_M_Champ_35'!B223,"h:mm am/pm")</f>
        <v>10B-131-pt_semi-7:00 AM</v>
      </c>
      <c r="C85" s="55" t="str">
        <f>'10U_M_Champ_35'!L229&amp;"-"&amp;'10U_M_Champ_35'!O229&amp;"-"&amp;TEXT('10U_M_Champ_35'!B229,"h:mm am/pm")</f>
        <v>10B-132-pt_semi-7:00 AM</v>
      </c>
    </row>
    <row r="86" spans="1:55">
      <c r="A86" s="353">
        <v>0.33333333333333298</v>
      </c>
      <c r="B86" s="56" t="str">
        <f>'12U_M_Champ'!L294&amp;"-"&amp;'12U_M_Champ'!N294&amp;"-"&amp;TEXT('12U_M_Champ'!B294,"h:mm am/pm")</f>
        <v>12B-173-pt_semi-8:00 AM</v>
      </c>
      <c r="C86" s="355" t="str">
        <f>'14U_M_Champ'!L298&amp;"-"&amp;'14U_M_Champ'!N298&amp;"-"&amp;TEXT('14U_M_Champ'!B298,"h:mm am/pm")</f>
        <v>14B-173-pt_semi-8:00 AM</v>
      </c>
    </row>
    <row r="87" spans="1:55">
      <c r="A87" s="353">
        <v>0.375</v>
      </c>
      <c r="B87" s="56" t="str">
        <f>'12U_M_Champ'!L295&amp;"-"&amp;'12U_M_Champ'!N295&amp;"-"&amp;TEXT('12U_M_Champ'!B295,"h:mm am/pm")</f>
        <v>12B-174-pt_semi-9:00 AM</v>
      </c>
      <c r="C87" s="355" t="str">
        <f>'14U_M_Champ'!L299&amp;"-"&amp;'14U_M_Champ'!N299&amp;"-"&amp;TEXT('14U_M_Champ'!B299,"h:mm am/pm")</f>
        <v>14B-174-pt_semi-9:00 AM</v>
      </c>
    </row>
    <row r="88" spans="1:55">
      <c r="A88" s="353">
        <v>0.41666666666666669</v>
      </c>
      <c r="B88" s="362" t="str">
        <f>'16U_M_Champ'!L285&amp;"-"&amp;'16U_M_Champ'!O285&amp;"-"&amp;TEXT('16U_M_Champ'!B285,"h:mm am/pm")</f>
        <v>16B-173-pt_semi-10:00 AM</v>
      </c>
      <c r="C88" s="362" t="str">
        <f>'16U_M_Champ'!L291&amp;"-"&amp;'16U_M_Champ'!O291&amp;"-"&amp;TEXT('16U_M_Champ'!B291,"h:mm am/pm")</f>
        <v>16B-174-pt_semi-10:00 AM</v>
      </c>
    </row>
    <row r="89" spans="1:55">
      <c r="A89" s="353">
        <v>0.45833333333333331</v>
      </c>
      <c r="B89" s="363" t="str">
        <f>'18U_M_Champ'!L299&amp;"-"&amp;'18U_M_Champ'!N299&amp;"-"&amp;TEXT('18U_M_Champ'!B299,"h:mm am/pm")</f>
        <v>18B-173-pt_semi-11:00 AM</v>
      </c>
      <c r="C89" s="363" t="str">
        <f>'18U_M_Champ'!L305&amp;"-"&amp;'18U_M_Champ'!N305&amp;"-"&amp;TEXT('18U_M_Champ'!B305,"h:mm am/pm")</f>
        <v>18B-174-pt_semi-11:00 AM</v>
      </c>
    </row>
    <row r="90" spans="1:55">
      <c r="A90" s="353">
        <v>0.5</v>
      </c>
      <c r="B90" s="55" t="str">
        <f>'10U_M_Champ_35'!L225&amp;"-"&amp;'10U_M_Champ_35'!O225&amp;"-"&amp;TEXT('10U_M_Champ_35'!B225,"h:mm am/pm")</f>
        <v>10B-145-pt_3rd-12:00 PM</v>
      </c>
      <c r="C90" s="55" t="str">
        <f>'10U_M_Champ_35'!L231&amp;"-"&amp;'10U_M_Champ_35'!O231&amp;"-"&amp;TEXT('10U_M_Champ_35'!B231,"h:mm am/pm")</f>
        <v>10B-146-pt_1st-12:00 PM</v>
      </c>
    </row>
    <row r="91" spans="1:55">
      <c r="A91" s="353">
        <v>0.54166666666666663</v>
      </c>
      <c r="B91" s="56" t="str">
        <f>'12U_M_Champ'!L297&amp;"-"&amp;'12U_M_Champ'!N297&amp;"-"&amp;TEXT('12U_M_Champ'!B297,"h:mm am/pm")</f>
        <v>12B-191-pt_3rd-1:00 PM</v>
      </c>
      <c r="C91" s="56" t="str">
        <f>'12U_M_Champ'!L301&amp;"-"&amp;'12U_M_Champ'!N301&amp;"-"&amp;TEXT('12U_M_Champ'!B301,"h:mm am/pm")</f>
        <v>12B-192-pt_1st-1:00 PM</v>
      </c>
    </row>
    <row r="92" spans="1:55">
      <c r="A92" s="353">
        <v>0.60416666666666663</v>
      </c>
      <c r="B92" s="355" t="str">
        <f>'14U_M_Champ'!L294&amp;"-"&amp;'14U_M_Champ'!N294&amp;"-"&amp;TEXT('14U_M_Champ'!B294,"h:mm am/pm")</f>
        <v>14B-191-pt_3rd-2:30 PM</v>
      </c>
      <c r="C92" s="355" t="str">
        <f>'14U_M_Champ'!L301&amp;"-"&amp;'14U_M_Champ'!N301&amp;"-"&amp;TEXT('14U_M_Champ'!B301,"h:mm am/pm")</f>
        <v>14B-192-pt_1st-2:30 PM</v>
      </c>
    </row>
    <row r="93" spans="1:55">
      <c r="A93" s="353">
        <v>0.65625</v>
      </c>
      <c r="B93" s="362" t="str">
        <f>'16U_M_Champ'!L287&amp;"-"&amp;'16U_M_Champ'!O287&amp;"-"&amp;TEXT('16U_M_Champ'!B287,"h:mm am/pm")</f>
        <v>16B-191-pt_3rd-3:45 PM</v>
      </c>
      <c r="C93" s="362" t="str">
        <f>'16U_M_Champ'!L293&amp;"-"&amp;'16U_M_Champ'!O293&amp;"-"&amp;TEXT('16U_M_Champ'!B293,"h:mm am/pm")</f>
        <v>16B-192-pt_1st-3:45 PM</v>
      </c>
    </row>
    <row r="94" spans="1:55">
      <c r="A94" s="353">
        <v>0.69791666666666663</v>
      </c>
      <c r="B94" s="363" t="str">
        <f>'18U_M_Champ'!L301&amp;"-"&amp;'18U_M_Champ'!N301&amp;"-"&amp;TEXT('18U_M_Champ'!B301,"h:mm am/pm")</f>
        <v>18B-191-pt_3rd-4:45 PM</v>
      </c>
      <c r="C94" s="363" t="str">
        <f>'18U_M_Champ'!L307&amp;"-"&amp;'18U_M_Champ'!N307&amp;"-"&amp;TEXT('18U_M_Champ'!B307,"h:mm am/pm")</f>
        <v>18B-192-pt_1st-4:45 PM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8B043-FFBF-43A3-8200-EF1904F95307}">
  <sheetPr>
    <tabColor rgb="FF0066FF"/>
  </sheetPr>
  <dimension ref="A1:O257"/>
  <sheetViews>
    <sheetView topLeftCell="A113" zoomScale="120" zoomScaleNormal="120" workbookViewId="0">
      <selection activeCell="F126" sqref="F126:F127"/>
    </sheetView>
  </sheetViews>
  <sheetFormatPr defaultColWidth="18.140625" defaultRowHeight="14.1" customHeight="1"/>
  <cols>
    <col min="1" max="1" width="28.85546875" style="60" bestFit="1" customWidth="1"/>
    <col min="2" max="2" width="30.42578125" style="60" bestFit="1" customWidth="1"/>
    <col min="3" max="3" width="30.7109375" style="60" bestFit="1" customWidth="1"/>
    <col min="4" max="4" width="31.5703125" style="60" bestFit="1" customWidth="1"/>
    <col min="5" max="5" width="29.42578125" style="60" bestFit="1" customWidth="1"/>
    <col min="6" max="6" width="39.140625" style="60" customWidth="1"/>
    <col min="7" max="7" width="5.42578125" style="64" bestFit="1" customWidth="1"/>
    <col min="8" max="8" width="36.140625" style="60" customWidth="1"/>
    <col min="9" max="9" width="8.7109375" style="64" customWidth="1"/>
    <col min="10" max="11" width="6.7109375" style="60" bestFit="1" customWidth="1"/>
    <col min="12" max="12" width="7.140625" style="60" bestFit="1" customWidth="1"/>
    <col min="13" max="13" width="18.140625" style="60"/>
    <col min="14" max="14" width="8.85546875" style="60" bestFit="1" customWidth="1"/>
    <col min="15" max="15" width="12.42578125" style="60" customWidth="1"/>
    <col min="16" max="16384" width="18.140625" style="60"/>
  </cols>
  <sheetData>
    <row r="1" spans="1:12" ht="14.1" customHeight="1" thickTop="1" thickBot="1">
      <c r="A1" s="280" t="s">
        <v>68</v>
      </c>
      <c r="B1" s="52" t="s">
        <v>69</v>
      </c>
      <c r="C1" s="53" t="s">
        <v>70</v>
      </c>
      <c r="D1" s="58" t="s">
        <v>71</v>
      </c>
      <c r="E1" s="54" t="s">
        <v>72</v>
      </c>
      <c r="F1" s="147"/>
      <c r="G1" s="147"/>
      <c r="H1" s="147"/>
      <c r="I1" s="147"/>
      <c r="J1" s="147"/>
      <c r="K1" s="147"/>
      <c r="L1" s="147"/>
    </row>
    <row r="2" spans="1:12" ht="14.1" customHeight="1" thickBot="1">
      <c r="A2" s="61">
        <v>46226</v>
      </c>
      <c r="D2" s="201" t="s">
        <v>73</v>
      </c>
    </row>
    <row r="3" spans="1:12" ht="14.1" customHeight="1" thickBot="1">
      <c r="D3" s="65" t="s">
        <v>74</v>
      </c>
      <c r="G3" s="60"/>
      <c r="I3" s="60"/>
    </row>
    <row r="4" spans="1:12" ht="14.1" customHeight="1">
      <c r="A4" s="342" t="s">
        <v>75</v>
      </c>
      <c r="B4" s="342" t="s">
        <v>76</v>
      </c>
      <c r="C4" s="342" t="s">
        <v>77</v>
      </c>
      <c r="D4" s="342" t="s">
        <v>78</v>
      </c>
      <c r="E4" s="342" t="s">
        <v>79</v>
      </c>
      <c r="F4" s="342" t="s">
        <v>80</v>
      </c>
      <c r="H4" s="66" t="s">
        <v>81</v>
      </c>
    </row>
    <row r="5" spans="1:12" ht="14.1" customHeight="1">
      <c r="A5" s="67" t="s">
        <v>82</v>
      </c>
      <c r="B5" s="67" t="s">
        <v>83</v>
      </c>
      <c r="C5" s="67" t="s">
        <v>84</v>
      </c>
      <c r="D5" s="67" t="s">
        <v>85</v>
      </c>
      <c r="E5" s="67" t="s">
        <v>86</v>
      </c>
      <c r="F5" s="67" t="s">
        <v>87</v>
      </c>
      <c r="K5" s="64"/>
    </row>
    <row r="6" spans="1:12" ht="14.1" customHeight="1">
      <c r="A6" s="67" t="s">
        <v>88</v>
      </c>
      <c r="B6" s="67" t="s">
        <v>89</v>
      </c>
      <c r="C6" s="67" t="s">
        <v>90</v>
      </c>
      <c r="D6" s="67" t="s">
        <v>91</v>
      </c>
      <c r="E6" s="67" t="s">
        <v>92</v>
      </c>
      <c r="F6" s="67" t="s">
        <v>93</v>
      </c>
      <c r="I6" s="60"/>
    </row>
    <row r="7" spans="1:12" ht="14.1" customHeight="1">
      <c r="A7" s="67" t="s">
        <v>94</v>
      </c>
      <c r="B7" s="67" t="s">
        <v>95</v>
      </c>
      <c r="C7" s="67" t="s">
        <v>96</v>
      </c>
      <c r="D7" s="67" t="s">
        <v>97</v>
      </c>
      <c r="E7" s="67" t="s">
        <v>98</v>
      </c>
      <c r="F7" s="67" t="s">
        <v>99</v>
      </c>
      <c r="K7" s="64"/>
    </row>
    <row r="9" spans="1:12" ht="14.1" customHeight="1">
      <c r="A9" s="342" t="s">
        <v>100</v>
      </c>
      <c r="B9" s="342" t="s">
        <v>101</v>
      </c>
      <c r="C9" s="342" t="s">
        <v>102</v>
      </c>
      <c r="D9" s="342" t="s">
        <v>103</v>
      </c>
      <c r="E9" s="342" t="s">
        <v>104</v>
      </c>
      <c r="F9" s="342" t="s">
        <v>105</v>
      </c>
    </row>
    <row r="10" spans="1:12" ht="14.1" customHeight="1">
      <c r="A10" s="283" t="s">
        <v>106</v>
      </c>
      <c r="B10" s="283" t="s">
        <v>107</v>
      </c>
      <c r="C10" s="283" t="s">
        <v>108</v>
      </c>
      <c r="D10" s="283" t="s">
        <v>109</v>
      </c>
      <c r="E10" s="283" t="s">
        <v>110</v>
      </c>
      <c r="F10" s="283" t="s">
        <v>111</v>
      </c>
    </row>
    <row r="11" spans="1:12" ht="14.1" customHeight="1">
      <c r="A11" s="283" t="s">
        <v>112</v>
      </c>
      <c r="B11" s="283" t="s">
        <v>113</v>
      </c>
      <c r="C11" s="283" t="s">
        <v>114</v>
      </c>
      <c r="D11" s="283" t="s">
        <v>115</v>
      </c>
      <c r="E11" s="283" t="s">
        <v>116</v>
      </c>
      <c r="F11" s="283" t="s">
        <v>117</v>
      </c>
    </row>
    <row r="12" spans="1:12" ht="14.1" customHeight="1">
      <c r="A12" s="283" t="s">
        <v>118</v>
      </c>
      <c r="B12" s="283" t="s">
        <v>119</v>
      </c>
      <c r="C12" s="283" t="s">
        <v>120</v>
      </c>
      <c r="D12" s="283" t="s">
        <v>121</v>
      </c>
      <c r="E12" s="205"/>
      <c r="F12" s="283" t="s">
        <v>122</v>
      </c>
    </row>
    <row r="13" spans="1:12" ht="14.1" customHeight="1" thickBot="1">
      <c r="L13" s="60" t="s">
        <v>123</v>
      </c>
    </row>
    <row r="14" spans="1:12" ht="14.1" customHeight="1" thickBot="1">
      <c r="D14" s="65" t="str">
        <f>'CHICLETS MASTER S2'!C3</f>
        <v>EL TORO HS 2</v>
      </c>
      <c r="G14" s="60"/>
      <c r="I14" s="60"/>
    </row>
    <row r="15" spans="1:12" ht="14.1" customHeight="1">
      <c r="A15" s="342" t="s">
        <v>124</v>
      </c>
      <c r="B15" s="342" t="s">
        <v>125</v>
      </c>
      <c r="C15" s="342" t="s">
        <v>126</v>
      </c>
      <c r="D15" s="342" t="s">
        <v>127</v>
      </c>
      <c r="E15" s="342" t="s">
        <v>128</v>
      </c>
      <c r="F15" s="342" t="s">
        <v>129</v>
      </c>
      <c r="G15" s="342" t="s">
        <v>130</v>
      </c>
      <c r="H15" s="342" t="s">
        <v>131</v>
      </c>
      <c r="I15" s="342" t="s">
        <v>130</v>
      </c>
      <c r="J15" s="342" t="s">
        <v>132</v>
      </c>
      <c r="K15" s="342" t="s">
        <v>133</v>
      </c>
      <c r="L15" s="342" t="s">
        <v>134</v>
      </c>
    </row>
    <row r="16" spans="1:12" ht="14.1" customHeight="1">
      <c r="A16" s="69">
        <f>$A$2</f>
        <v>46226</v>
      </c>
      <c r="B16" s="70">
        <f>'CHICLETS MASTER S2'!A4</f>
        <v>0.29166666666666669</v>
      </c>
      <c r="C16" s="71" t="s">
        <v>135</v>
      </c>
      <c r="D16" s="119" t="str">
        <f>$D$14</f>
        <v>EL TORO HS 2</v>
      </c>
      <c r="E16" s="71">
        <v>1</v>
      </c>
      <c r="F16" s="71" t="str">
        <f>A5</f>
        <v>A1(1)-SD DONS</v>
      </c>
      <c r="G16" s="73">
        <v>13</v>
      </c>
      <c r="H16" s="71" t="str">
        <f>A7</f>
        <v>A3(25)-SAN CLEMENTE BLACK</v>
      </c>
      <c r="I16" s="73">
        <v>1</v>
      </c>
      <c r="J16" s="71"/>
      <c r="K16" s="71"/>
      <c r="L16" s="71" t="str">
        <f>IF(E16="","",$L$13&amp;"-"&amp;TEXT(E16,"000"))</f>
        <v>10B-001</v>
      </c>
    </row>
    <row r="17" spans="1:12" ht="14.1" customHeight="1">
      <c r="A17" s="69">
        <f t="shared" ref="A17:A32" si="0">$A$2</f>
        <v>46226</v>
      </c>
      <c r="B17" s="70">
        <f>'CHICLETS MASTER S2'!A5</f>
        <v>0.3263888888888889</v>
      </c>
      <c r="C17" s="71" t="s">
        <v>136</v>
      </c>
      <c r="D17" s="119" t="str">
        <f t="shared" ref="D17:D27" si="1">$D$14</f>
        <v>EL TORO HS 2</v>
      </c>
      <c r="E17" s="71">
        <v>4</v>
      </c>
      <c r="F17" s="71" t="str">
        <f>B5</f>
        <v>B1(2)-NEWPORT BEACH BLUE</v>
      </c>
      <c r="G17" s="73">
        <v>25</v>
      </c>
      <c r="H17" s="71" t="str">
        <f>B7</f>
        <v>B3(26)-GREENWICH WHITE</v>
      </c>
      <c r="I17" s="73">
        <v>1</v>
      </c>
      <c r="J17" s="71"/>
      <c r="K17" s="71"/>
      <c r="L17" s="71" t="str">
        <f t="shared" ref="L17:L32" si="2">IF(E17="","",$L$13&amp;"-"&amp;TEXT(E17,"000"))</f>
        <v>10B-004</v>
      </c>
    </row>
    <row r="18" spans="1:12" ht="14.1" customHeight="1">
      <c r="A18" s="69">
        <f t="shared" si="0"/>
        <v>46226</v>
      </c>
      <c r="B18" s="70">
        <f>'CHICLETS MASTER S2'!A6</f>
        <v>0.36111111111111099</v>
      </c>
      <c r="C18" s="71" t="s">
        <v>137</v>
      </c>
      <c r="D18" s="119" t="str">
        <f t="shared" si="1"/>
        <v>EL TORO HS 2</v>
      </c>
      <c r="E18" s="71">
        <v>7</v>
      </c>
      <c r="F18" s="71" t="str">
        <f>C5</f>
        <v>C1(3)-NEWPORT BEACH WHITE</v>
      </c>
      <c r="G18" s="73">
        <v>16</v>
      </c>
      <c r="H18" s="71" t="str">
        <f>C7</f>
        <v>C3(27)-YOLO</v>
      </c>
      <c r="I18" s="73">
        <v>2</v>
      </c>
      <c r="J18" s="71"/>
      <c r="K18" s="71"/>
      <c r="L18" s="71" t="str">
        <f t="shared" si="2"/>
        <v>10B-007</v>
      </c>
    </row>
    <row r="19" spans="1:12" ht="14.1" customHeight="1">
      <c r="A19" s="69">
        <f t="shared" si="0"/>
        <v>46226</v>
      </c>
      <c r="B19" s="70">
        <f>'CHICLETS MASTER S2'!A7</f>
        <v>0.39583333333333398</v>
      </c>
      <c r="C19" s="71" t="s">
        <v>138</v>
      </c>
      <c r="D19" s="119" t="str">
        <f t="shared" si="1"/>
        <v>EL TORO HS 2</v>
      </c>
      <c r="E19" s="71">
        <v>10</v>
      </c>
      <c r="F19" s="71" t="str">
        <f>D5</f>
        <v>D1(4)-COMMERCE</v>
      </c>
      <c r="G19" s="73">
        <v>22</v>
      </c>
      <c r="H19" s="71" t="str">
        <f>D7</f>
        <v>D3(28)-SOCAL GOLD</v>
      </c>
      <c r="I19" s="73">
        <v>7</v>
      </c>
      <c r="J19" s="71"/>
      <c r="K19" s="71"/>
      <c r="L19" s="71" t="str">
        <f t="shared" si="2"/>
        <v>10B-010</v>
      </c>
    </row>
    <row r="20" spans="1:12" ht="14.1" customHeight="1">
      <c r="A20" s="69">
        <f t="shared" si="0"/>
        <v>46226</v>
      </c>
      <c r="B20" s="70">
        <f>'CHICLETS MASTER S2'!A8</f>
        <v>0.43055555555555602</v>
      </c>
      <c r="C20" s="71" t="s">
        <v>135</v>
      </c>
      <c r="D20" s="119" t="str">
        <f t="shared" si="1"/>
        <v>EL TORO HS 2</v>
      </c>
      <c r="E20" s="71">
        <v>13</v>
      </c>
      <c r="F20" s="71" t="str">
        <f>A6</f>
        <v>A2(24)-NORCAL BLACK</v>
      </c>
      <c r="G20" s="73">
        <v>12</v>
      </c>
      <c r="H20" s="71" t="str">
        <f>A7</f>
        <v>A3(25)-SAN CLEMENTE BLACK</v>
      </c>
      <c r="I20" s="73">
        <v>10</v>
      </c>
      <c r="J20" s="71"/>
      <c r="K20" s="71"/>
      <c r="L20" s="71" t="str">
        <f t="shared" si="2"/>
        <v>10B-013</v>
      </c>
    </row>
    <row r="21" spans="1:12" ht="14.1" customHeight="1">
      <c r="A21" s="69">
        <f t="shared" si="0"/>
        <v>46226</v>
      </c>
      <c r="B21" s="70">
        <f>'CHICLETS MASTER S2'!A9</f>
        <v>0.46527777777777801</v>
      </c>
      <c r="C21" s="71" t="s">
        <v>136</v>
      </c>
      <c r="D21" s="119" t="str">
        <f t="shared" si="1"/>
        <v>EL TORO HS 2</v>
      </c>
      <c r="E21" s="71">
        <v>16</v>
      </c>
      <c r="F21" s="71" t="str">
        <f>B6</f>
        <v>B2(23)-CC UNITED BLUE</v>
      </c>
      <c r="G21" s="73">
        <v>8</v>
      </c>
      <c r="H21" s="71" t="str">
        <f>B7</f>
        <v>B3(26)-GREENWICH WHITE</v>
      </c>
      <c r="I21" s="73">
        <v>9</v>
      </c>
      <c r="J21" s="71"/>
      <c r="K21" s="71"/>
      <c r="L21" s="71" t="str">
        <f t="shared" si="2"/>
        <v>10B-016</v>
      </c>
    </row>
    <row r="22" spans="1:12" ht="14.1" customHeight="1">
      <c r="A22" s="69">
        <f t="shared" si="0"/>
        <v>46226</v>
      </c>
      <c r="B22" s="70">
        <f>'CHICLETS MASTER S2'!A10</f>
        <v>0.5</v>
      </c>
      <c r="C22" s="71" t="s">
        <v>137</v>
      </c>
      <c r="D22" s="119" t="str">
        <f t="shared" si="1"/>
        <v>EL TORO HS 2</v>
      </c>
      <c r="E22" s="71">
        <v>19</v>
      </c>
      <c r="F22" s="71" t="str">
        <f>C6</f>
        <v>C2(22)-SD DONS B</v>
      </c>
      <c r="G22" s="73">
        <v>13</v>
      </c>
      <c r="H22" s="71" t="str">
        <f>C7</f>
        <v>C3(27)-YOLO</v>
      </c>
      <c r="I22" s="73">
        <v>4</v>
      </c>
      <c r="J22" s="71"/>
      <c r="K22" s="71"/>
      <c r="L22" s="71" t="str">
        <f t="shared" si="2"/>
        <v>10B-019</v>
      </c>
    </row>
    <row r="23" spans="1:12" ht="14.1" customHeight="1">
      <c r="A23" s="69">
        <f t="shared" si="0"/>
        <v>46226</v>
      </c>
      <c r="B23" s="70">
        <f>'CHICLETS MASTER S2'!A11</f>
        <v>0.53472222222222199</v>
      </c>
      <c r="C23" s="71" t="s">
        <v>138</v>
      </c>
      <c r="D23" s="119" t="str">
        <f t="shared" si="1"/>
        <v>EL TORO HS 2</v>
      </c>
      <c r="E23" s="71">
        <v>22</v>
      </c>
      <c r="F23" s="71" t="str">
        <f>D6</f>
        <v>D2(21)-680 BLUE</v>
      </c>
      <c r="G23" s="73">
        <v>16</v>
      </c>
      <c r="H23" s="71" t="str">
        <f>D7</f>
        <v>D3(28)-SOCAL GOLD</v>
      </c>
      <c r="I23" s="73">
        <v>9</v>
      </c>
      <c r="J23" s="71"/>
      <c r="K23" s="71"/>
      <c r="L23" s="71" t="str">
        <f t="shared" si="2"/>
        <v>10B-022</v>
      </c>
    </row>
    <row r="24" spans="1:12" ht="14.1" customHeight="1">
      <c r="A24" s="69">
        <f t="shared" si="0"/>
        <v>46226</v>
      </c>
      <c r="B24" s="70">
        <f>'CHICLETS MASTER S2'!A12</f>
        <v>0.56944444444444497</v>
      </c>
      <c r="C24" s="71" t="s">
        <v>135</v>
      </c>
      <c r="D24" s="119" t="str">
        <f t="shared" si="1"/>
        <v>EL TORO HS 2</v>
      </c>
      <c r="E24" s="71">
        <v>25</v>
      </c>
      <c r="F24" s="71" t="str">
        <f>A5</f>
        <v>A1(1)-SD DONS</v>
      </c>
      <c r="G24" s="73">
        <v>19</v>
      </c>
      <c r="H24" s="71" t="str">
        <f>A6</f>
        <v>A2(24)-NORCAL BLACK</v>
      </c>
      <c r="I24" s="73">
        <v>2</v>
      </c>
      <c r="J24" s="71"/>
      <c r="K24" s="71"/>
      <c r="L24" s="71" t="str">
        <f t="shared" si="2"/>
        <v>10B-025</v>
      </c>
    </row>
    <row r="25" spans="1:12" ht="14.1" customHeight="1">
      <c r="A25" s="69">
        <f t="shared" si="0"/>
        <v>46226</v>
      </c>
      <c r="B25" s="70">
        <f>'CHICLETS MASTER S2'!A13</f>
        <v>0.60416666666666696</v>
      </c>
      <c r="C25" s="71" t="s">
        <v>136</v>
      </c>
      <c r="D25" s="119" t="str">
        <f t="shared" si="1"/>
        <v>EL TORO HS 2</v>
      </c>
      <c r="E25" s="71">
        <v>28</v>
      </c>
      <c r="F25" s="71" t="str">
        <f>B5</f>
        <v>B1(2)-NEWPORT BEACH BLUE</v>
      </c>
      <c r="G25" s="73">
        <v>22</v>
      </c>
      <c r="H25" s="71" t="str">
        <f>B6</f>
        <v>B2(23)-CC UNITED BLUE</v>
      </c>
      <c r="I25" s="73">
        <v>1</v>
      </c>
      <c r="J25" s="71"/>
      <c r="K25" s="71"/>
      <c r="L25" s="71" t="str">
        <f t="shared" si="2"/>
        <v>10B-028</v>
      </c>
    </row>
    <row r="26" spans="1:12" ht="14.1" customHeight="1">
      <c r="A26" s="69">
        <f t="shared" si="0"/>
        <v>46226</v>
      </c>
      <c r="B26" s="70">
        <f>'CHICLETS MASTER S2'!A14</f>
        <v>0.63888888888888895</v>
      </c>
      <c r="C26" s="71" t="s">
        <v>137</v>
      </c>
      <c r="D26" s="119" t="str">
        <f t="shared" si="1"/>
        <v>EL TORO HS 2</v>
      </c>
      <c r="E26" s="71">
        <v>31</v>
      </c>
      <c r="F26" s="71" t="str">
        <f>C5</f>
        <v>C1(3)-NEWPORT BEACH WHITE</v>
      </c>
      <c r="G26" s="73">
        <v>9</v>
      </c>
      <c r="H26" s="71" t="str">
        <f>C6</f>
        <v>C2(22)-SD DONS B</v>
      </c>
      <c r="I26" s="73">
        <v>1</v>
      </c>
      <c r="J26" s="71"/>
      <c r="K26" s="71"/>
      <c r="L26" s="71" t="str">
        <f t="shared" si="2"/>
        <v>10B-031</v>
      </c>
    </row>
    <row r="27" spans="1:12" ht="14.1" customHeight="1">
      <c r="A27" s="69">
        <f t="shared" si="0"/>
        <v>46226</v>
      </c>
      <c r="B27" s="70">
        <f>'CHICLETS MASTER S2'!A15</f>
        <v>0.67361111111111105</v>
      </c>
      <c r="C27" s="71" t="s">
        <v>138</v>
      </c>
      <c r="D27" s="119" t="str">
        <f t="shared" si="1"/>
        <v>EL TORO HS 2</v>
      </c>
      <c r="E27" s="71">
        <v>34</v>
      </c>
      <c r="F27" s="71" t="str">
        <f>D5</f>
        <v>D1(4)-COMMERCE</v>
      </c>
      <c r="G27" s="73">
        <v>21</v>
      </c>
      <c r="H27" s="71" t="str">
        <f>D6</f>
        <v>D2(21)-680 BLUE</v>
      </c>
      <c r="I27" s="73">
        <v>10</v>
      </c>
      <c r="J27" s="71"/>
      <c r="K27" s="71"/>
      <c r="L27" s="71" t="str">
        <f t="shared" si="2"/>
        <v>10B-034</v>
      </c>
    </row>
    <row r="28" spans="1:12" ht="14.1" customHeight="1">
      <c r="A28" s="69">
        <f t="shared" si="0"/>
        <v>46226</v>
      </c>
      <c r="B28" s="60" t="s">
        <v>139</v>
      </c>
      <c r="G28" s="60"/>
      <c r="I28" s="60"/>
    </row>
    <row r="29" spans="1:12" ht="14.1" customHeight="1">
      <c r="A29" s="69">
        <f t="shared" si="0"/>
        <v>46226</v>
      </c>
      <c r="B29" s="70">
        <f>'CHICLETS MASTER S2'!A17</f>
        <v>0.74305555555555602</v>
      </c>
      <c r="C29" s="71" t="s">
        <v>140</v>
      </c>
      <c r="D29" s="119" t="str">
        <f>$D$14</f>
        <v>EL TORO HS 2</v>
      </c>
      <c r="E29" s="71">
        <v>37</v>
      </c>
      <c r="F29" s="71" t="s">
        <v>141</v>
      </c>
      <c r="G29" s="73">
        <v>10</v>
      </c>
      <c r="H29" s="71" t="s">
        <v>142</v>
      </c>
      <c r="I29" s="73">
        <v>16</v>
      </c>
      <c r="J29" s="71" t="s">
        <v>143</v>
      </c>
      <c r="K29" s="71" t="s">
        <v>144</v>
      </c>
      <c r="L29" s="71" t="str">
        <f t="shared" si="2"/>
        <v>10B-037</v>
      </c>
    </row>
    <row r="30" spans="1:12" ht="14.1" customHeight="1">
      <c r="A30" s="69">
        <f t="shared" si="0"/>
        <v>46226</v>
      </c>
      <c r="B30" s="70">
        <f>'CHICLETS MASTER S2'!A18</f>
        <v>0.77777777777777801</v>
      </c>
      <c r="C30" s="71" t="s">
        <v>140</v>
      </c>
      <c r="D30" s="119" t="str">
        <f>$D$14</f>
        <v>EL TORO HS 2</v>
      </c>
      <c r="E30" s="71">
        <v>40</v>
      </c>
      <c r="F30" s="71" t="s">
        <v>145</v>
      </c>
      <c r="G30" s="73">
        <v>16</v>
      </c>
      <c r="H30" s="71" t="s">
        <v>146</v>
      </c>
      <c r="I30" s="73">
        <v>9</v>
      </c>
      <c r="J30" s="71" t="s">
        <v>147</v>
      </c>
      <c r="K30" s="71" t="s">
        <v>148</v>
      </c>
      <c r="L30" s="71" t="str">
        <f t="shared" si="2"/>
        <v>10B-040</v>
      </c>
    </row>
    <row r="31" spans="1:12" ht="14.1" customHeight="1">
      <c r="A31" s="69">
        <f t="shared" si="0"/>
        <v>46226</v>
      </c>
      <c r="B31" s="70">
        <f>'CHICLETS MASTER S2'!A19</f>
        <v>0.8125</v>
      </c>
      <c r="C31" s="71" t="s">
        <v>140</v>
      </c>
      <c r="D31" s="119" t="str">
        <f>$D$14</f>
        <v>EL TORO HS 2</v>
      </c>
      <c r="E31" s="71">
        <v>43</v>
      </c>
      <c r="F31" s="71" t="s">
        <v>149</v>
      </c>
      <c r="G31" s="73">
        <v>17</v>
      </c>
      <c r="H31" s="71" t="s">
        <v>150</v>
      </c>
      <c r="I31" s="73">
        <v>0</v>
      </c>
      <c r="J31" s="71" t="s">
        <v>151</v>
      </c>
      <c r="K31" s="71" t="s">
        <v>152</v>
      </c>
      <c r="L31" s="71" t="str">
        <f t="shared" si="2"/>
        <v>10B-043</v>
      </c>
    </row>
    <row r="32" spans="1:12" ht="14.1" customHeight="1">
      <c r="A32" s="69">
        <f t="shared" si="0"/>
        <v>46226</v>
      </c>
      <c r="B32" s="70">
        <f>'CHICLETS MASTER S2'!A20</f>
        <v>0.84722222222222199</v>
      </c>
      <c r="C32" s="71" t="s">
        <v>140</v>
      </c>
      <c r="D32" s="119" t="str">
        <f>$D$14</f>
        <v>EL TORO HS 2</v>
      </c>
      <c r="E32" s="71">
        <v>46</v>
      </c>
      <c r="F32" s="71" t="s">
        <v>153</v>
      </c>
      <c r="G32" s="73">
        <v>13</v>
      </c>
      <c r="H32" s="71" t="s">
        <v>154</v>
      </c>
      <c r="I32" s="73">
        <v>8</v>
      </c>
      <c r="J32" s="71" t="s">
        <v>155</v>
      </c>
      <c r="K32" s="71" t="s">
        <v>156</v>
      </c>
      <c r="L32" s="71" t="str">
        <f t="shared" si="2"/>
        <v>10B-046</v>
      </c>
    </row>
    <row r="34" spans="1:12" ht="14.1" customHeight="1" thickBot="1">
      <c r="D34" s="65" t="str">
        <f>'CHICLETS MASTER S2'!D3</f>
        <v>EL TORO HS 3</v>
      </c>
    </row>
    <row r="35" spans="1:12" ht="14.1" customHeight="1">
      <c r="A35" s="342" t="s">
        <v>124</v>
      </c>
      <c r="B35" s="342" t="s">
        <v>125</v>
      </c>
      <c r="C35" s="342" t="s">
        <v>126</v>
      </c>
      <c r="D35" s="342" t="s">
        <v>127</v>
      </c>
      <c r="E35" s="342" t="s">
        <v>128</v>
      </c>
      <c r="F35" s="342" t="s">
        <v>129</v>
      </c>
      <c r="G35" s="342" t="s">
        <v>130</v>
      </c>
      <c r="H35" s="342" t="s">
        <v>131</v>
      </c>
      <c r="I35" s="342" t="s">
        <v>130</v>
      </c>
      <c r="J35" s="342" t="s">
        <v>132</v>
      </c>
      <c r="K35" s="342" t="s">
        <v>133</v>
      </c>
      <c r="L35" s="342" t="s">
        <v>134</v>
      </c>
    </row>
    <row r="36" spans="1:12" ht="14.1" customHeight="1">
      <c r="A36" s="69">
        <f t="shared" ref="A36:A52" si="3">$A$2</f>
        <v>46226</v>
      </c>
      <c r="B36" s="70">
        <f>'CHICLETS MASTER S2'!A4</f>
        <v>0.29166666666666669</v>
      </c>
      <c r="C36" s="71" t="s">
        <v>157</v>
      </c>
      <c r="D36" s="119" t="str">
        <f>$D$34</f>
        <v>EL TORO HS 3</v>
      </c>
      <c r="E36" s="71">
        <v>2</v>
      </c>
      <c r="F36" s="71" t="str">
        <f>B10</f>
        <v>H1(8)-908 YELLOW</v>
      </c>
      <c r="G36" s="73">
        <v>25</v>
      </c>
      <c r="H36" s="71" t="str">
        <f>B12</f>
        <v>H3(32)-680 WHITE</v>
      </c>
      <c r="I36" s="73">
        <v>2</v>
      </c>
      <c r="J36" s="71"/>
      <c r="K36" s="71"/>
      <c r="L36" s="71" t="str">
        <f t="shared" ref="L36:L52" si="4">IF(E36="","",$L$13&amp;"-"&amp;TEXT(E36,"000"))</f>
        <v>10B-002</v>
      </c>
    </row>
    <row r="37" spans="1:12" ht="14.1" customHeight="1">
      <c r="A37" s="69">
        <f t="shared" si="3"/>
        <v>46226</v>
      </c>
      <c r="B37" s="70">
        <f>'CHICLETS MASTER S2'!A5</f>
        <v>0.3263888888888889</v>
      </c>
      <c r="C37" s="71" t="s">
        <v>158</v>
      </c>
      <c r="D37" s="119" t="str">
        <f t="shared" ref="D37:D47" si="5">$D$34</f>
        <v>EL TORO HS 3</v>
      </c>
      <c r="E37" s="71">
        <v>5</v>
      </c>
      <c r="F37" s="71" t="str">
        <f>A10</f>
        <v>G1(7)-SAN CLEMENTE RED</v>
      </c>
      <c r="G37" s="73">
        <v>22</v>
      </c>
      <c r="H37" s="71" t="str">
        <f>A12</f>
        <v>G3(31)-STANFORD BLACK</v>
      </c>
      <c r="I37" s="73">
        <v>5</v>
      </c>
      <c r="J37" s="71"/>
      <c r="K37" s="71"/>
      <c r="L37" s="71" t="str">
        <f t="shared" si="4"/>
        <v>10B-005</v>
      </c>
    </row>
    <row r="38" spans="1:12" ht="14.1" customHeight="1">
      <c r="A38" s="69">
        <f t="shared" si="3"/>
        <v>46226</v>
      </c>
      <c r="B38" s="70">
        <f>'CHICLETS MASTER S2'!A6</f>
        <v>0.36111111111111099</v>
      </c>
      <c r="C38" s="71" t="s">
        <v>159</v>
      </c>
      <c r="D38" s="119" t="str">
        <f t="shared" si="5"/>
        <v>EL TORO HS 3</v>
      </c>
      <c r="E38" s="71">
        <v>8</v>
      </c>
      <c r="F38" s="71" t="str">
        <f>F5</f>
        <v>F1(6)-CDM BLUE</v>
      </c>
      <c r="G38" s="73">
        <v>12</v>
      </c>
      <c r="H38" s="71" t="str">
        <f>F7</f>
        <v>F3(30)-CDM WHITE</v>
      </c>
      <c r="I38" s="73">
        <v>3</v>
      </c>
      <c r="J38" s="71"/>
      <c r="K38" s="71"/>
      <c r="L38" s="71" t="str">
        <f t="shared" si="4"/>
        <v>10B-008</v>
      </c>
    </row>
    <row r="39" spans="1:12" ht="14.1" customHeight="1">
      <c r="A39" s="69">
        <f t="shared" si="3"/>
        <v>46226</v>
      </c>
      <c r="B39" s="70">
        <f>'CHICLETS MASTER S2'!A7</f>
        <v>0.39583333333333398</v>
      </c>
      <c r="C39" s="71" t="s">
        <v>160</v>
      </c>
      <c r="D39" s="119" t="str">
        <f t="shared" si="5"/>
        <v>EL TORO HS 3</v>
      </c>
      <c r="E39" s="71">
        <v>11</v>
      </c>
      <c r="F39" s="71" t="str">
        <f>E5</f>
        <v>E1(5)-GREENWICH BLUE</v>
      </c>
      <c r="G39" s="73">
        <v>21</v>
      </c>
      <c r="H39" s="71" t="str">
        <f>E7</f>
        <v>E3(29)-SHAQ</v>
      </c>
      <c r="I39" s="73">
        <v>5</v>
      </c>
      <c r="J39" s="71"/>
      <c r="K39" s="71"/>
      <c r="L39" s="71" t="str">
        <f t="shared" si="4"/>
        <v>10B-011</v>
      </c>
    </row>
    <row r="40" spans="1:12" ht="14.1" customHeight="1">
      <c r="A40" s="69">
        <f t="shared" si="3"/>
        <v>46226</v>
      </c>
      <c r="B40" s="70">
        <f>'CHICLETS MASTER S2'!A8</f>
        <v>0.43055555555555602</v>
      </c>
      <c r="C40" s="71" t="s">
        <v>157</v>
      </c>
      <c r="D40" s="119" t="str">
        <f t="shared" si="5"/>
        <v>EL TORO HS 3</v>
      </c>
      <c r="E40" s="71">
        <v>14</v>
      </c>
      <c r="F40" s="71" t="str">
        <f>B11</f>
        <v>H2(17)-STANFORD RED</v>
      </c>
      <c r="G40" s="73">
        <v>23</v>
      </c>
      <c r="H40" s="71" t="str">
        <f>B12</f>
        <v>H3(32)-680 WHITE</v>
      </c>
      <c r="I40" s="73">
        <v>2</v>
      </c>
      <c r="J40" s="71"/>
      <c r="K40" s="71"/>
      <c r="L40" s="71" t="str">
        <f t="shared" si="4"/>
        <v>10B-014</v>
      </c>
    </row>
    <row r="41" spans="1:12" ht="14.1" customHeight="1">
      <c r="A41" s="69">
        <f t="shared" si="3"/>
        <v>46226</v>
      </c>
      <c r="B41" s="70">
        <f>'CHICLETS MASTER S2'!A9</f>
        <v>0.46527777777777801</v>
      </c>
      <c r="C41" s="71" t="s">
        <v>158</v>
      </c>
      <c r="D41" s="119" t="str">
        <f t="shared" si="5"/>
        <v>EL TORO HS 3</v>
      </c>
      <c r="E41" s="71">
        <v>17</v>
      </c>
      <c r="F41" s="71" t="str">
        <f>A11</f>
        <v>G2(18)-ORWP</v>
      </c>
      <c r="G41" s="73">
        <v>8</v>
      </c>
      <c r="H41" s="71" t="str">
        <f>A12</f>
        <v>G3(31)-STANFORD BLACK</v>
      </c>
      <c r="I41" s="73">
        <v>4</v>
      </c>
      <c r="J41" s="71"/>
      <c r="K41" s="71"/>
      <c r="L41" s="71" t="str">
        <f t="shared" si="4"/>
        <v>10B-017</v>
      </c>
    </row>
    <row r="42" spans="1:12" ht="14.1" customHeight="1">
      <c r="A42" s="69">
        <f t="shared" si="3"/>
        <v>46226</v>
      </c>
      <c r="B42" s="70">
        <f>'CHICLETS MASTER S2'!A10</f>
        <v>0.5</v>
      </c>
      <c r="C42" s="71" t="s">
        <v>159</v>
      </c>
      <c r="D42" s="119" t="str">
        <f t="shared" si="5"/>
        <v>EL TORO HS 3</v>
      </c>
      <c r="E42" s="71">
        <v>20</v>
      </c>
      <c r="F42" s="71" t="str">
        <f>F6</f>
        <v>F2(19)-LB SHORE</v>
      </c>
      <c r="G42" s="73">
        <v>10</v>
      </c>
      <c r="H42" s="71" t="str">
        <f>F7</f>
        <v>F3(30)-CDM WHITE</v>
      </c>
      <c r="I42" s="73">
        <v>12</v>
      </c>
      <c r="J42" s="71"/>
      <c r="K42" s="71"/>
      <c r="L42" s="71" t="str">
        <f t="shared" si="4"/>
        <v>10B-020</v>
      </c>
    </row>
    <row r="43" spans="1:12" ht="14.1" customHeight="1">
      <c r="A43" s="69">
        <f t="shared" si="3"/>
        <v>46226</v>
      </c>
      <c r="B43" s="70">
        <f>'CHICLETS MASTER S2'!A11</f>
        <v>0.53472222222222199</v>
      </c>
      <c r="C43" s="71" t="s">
        <v>160</v>
      </c>
      <c r="D43" s="119" t="str">
        <f t="shared" si="5"/>
        <v>EL TORO HS 3</v>
      </c>
      <c r="E43" s="71">
        <v>23</v>
      </c>
      <c r="F43" s="71" t="str">
        <f>E6</f>
        <v>E2(20)-LAMORINDA BLUE</v>
      </c>
      <c r="G43" s="73">
        <v>19</v>
      </c>
      <c r="H43" s="71" t="str">
        <f>E7</f>
        <v>E3(29)-SHAQ</v>
      </c>
      <c r="I43" s="73">
        <v>10</v>
      </c>
      <c r="J43" s="71"/>
      <c r="K43" s="71"/>
      <c r="L43" s="71" t="str">
        <f t="shared" si="4"/>
        <v>10B-023</v>
      </c>
    </row>
    <row r="44" spans="1:12" ht="14.1" customHeight="1">
      <c r="A44" s="69">
        <f t="shared" si="3"/>
        <v>46226</v>
      </c>
      <c r="B44" s="70">
        <f>'CHICLETS MASTER S2'!A12</f>
        <v>0.56944444444444497</v>
      </c>
      <c r="C44" s="71" t="s">
        <v>157</v>
      </c>
      <c r="D44" s="119" t="str">
        <f t="shared" si="5"/>
        <v>EL TORO HS 3</v>
      </c>
      <c r="E44" s="71">
        <v>26</v>
      </c>
      <c r="F44" s="71" t="str">
        <f>B10</f>
        <v>H1(8)-908 YELLOW</v>
      </c>
      <c r="G44" s="73">
        <v>20</v>
      </c>
      <c r="H44" s="71" t="str">
        <f>B11</f>
        <v>H2(17)-STANFORD RED</v>
      </c>
      <c r="I44" s="73">
        <v>6</v>
      </c>
      <c r="J44" s="71"/>
      <c r="K44" s="71"/>
      <c r="L44" s="71" t="str">
        <f t="shared" si="4"/>
        <v>10B-026</v>
      </c>
    </row>
    <row r="45" spans="1:12" ht="14.1" customHeight="1">
      <c r="A45" s="69">
        <f t="shared" si="3"/>
        <v>46226</v>
      </c>
      <c r="B45" s="70">
        <f>'CHICLETS MASTER S2'!A13</f>
        <v>0.60416666666666696</v>
      </c>
      <c r="C45" s="71" t="s">
        <v>158</v>
      </c>
      <c r="D45" s="119" t="str">
        <f t="shared" si="5"/>
        <v>EL TORO HS 3</v>
      </c>
      <c r="E45" s="71">
        <v>29</v>
      </c>
      <c r="F45" s="71" t="str">
        <f>A10</f>
        <v>G1(7)-SAN CLEMENTE RED</v>
      </c>
      <c r="G45" s="73">
        <v>15</v>
      </c>
      <c r="H45" s="71" t="str">
        <f>A11</f>
        <v>G2(18)-ORWP</v>
      </c>
      <c r="I45" s="73">
        <v>10</v>
      </c>
      <c r="J45" s="71"/>
      <c r="K45" s="71"/>
      <c r="L45" s="71" t="str">
        <f t="shared" si="4"/>
        <v>10B-029</v>
      </c>
    </row>
    <row r="46" spans="1:12" ht="14.1" customHeight="1">
      <c r="A46" s="69">
        <f t="shared" si="3"/>
        <v>46226</v>
      </c>
      <c r="B46" s="70">
        <f>'CHICLETS MASTER S2'!A14</f>
        <v>0.63888888888888895</v>
      </c>
      <c r="C46" s="71" t="s">
        <v>159</v>
      </c>
      <c r="D46" s="119" t="str">
        <f t="shared" si="5"/>
        <v>EL TORO HS 3</v>
      </c>
      <c r="E46" s="71">
        <v>32</v>
      </c>
      <c r="F46" s="71" t="str">
        <f>F5</f>
        <v>F1(6)-CDM BLUE</v>
      </c>
      <c r="G46" s="73">
        <v>20</v>
      </c>
      <c r="H46" s="71" t="str">
        <f>F6</f>
        <v>F2(19)-LB SHORE</v>
      </c>
      <c r="I46" s="73">
        <v>0</v>
      </c>
      <c r="J46" s="71"/>
      <c r="K46" s="71"/>
      <c r="L46" s="71" t="str">
        <f t="shared" si="4"/>
        <v>10B-032</v>
      </c>
    </row>
    <row r="47" spans="1:12" ht="14.1" customHeight="1">
      <c r="A47" s="69">
        <f t="shared" si="3"/>
        <v>46226</v>
      </c>
      <c r="B47" s="70">
        <f>'CHICLETS MASTER S2'!A15</f>
        <v>0.67361111111111105</v>
      </c>
      <c r="C47" s="71" t="s">
        <v>160</v>
      </c>
      <c r="D47" s="119" t="str">
        <f t="shared" si="5"/>
        <v>EL TORO HS 3</v>
      </c>
      <c r="E47" s="71">
        <v>35</v>
      </c>
      <c r="F47" s="71" t="str">
        <f>E5</f>
        <v>E1(5)-GREENWICH BLUE</v>
      </c>
      <c r="G47" s="73">
        <v>14</v>
      </c>
      <c r="H47" s="71" t="str">
        <f>E6</f>
        <v>E2(20)-LAMORINDA BLUE</v>
      </c>
      <c r="I47" s="73">
        <v>9</v>
      </c>
      <c r="J47" s="71"/>
      <c r="K47" s="71"/>
      <c r="L47" s="71" t="str">
        <f t="shared" si="4"/>
        <v>10B-035</v>
      </c>
    </row>
    <row r="48" spans="1:12" ht="14.1" customHeight="1">
      <c r="B48" s="60" t="s">
        <v>139</v>
      </c>
      <c r="G48" s="60"/>
      <c r="I48" s="60"/>
    </row>
    <row r="49" spans="1:13" ht="14.1" customHeight="1">
      <c r="A49" s="69">
        <f t="shared" si="3"/>
        <v>46226</v>
      </c>
      <c r="B49" s="70">
        <f>'CHICLETS MASTER S2'!A17</f>
        <v>0.74305555555555602</v>
      </c>
      <c r="C49" s="71" t="s">
        <v>140</v>
      </c>
      <c r="D49" s="119" t="str">
        <f>$D$34</f>
        <v>EL TORO HS 3</v>
      </c>
      <c r="E49" s="71">
        <v>38</v>
      </c>
      <c r="F49" s="71" t="s">
        <v>161</v>
      </c>
      <c r="G49" s="73">
        <v>11</v>
      </c>
      <c r="H49" s="71" t="s">
        <v>162</v>
      </c>
      <c r="I49" s="73">
        <v>8</v>
      </c>
      <c r="J49" s="71" t="s">
        <v>163</v>
      </c>
      <c r="K49" s="71" t="s">
        <v>164</v>
      </c>
      <c r="L49" s="71" t="str">
        <f t="shared" si="4"/>
        <v>10B-038</v>
      </c>
    </row>
    <row r="50" spans="1:13" ht="14.1" customHeight="1">
      <c r="A50" s="69">
        <f t="shared" si="3"/>
        <v>46226</v>
      </c>
      <c r="B50" s="70">
        <f>'CHICLETS MASTER S2'!A18</f>
        <v>0.77777777777777801</v>
      </c>
      <c r="C50" s="71" t="s">
        <v>140</v>
      </c>
      <c r="D50" s="119" t="str">
        <f>$D$34</f>
        <v>EL TORO HS 3</v>
      </c>
      <c r="E50" s="71">
        <v>41</v>
      </c>
      <c r="F50" s="71" t="s">
        <v>165</v>
      </c>
      <c r="G50" s="73">
        <v>17</v>
      </c>
      <c r="H50" s="71" t="s">
        <v>166</v>
      </c>
      <c r="I50" s="73">
        <v>6</v>
      </c>
      <c r="J50" s="71" t="s">
        <v>167</v>
      </c>
      <c r="K50" s="71" t="s">
        <v>168</v>
      </c>
      <c r="L50" s="71" t="str">
        <f t="shared" si="4"/>
        <v>10B-041</v>
      </c>
    </row>
    <row r="51" spans="1:13" ht="14.1" customHeight="1">
      <c r="A51" s="69">
        <f t="shared" si="3"/>
        <v>46226</v>
      </c>
      <c r="B51" s="70">
        <f>'CHICLETS MASTER S2'!A19</f>
        <v>0.8125</v>
      </c>
      <c r="C51" s="71" t="s">
        <v>140</v>
      </c>
      <c r="D51" s="119" t="str">
        <f>$D$34</f>
        <v>EL TORO HS 3</v>
      </c>
      <c r="E51" s="71">
        <v>44</v>
      </c>
      <c r="F51" s="71" t="s">
        <v>169</v>
      </c>
      <c r="G51" s="73">
        <v>16</v>
      </c>
      <c r="H51" s="71" t="s">
        <v>170</v>
      </c>
      <c r="I51" s="73">
        <v>15</v>
      </c>
      <c r="J51" s="71" t="s">
        <v>171</v>
      </c>
      <c r="K51" s="71" t="s">
        <v>172</v>
      </c>
      <c r="L51" s="71" t="str">
        <f t="shared" si="4"/>
        <v>10B-044</v>
      </c>
    </row>
    <row r="52" spans="1:13" ht="14.1" customHeight="1">
      <c r="A52" s="69">
        <f t="shared" si="3"/>
        <v>46226</v>
      </c>
      <c r="B52" s="70">
        <f>'CHICLETS MASTER S2'!A20</f>
        <v>0.84722222222222199</v>
      </c>
      <c r="C52" s="71" t="s">
        <v>140</v>
      </c>
      <c r="D52" s="119" t="str">
        <f>$D$34</f>
        <v>EL TORO HS 3</v>
      </c>
      <c r="E52" s="71">
        <v>47</v>
      </c>
      <c r="F52" s="71" t="s">
        <v>173</v>
      </c>
      <c r="G52" s="73">
        <v>15</v>
      </c>
      <c r="H52" s="71" t="s">
        <v>174</v>
      </c>
      <c r="I52" s="73">
        <v>5</v>
      </c>
      <c r="J52" s="71" t="s">
        <v>175</v>
      </c>
      <c r="K52" s="71" t="s">
        <v>176</v>
      </c>
      <c r="L52" s="71" t="str">
        <f t="shared" si="4"/>
        <v>10B-047</v>
      </c>
    </row>
    <row r="53" spans="1:13" ht="14.1" customHeight="1" thickBot="1">
      <c r="A53" s="98"/>
      <c r="B53" s="79"/>
    </row>
    <row r="54" spans="1:13" ht="14.1" customHeight="1" thickBot="1">
      <c r="D54" s="65" t="str">
        <f>'CHICLETS MASTER S2'!B3</f>
        <v>EL TORO HS 1</v>
      </c>
    </row>
    <row r="55" spans="1:13" ht="14.1" customHeight="1">
      <c r="A55" s="342" t="s">
        <v>124</v>
      </c>
      <c r="B55" s="342" t="s">
        <v>125</v>
      </c>
      <c r="C55" s="342" t="s">
        <v>126</v>
      </c>
      <c r="D55" s="342" t="s">
        <v>127</v>
      </c>
      <c r="E55" s="342" t="s">
        <v>128</v>
      </c>
      <c r="F55" s="342" t="s">
        <v>129</v>
      </c>
      <c r="G55" s="342" t="s">
        <v>130</v>
      </c>
      <c r="H55" s="342" t="s">
        <v>131</v>
      </c>
      <c r="I55" s="342" t="s">
        <v>130</v>
      </c>
      <c r="J55" s="342" t="s">
        <v>132</v>
      </c>
      <c r="K55" s="342" t="s">
        <v>133</v>
      </c>
      <c r="L55" s="342" t="s">
        <v>134</v>
      </c>
    </row>
    <row r="56" spans="1:13" ht="14.1" customHeight="1">
      <c r="A56" s="69">
        <f t="shared" ref="A56:A70" si="6">$A$2</f>
        <v>46226</v>
      </c>
      <c r="B56" s="70">
        <f>'CHICLETS MASTER S2'!A4</f>
        <v>0.29166666666666669</v>
      </c>
      <c r="C56" s="71" t="s">
        <v>177</v>
      </c>
      <c r="D56" s="119" t="str">
        <f>$D$54</f>
        <v>EL TORO HS 1</v>
      </c>
      <c r="E56" s="71">
        <v>3</v>
      </c>
      <c r="F56" s="71" t="str">
        <f>C10</f>
        <v>I1(9)-LA JOLLA UNITED</v>
      </c>
      <c r="G56" s="73">
        <v>26</v>
      </c>
      <c r="H56" s="71" t="str">
        <f>C12</f>
        <v>I3(33)-LAMORINDA GOLD</v>
      </c>
      <c r="I56" s="73">
        <v>9</v>
      </c>
      <c r="J56" s="71"/>
      <c r="K56" s="71"/>
      <c r="L56" s="71" t="str">
        <f t="shared" ref="L56:L70" si="7">IF(E56="","",$L$13&amp;"-"&amp;TEXT(E56,"000"))</f>
        <v>10B-003</v>
      </c>
    </row>
    <row r="57" spans="1:13" ht="14.1" customHeight="1">
      <c r="A57" s="69">
        <f t="shared" si="6"/>
        <v>46226</v>
      </c>
      <c r="B57" s="70">
        <f>'CHICLETS MASTER S2'!A5</f>
        <v>0.3263888888888889</v>
      </c>
      <c r="C57" s="71" t="s">
        <v>178</v>
      </c>
      <c r="D57" s="119" t="str">
        <f t="shared" ref="D57:D65" si="8">$D$54</f>
        <v>EL TORO HS 1</v>
      </c>
      <c r="E57" s="71">
        <v>6</v>
      </c>
      <c r="F57" s="71" t="str">
        <f>D10</f>
        <v>J1(10)-SOCAL BLACK</v>
      </c>
      <c r="G57" s="73">
        <v>19</v>
      </c>
      <c r="H57" s="71" t="str">
        <f>D12</f>
        <v>J3(34)-LAMORINDA WHITE</v>
      </c>
      <c r="I57" s="73">
        <v>3</v>
      </c>
      <c r="J57" s="71"/>
      <c r="K57" s="71"/>
      <c r="L57" s="71" t="str">
        <f t="shared" si="7"/>
        <v>10B-006</v>
      </c>
    </row>
    <row r="58" spans="1:13" ht="14.1" customHeight="1">
      <c r="A58" s="69">
        <f t="shared" si="6"/>
        <v>46226</v>
      </c>
      <c r="B58" s="70">
        <f>'CHICLETS MASTER S2'!A6</f>
        <v>0.36111111111111099</v>
      </c>
      <c r="C58" s="71" t="s">
        <v>179</v>
      </c>
      <c r="D58" s="119" t="str">
        <f t="shared" si="8"/>
        <v>EL TORO HS 1</v>
      </c>
      <c r="E58" s="71">
        <v>12</v>
      </c>
      <c r="F58" s="216" t="str">
        <f>F10</f>
        <v>L1(12)-ELITE</v>
      </c>
      <c r="G58" s="73">
        <v>8</v>
      </c>
      <c r="H58" s="71" t="str">
        <f>F12</f>
        <v>L3(35)-NORTHWEST</v>
      </c>
      <c r="I58" s="73">
        <v>11</v>
      </c>
      <c r="J58" s="71"/>
      <c r="K58" s="71"/>
      <c r="L58" s="71" t="str">
        <f t="shared" si="7"/>
        <v>10B-012</v>
      </c>
      <c r="M58" s="60" t="s">
        <v>180</v>
      </c>
    </row>
    <row r="59" spans="1:13" ht="14.1" customHeight="1">
      <c r="A59" s="69">
        <f t="shared" si="6"/>
        <v>46226</v>
      </c>
      <c r="B59" s="70">
        <f>'CHICLETS MASTER S2'!A7</f>
        <v>0.39583333333333398</v>
      </c>
      <c r="C59" s="71" t="s">
        <v>177</v>
      </c>
      <c r="D59" s="119" t="str">
        <f t="shared" si="8"/>
        <v>EL TORO HS 1</v>
      </c>
      <c r="E59" s="71">
        <v>15</v>
      </c>
      <c r="F59" s="216" t="str">
        <f>C11</f>
        <v>I2(16)-CC UNITED BLACK</v>
      </c>
      <c r="G59" s="73">
        <v>26</v>
      </c>
      <c r="H59" s="71" t="str">
        <f>C12</f>
        <v>I3(33)-LAMORINDA GOLD</v>
      </c>
      <c r="I59" s="73">
        <v>2</v>
      </c>
      <c r="J59" s="71"/>
      <c r="K59" s="71"/>
      <c r="L59" s="71" t="str">
        <f t="shared" si="7"/>
        <v>10B-015</v>
      </c>
    </row>
    <row r="60" spans="1:13" ht="14.1" customHeight="1">
      <c r="A60" s="69">
        <f t="shared" si="6"/>
        <v>46226</v>
      </c>
      <c r="B60" s="70">
        <f>'CHICLETS MASTER S2'!A8</f>
        <v>0.43055555555555602</v>
      </c>
      <c r="C60" s="71" t="s">
        <v>178</v>
      </c>
      <c r="D60" s="119" t="str">
        <f t="shared" si="8"/>
        <v>EL TORO HS 1</v>
      </c>
      <c r="E60" s="71">
        <v>18</v>
      </c>
      <c r="F60" s="216" t="str">
        <f>D11</f>
        <v>J2(15)-CAL REPUBLIC</v>
      </c>
      <c r="G60" s="73">
        <v>20</v>
      </c>
      <c r="H60" s="71" t="str">
        <f>D12</f>
        <v>J3(34)-LAMORINDA WHITE</v>
      </c>
      <c r="I60" s="73">
        <v>4</v>
      </c>
      <c r="J60" s="71"/>
      <c r="K60" s="71"/>
      <c r="L60" s="71" t="str">
        <f t="shared" si="7"/>
        <v>10B-018</v>
      </c>
    </row>
    <row r="61" spans="1:13" ht="14.1" customHeight="1">
      <c r="A61" s="69">
        <f t="shared" si="6"/>
        <v>46226</v>
      </c>
      <c r="B61" s="70">
        <f>'CHICLETS MASTER S2'!A9</f>
        <v>0.46527777777777801</v>
      </c>
      <c r="C61" s="71" t="s">
        <v>181</v>
      </c>
      <c r="D61" s="119" t="str">
        <f t="shared" si="8"/>
        <v>EL TORO HS 1</v>
      </c>
      <c r="E61" s="227">
        <v>21</v>
      </c>
      <c r="F61" s="71" t="str">
        <f>E10</f>
        <v>K1(11)-680 RED</v>
      </c>
      <c r="G61" s="73">
        <v>24</v>
      </c>
      <c r="H61" s="71" t="str">
        <f>E11</f>
        <v>K2(14)-TEMPLE CITY BLACK</v>
      </c>
      <c r="I61" s="73">
        <v>2</v>
      </c>
      <c r="J61" s="343" t="s">
        <v>182</v>
      </c>
      <c r="K61" s="343">
        <v>45</v>
      </c>
      <c r="L61" s="71" t="str">
        <f t="shared" si="7"/>
        <v>10B-021</v>
      </c>
      <c r="M61" s="344" t="s">
        <v>183</v>
      </c>
    </row>
    <row r="62" spans="1:13" ht="14.1" customHeight="1">
      <c r="A62" s="69">
        <f t="shared" si="6"/>
        <v>46226</v>
      </c>
      <c r="B62" s="70">
        <f>'CHICLETS MASTER S2'!A10</f>
        <v>0.5</v>
      </c>
      <c r="C62" s="71" t="s">
        <v>179</v>
      </c>
      <c r="D62" s="119" t="str">
        <f t="shared" si="8"/>
        <v>EL TORO HS 1</v>
      </c>
      <c r="E62" s="71">
        <v>24</v>
      </c>
      <c r="F62" s="71" t="str">
        <f>F11</f>
        <v>L2(13)-TEMPLE CITY YELLOW</v>
      </c>
      <c r="G62" s="73">
        <v>16</v>
      </c>
      <c r="H62" s="71" t="str">
        <f>F12</f>
        <v>L3(35)-NORTHWEST</v>
      </c>
      <c r="I62" s="73">
        <v>5</v>
      </c>
      <c r="J62" s="71"/>
      <c r="K62" s="71"/>
      <c r="L62" s="71" t="str">
        <f t="shared" si="7"/>
        <v>10B-024</v>
      </c>
    </row>
    <row r="63" spans="1:13" ht="14.1" customHeight="1">
      <c r="A63" s="69">
        <f t="shared" si="6"/>
        <v>46226</v>
      </c>
      <c r="B63" s="70">
        <f>'CHICLETS MASTER S2'!A11</f>
        <v>0.53472222222222199</v>
      </c>
      <c r="C63" s="71" t="s">
        <v>177</v>
      </c>
      <c r="D63" s="119" t="str">
        <f t="shared" si="8"/>
        <v>EL TORO HS 1</v>
      </c>
      <c r="E63" s="71">
        <v>27</v>
      </c>
      <c r="F63" s="71" t="str">
        <f>C10</f>
        <v>I1(9)-LA JOLLA UNITED</v>
      </c>
      <c r="G63" s="73">
        <v>3</v>
      </c>
      <c r="H63" s="71" t="str">
        <f>C11</f>
        <v>I2(16)-CC UNITED BLACK</v>
      </c>
      <c r="I63" s="73">
        <v>11</v>
      </c>
      <c r="J63" s="71"/>
      <c r="K63" s="71"/>
      <c r="L63" s="71" t="str">
        <f t="shared" si="7"/>
        <v>10B-027</v>
      </c>
    </row>
    <row r="64" spans="1:13" ht="14.1" customHeight="1">
      <c r="A64" s="69">
        <f t="shared" si="6"/>
        <v>46226</v>
      </c>
      <c r="B64" s="70">
        <f>'CHICLETS MASTER S2'!A12</f>
        <v>0.56944444444444497</v>
      </c>
      <c r="C64" s="71" t="s">
        <v>178</v>
      </c>
      <c r="D64" s="119" t="str">
        <f t="shared" si="8"/>
        <v>EL TORO HS 1</v>
      </c>
      <c r="E64" s="71">
        <v>30</v>
      </c>
      <c r="F64" s="71" t="str">
        <f>D10</f>
        <v>J1(10)-SOCAL BLACK</v>
      </c>
      <c r="G64" s="73">
        <v>19</v>
      </c>
      <c r="H64" s="71" t="str">
        <f>D11</f>
        <v>J2(15)-CAL REPUBLIC</v>
      </c>
      <c r="I64" s="73">
        <v>7</v>
      </c>
      <c r="J64" s="71"/>
      <c r="K64" s="71"/>
      <c r="L64" s="71" t="str">
        <f t="shared" si="7"/>
        <v>10B-030</v>
      </c>
    </row>
    <row r="65" spans="1:13" ht="14.1" customHeight="1">
      <c r="A65" s="69">
        <f t="shared" si="6"/>
        <v>46226</v>
      </c>
      <c r="B65" s="70">
        <f>'CHICLETS MASTER S2'!A13</f>
        <v>0.60416666666666696</v>
      </c>
      <c r="C65" s="71" t="s">
        <v>179</v>
      </c>
      <c r="D65" s="119" t="str">
        <f t="shared" si="8"/>
        <v>EL TORO HS 1</v>
      </c>
      <c r="E65" s="71">
        <v>36</v>
      </c>
      <c r="F65" s="71" t="str">
        <f>F10</f>
        <v>L1(12)-ELITE</v>
      </c>
      <c r="G65" s="73">
        <v>2</v>
      </c>
      <c r="H65" s="71" t="str">
        <f>F11</f>
        <v>L2(13)-TEMPLE CITY YELLOW</v>
      </c>
      <c r="I65" s="73">
        <v>16</v>
      </c>
      <c r="J65" s="71"/>
      <c r="K65" s="71"/>
      <c r="L65" s="71" t="str">
        <f t="shared" si="7"/>
        <v>10B-036</v>
      </c>
    </row>
    <row r="66" spans="1:13" ht="14.1" customHeight="1">
      <c r="G66" s="60"/>
      <c r="I66" s="60"/>
    </row>
    <row r="67" spans="1:13" ht="14.1" customHeight="1">
      <c r="G67" s="60"/>
      <c r="I67" s="60"/>
    </row>
    <row r="68" spans="1:13" ht="14.1" customHeight="1">
      <c r="A68" s="69">
        <f t="shared" si="6"/>
        <v>46226</v>
      </c>
      <c r="B68" s="70">
        <f>'CHICLETS MASTER S2'!A16</f>
        <v>0.70833333333333404</v>
      </c>
      <c r="C68" s="71" t="s">
        <v>140</v>
      </c>
      <c r="D68" s="119" t="str">
        <f>$D$54</f>
        <v>EL TORO HS 1</v>
      </c>
      <c r="E68" s="71">
        <v>39</v>
      </c>
      <c r="F68" s="71" t="s">
        <v>184</v>
      </c>
      <c r="G68" s="73">
        <v>16</v>
      </c>
      <c r="H68" s="71" t="s">
        <v>185</v>
      </c>
      <c r="I68" s="73">
        <v>2</v>
      </c>
      <c r="J68" s="71" t="s">
        <v>186</v>
      </c>
      <c r="K68" s="71" t="s">
        <v>187</v>
      </c>
      <c r="L68" s="71" t="str">
        <f t="shared" si="7"/>
        <v>10B-039</v>
      </c>
    </row>
    <row r="69" spans="1:13" ht="14.1" customHeight="1">
      <c r="A69" s="69">
        <f t="shared" si="6"/>
        <v>46226</v>
      </c>
      <c r="B69" s="70">
        <f>'CHICLETS MASTER S2'!A17</f>
        <v>0.74305555555555602</v>
      </c>
      <c r="C69" s="71" t="s">
        <v>140</v>
      </c>
      <c r="D69" s="119" t="str">
        <f>$D$54</f>
        <v>EL TORO HS 1</v>
      </c>
      <c r="E69" s="71">
        <v>42</v>
      </c>
      <c r="F69" s="71" t="s">
        <v>188</v>
      </c>
      <c r="G69" s="73">
        <v>18</v>
      </c>
      <c r="H69" s="71" t="s">
        <v>189</v>
      </c>
      <c r="I69" s="73">
        <v>10</v>
      </c>
      <c r="J69" s="71" t="s">
        <v>190</v>
      </c>
      <c r="K69" s="71" t="s">
        <v>191</v>
      </c>
      <c r="L69" s="71" t="str">
        <f t="shared" si="7"/>
        <v>10B-042</v>
      </c>
    </row>
    <row r="70" spans="1:13" ht="14.1" customHeight="1">
      <c r="A70" s="69">
        <f t="shared" si="6"/>
        <v>46226</v>
      </c>
      <c r="B70" s="70">
        <f>'CHICLETS MASTER S2'!A18</f>
        <v>0.77777777777777801</v>
      </c>
      <c r="C70" s="71" t="s">
        <v>140</v>
      </c>
      <c r="D70" s="119" t="str">
        <f>$D$54</f>
        <v>EL TORO HS 1</v>
      </c>
      <c r="E70" s="71">
        <v>45</v>
      </c>
      <c r="F70" s="71" t="str">
        <f>IF(G61="","2nd K(L21)",IF(G61&lt;I61,_xlfn.CONCAT("2nd K(L21)-",RIGHT(F61,LEN(F61) - FIND("-",F61))), _xlfn.CONCAT("2nd K(L21)-",RIGHT(H61,LEN(H61) - FIND("-",H61)))))</f>
        <v>2nd K(L21)-TEMPLE CITY BLACK</v>
      </c>
      <c r="G70" s="73">
        <v>12</v>
      </c>
      <c r="H70" s="71" t="s">
        <v>192</v>
      </c>
      <c r="I70" s="73">
        <v>17</v>
      </c>
      <c r="J70" s="71" t="s">
        <v>193</v>
      </c>
      <c r="K70" s="71" t="s">
        <v>194</v>
      </c>
      <c r="L70" s="71" t="str">
        <f t="shared" si="7"/>
        <v>10B-045</v>
      </c>
      <c r="M70" s="60" t="s">
        <v>195</v>
      </c>
    </row>
    <row r="72" spans="1:13" ht="14.1" customHeight="1" thickTop="1" thickBot="1">
      <c r="A72" s="280" t="s">
        <v>196</v>
      </c>
      <c r="B72" s="147"/>
      <c r="C72" s="147"/>
      <c r="D72" s="147"/>
      <c r="E72" s="147"/>
      <c r="F72" s="147"/>
      <c r="G72" s="282"/>
      <c r="H72" s="147"/>
      <c r="I72" s="282"/>
      <c r="J72" s="147"/>
      <c r="K72" s="147"/>
      <c r="L72" s="147"/>
    </row>
    <row r="73" spans="1:13" ht="14.1" customHeight="1">
      <c r="A73" s="61">
        <v>46227</v>
      </c>
      <c r="G73" s="60"/>
      <c r="I73" s="60"/>
    </row>
    <row r="74" spans="1:13" ht="14.1" customHeight="1">
      <c r="B74" s="60" t="s">
        <v>197</v>
      </c>
    </row>
    <row r="75" spans="1:13" ht="14.1" customHeight="1">
      <c r="B75" s="85" t="s">
        <v>198</v>
      </c>
      <c r="C75" s="85" t="s">
        <v>199</v>
      </c>
      <c r="D75" s="85" t="s">
        <v>200</v>
      </c>
      <c r="E75" s="85" t="s">
        <v>201</v>
      </c>
    </row>
    <row r="76" spans="1:13" ht="14.1" customHeight="1">
      <c r="A76" s="60">
        <v>1</v>
      </c>
      <c r="B76" s="283" t="s">
        <v>202</v>
      </c>
      <c r="C76" s="283" t="s">
        <v>203</v>
      </c>
      <c r="D76" s="283" t="s">
        <v>204</v>
      </c>
      <c r="E76" s="283" t="s">
        <v>205</v>
      </c>
    </row>
    <row r="77" spans="1:13" ht="14.1" customHeight="1">
      <c r="A77" s="60">
        <v>2</v>
      </c>
      <c r="B77" s="283" t="s">
        <v>206</v>
      </c>
      <c r="C77" s="283" t="s">
        <v>207</v>
      </c>
      <c r="D77" s="283" t="s">
        <v>208</v>
      </c>
      <c r="E77" s="283" t="s">
        <v>209</v>
      </c>
    </row>
    <row r="78" spans="1:13" ht="14.1" customHeight="1">
      <c r="A78" s="60">
        <v>3</v>
      </c>
      <c r="B78" s="283" t="s">
        <v>210</v>
      </c>
      <c r="C78" s="283" t="s">
        <v>211</v>
      </c>
      <c r="D78" s="345" t="str">
        <f>IF(G61="","pt_O3(1st K)(W21)",IF(G61&gt;I61,_xlfn.CONCAT("pt_O3(1st K)(W21)-",RIGHT(F61,LEN(F61) - FIND("-",F61))), _xlfn.CONCAT("pt_O3(1st K)(W21)-",RIGHT(H61,LEN(H61) - FIND("-",H61)))))</f>
        <v>pt_O3(1st K)(W21)-680 RED</v>
      </c>
      <c r="E78" s="283" t="s">
        <v>212</v>
      </c>
    </row>
    <row r="80" spans="1:13" ht="14.1" customHeight="1">
      <c r="B80" s="85" t="s">
        <v>213</v>
      </c>
      <c r="C80" s="85" t="s">
        <v>214</v>
      </c>
      <c r="D80" s="85" t="s">
        <v>215</v>
      </c>
      <c r="E80" s="85" t="s">
        <v>216</v>
      </c>
    </row>
    <row r="81" spans="1:15" ht="14.1" customHeight="1">
      <c r="A81" s="60">
        <v>1</v>
      </c>
      <c r="B81" s="346" t="s">
        <v>217</v>
      </c>
      <c r="C81" s="286" t="str">
        <f>IF(G70="","pt_S1(W45)",IF(G70&gt;I70,_xlfn.CONCAT("pt_S1(W45)-",RIGHT(F70,LEN(F70) - FIND("-",F70))), _xlfn.CONCAT("pt_S1(W45)-",RIGHT(H70,LEN(H70) - FIND("-",H70)))))</f>
        <v>pt_S1(W45)-ELITE</v>
      </c>
      <c r="D81" s="286" t="str">
        <f>IF(G69="","pt_T1(W42)",IF(G69&gt;I69,_xlfn.CONCAT("pt_T1(W42)-",RIGHT(F69,LEN(F69) - FIND("-",F69))), _xlfn.CONCAT("pt_T1(W42)-",RIGHT(H69,LEN(H69) - FIND("-",H69)))))</f>
        <v>pt_T1(W42)-CAL REPUBLIC</v>
      </c>
      <c r="E81" s="286" t="str">
        <f>IF(G68="","pt_U1(W39)",IF(G68&gt;I68,_xlfn.CONCAT("pt_U1(W39)-",RIGHT(F68,LEN(F68) - FIND("-",F68))), _xlfn.CONCAT("pt_U1(W39)-",RIGHT(H68,LEN(H68) - FIND("-",H68)))))</f>
        <v xml:space="preserve">pt_U1(W39)-LA JOLLA UNITED	</v>
      </c>
    </row>
    <row r="82" spans="1:15" ht="14.1" customHeight="1">
      <c r="A82" s="60">
        <v>2</v>
      </c>
      <c r="B82" s="287" t="str">
        <f>IF(G52="","pt_R2(W47)",IF(G52&gt;I52,_xlfn.CONCAT("pt_R2(W47)-",RIGHT(F52,LEN(F52) - FIND("-",F52))), _xlfn.CONCAT("pt_R2(W47)-",RIGHT(H52,LEN(H52) - FIND("-",H52)))))</f>
        <v>pt_R2(W47)-LAMORINDA BLUE</v>
      </c>
      <c r="C82" s="288" t="str">
        <f>IF(G51="","pt_S2(W44)",IF(G51&gt;I51,_xlfn.CONCAT("pt_S2(W44)-",RIGHT(F51,LEN(F51) - FIND("-",F51))), _xlfn.CONCAT("pt_S2(W44)-",RIGHT(H51,LEN(H51) - FIND("-",H51)))))</f>
        <v>pt_S2(W44)-CDM WHITE</v>
      </c>
      <c r="D82" s="289" t="str">
        <f>IF(G50="","pt_T2(W41)",IF(G50&gt;I50,_xlfn.CONCAT("pt_T2(W41)-",RIGHT(F50,LEN(F50) - FIND("-",F50))), _xlfn.CONCAT("pt_T2(W41)-",RIGHT(H50,LEN(H50) - FIND("-",H50)))))</f>
        <v>pt_T2(W41)-ORWP</v>
      </c>
      <c r="E82" s="288" t="str">
        <f>IF(G49="","pt_U2(W38)",IF(G49&gt;I49,_xlfn.CONCAT("pt_U2(W38)-",RIGHT(F49,LEN(F49) - FIND("-",F49))), _xlfn.CONCAT("pt_U2(W38)-",RIGHT(H49,LEN(H49) - FIND("-",H49)))))</f>
        <v>pt_U2(W38)-STANFORD RED</v>
      </c>
    </row>
    <row r="83" spans="1:15" ht="14.1" customHeight="1">
      <c r="A83" s="60">
        <v>3</v>
      </c>
      <c r="B83" s="290" t="str">
        <f>IF(G32="","pt_R3(W46)",IF(G32&gt;I32,_xlfn.CONCAT("pt_R3(W46)-",RIGHT(F32,LEN(F32) - FIND("-",F32))), _xlfn.CONCAT("pt_R3(W46)-",RIGHT(H32,LEN(H32) - FIND("-",H32)))))</f>
        <v>pt_R3(W46)-680 BLUE</v>
      </c>
      <c r="C83" s="291" t="str">
        <f>IF(G31="","pt_S3(W43)",IF(G31&gt;I31,_xlfn.CONCAT("pt_S3(W43)-",RIGHT(F31,LEN(F31) - FIND("-",F31))), _xlfn.CONCAT("pt_S3(W43)-",RIGHT(H31,LEN(H31) - FIND("-",H31)))))</f>
        <v>pt_S3(W43)-SD DONS B</v>
      </c>
      <c r="D83" s="291" t="str">
        <f>IF(G30="","pt_T3(W40)",IF(G30&gt;I30,_xlfn.CONCAT("pt_T3(W40)-",RIGHT(F30,LEN(F30) - FIND("-",F30))), _xlfn.CONCAT("pt_T3(W40)-",RIGHT(H30,LEN(H30) - FIND("-",H30)))))</f>
        <v>pt_T3(W40)-GREENWICH WHITE</v>
      </c>
      <c r="E83" s="291" t="str">
        <f>IF(G29="","pt_U3(W37)",IF(G29&gt;I29,_xlfn.CONCAT("pt_U3(W37)-",RIGHT(F29,LEN(F29) - FIND("-",F29))), _xlfn.CONCAT("pt_U3(W37)-",RIGHT(H29,LEN(H29) - FIND("-",H29)))))</f>
        <v>pt_U3(W37)-CC UNITED BLUE</v>
      </c>
    </row>
    <row r="86" spans="1:15" ht="14.1" customHeight="1" thickBot="1">
      <c r="D86" s="65" t="str">
        <f>'CHICLETS MASTER S2'!C27</f>
        <v>EL TORO HS 2</v>
      </c>
      <c r="G86" s="60"/>
      <c r="I86" s="60"/>
    </row>
    <row r="87" spans="1:15" ht="14.1" customHeight="1">
      <c r="A87" s="342" t="s">
        <v>124</v>
      </c>
      <c r="B87" s="342" t="s">
        <v>125</v>
      </c>
      <c r="C87" s="342" t="s">
        <v>126</v>
      </c>
      <c r="D87" s="342" t="s">
        <v>127</v>
      </c>
      <c r="E87" s="342" t="s">
        <v>128</v>
      </c>
      <c r="F87" s="342" t="s">
        <v>129</v>
      </c>
      <c r="G87" s="342" t="s">
        <v>130</v>
      </c>
      <c r="H87" s="342" t="s">
        <v>131</v>
      </c>
      <c r="I87" s="342" t="s">
        <v>130</v>
      </c>
      <c r="J87" s="342" t="s">
        <v>132</v>
      </c>
      <c r="K87" s="342" t="s">
        <v>133</v>
      </c>
      <c r="L87" s="342" t="s">
        <v>134</v>
      </c>
    </row>
    <row r="88" spans="1:15" ht="14.1" customHeight="1">
      <c r="A88" s="69">
        <f>$A$73</f>
        <v>46227</v>
      </c>
      <c r="B88" s="70">
        <f>'CHICLETS MASTER S2'!A28</f>
        <v>0.29166666666666669</v>
      </c>
      <c r="C88" s="71" t="s">
        <v>218</v>
      </c>
      <c r="D88" s="119" t="str">
        <f>$D$86</f>
        <v>EL TORO HS 2</v>
      </c>
      <c r="E88" s="71">
        <v>49</v>
      </c>
      <c r="F88" s="90" t="str">
        <f>D77</f>
        <v>pt_O2(1st F)-CDM BLUE</v>
      </c>
      <c r="G88" s="93">
        <v>14</v>
      </c>
      <c r="H88" s="90" t="str">
        <f>D78</f>
        <v>pt_O3(1st K)(W21)-680 RED</v>
      </c>
      <c r="I88" s="93">
        <v>15</v>
      </c>
      <c r="J88" s="90"/>
      <c r="K88" s="90"/>
      <c r="L88" s="90" t="str">
        <f t="shared" ref="L88:L103" si="9">IF(E88="","",$L$13&amp;"-"&amp;TEXT(E88,"000"))</f>
        <v>10B-049</v>
      </c>
      <c r="O88" s="60" t="str">
        <f t="shared" ref="O88:O99" si="10">$K$130&amp;C88</f>
        <v>pt_Group</v>
      </c>
    </row>
    <row r="89" spans="1:15" ht="14.1" customHeight="1">
      <c r="A89" s="69">
        <f t="shared" ref="A89:A103" si="11">$A$73</f>
        <v>46227</v>
      </c>
      <c r="B89" s="70">
        <f>'CHICLETS MASTER S2'!A29</f>
        <v>0.3263888888888889</v>
      </c>
      <c r="C89" s="71" t="s">
        <v>218</v>
      </c>
      <c r="D89" s="119" t="str">
        <f t="shared" ref="D89:D99" si="12">$D$86</f>
        <v>EL TORO HS 2</v>
      </c>
      <c r="E89" s="71">
        <v>51</v>
      </c>
      <c r="F89" s="90" t="str">
        <f>E81</f>
        <v xml:space="preserve">pt_U1(W39)-LA JOLLA UNITED	</v>
      </c>
      <c r="G89" s="93">
        <v>9</v>
      </c>
      <c r="H89" s="90" t="str">
        <f>E82</f>
        <v>pt_U2(W38)-STANFORD RED</v>
      </c>
      <c r="I89" s="93">
        <v>18</v>
      </c>
      <c r="J89" s="90"/>
      <c r="K89" s="90"/>
      <c r="L89" s="90" t="str">
        <f t="shared" si="9"/>
        <v>10B-051</v>
      </c>
      <c r="O89" s="60" t="str">
        <f t="shared" si="10"/>
        <v>pt_Group</v>
      </c>
    </row>
    <row r="90" spans="1:15" ht="14.1" customHeight="1">
      <c r="A90" s="69">
        <f t="shared" si="11"/>
        <v>46227</v>
      </c>
      <c r="B90" s="70">
        <f>'CHICLETS MASTER S2'!A30</f>
        <v>0.36111111111111099</v>
      </c>
      <c r="C90" s="71" t="s">
        <v>218</v>
      </c>
      <c r="D90" s="119" t="str">
        <f t="shared" si="12"/>
        <v>EL TORO HS 2</v>
      </c>
      <c r="E90" s="71">
        <v>54</v>
      </c>
      <c r="F90" s="90" t="str">
        <f>B77</f>
        <v>pt_M2(1st H)-908 YELLOW</v>
      </c>
      <c r="G90" s="93">
        <v>14</v>
      </c>
      <c r="H90" s="90" t="str">
        <f>B78</f>
        <v>pt_M3(1st I)-CC UNITED BLACK</v>
      </c>
      <c r="I90" s="93">
        <v>4</v>
      </c>
      <c r="J90" s="90"/>
      <c r="K90" s="90"/>
      <c r="L90" s="90" t="str">
        <f t="shared" si="9"/>
        <v>10B-054</v>
      </c>
      <c r="O90" s="60" t="str">
        <f t="shared" si="10"/>
        <v>pt_Group</v>
      </c>
    </row>
    <row r="91" spans="1:15" ht="14.1" customHeight="1">
      <c r="A91" s="69">
        <f t="shared" si="11"/>
        <v>46227</v>
      </c>
      <c r="B91" s="70">
        <f>'CHICLETS MASTER S2'!A31</f>
        <v>0.39583333333333398</v>
      </c>
      <c r="C91" s="71" t="s">
        <v>218</v>
      </c>
      <c r="D91" s="119" t="str">
        <f t="shared" si="12"/>
        <v>EL TORO HS 2</v>
      </c>
      <c r="E91" s="71">
        <v>57</v>
      </c>
      <c r="F91" s="90" t="str">
        <f>C81</f>
        <v>pt_S1(W45)-ELITE</v>
      </c>
      <c r="G91" s="93">
        <v>21</v>
      </c>
      <c r="H91" s="90" t="str">
        <f>C82</f>
        <v>pt_S2(W44)-CDM WHITE</v>
      </c>
      <c r="I91" s="93">
        <v>11</v>
      </c>
      <c r="J91" s="90"/>
      <c r="K91" s="90"/>
      <c r="L91" s="90" t="str">
        <f t="shared" si="9"/>
        <v>10B-057</v>
      </c>
      <c r="O91" s="60" t="str">
        <f t="shared" si="10"/>
        <v>pt_Group</v>
      </c>
    </row>
    <row r="92" spans="1:15" ht="14.1" customHeight="1">
      <c r="A92" s="69">
        <f t="shared" si="11"/>
        <v>46227</v>
      </c>
      <c r="B92" s="70">
        <f>'CHICLETS MASTER S2'!A32</f>
        <v>0.43055555555555602</v>
      </c>
      <c r="C92" s="71" t="s">
        <v>218</v>
      </c>
      <c r="D92" s="119" t="str">
        <f t="shared" si="12"/>
        <v>EL TORO HS 2</v>
      </c>
      <c r="E92" s="71">
        <v>60</v>
      </c>
      <c r="F92" s="90" t="str">
        <f>D76</f>
        <v>pt_O1(1st C)-NEWPORT BEACH WHITE</v>
      </c>
      <c r="G92" s="93">
        <v>14</v>
      </c>
      <c r="H92" s="90" t="str">
        <f>D78</f>
        <v>pt_O3(1st K)(W21)-680 RED</v>
      </c>
      <c r="I92" s="93">
        <v>7</v>
      </c>
      <c r="J92" s="90"/>
      <c r="K92" s="90"/>
      <c r="L92" s="90" t="str">
        <f t="shared" si="9"/>
        <v>10B-060</v>
      </c>
      <c r="O92" s="60" t="str">
        <f t="shared" si="10"/>
        <v>pt_Group</v>
      </c>
    </row>
    <row r="93" spans="1:15" ht="14.1" customHeight="1">
      <c r="A93" s="69">
        <f t="shared" si="11"/>
        <v>46227</v>
      </c>
      <c r="B93" s="70">
        <f>'CHICLETS MASTER S2'!A33</f>
        <v>0.46527777777777801</v>
      </c>
      <c r="C93" s="71" t="s">
        <v>218</v>
      </c>
      <c r="D93" s="119" t="str">
        <f t="shared" si="12"/>
        <v>EL TORO HS 2</v>
      </c>
      <c r="E93" s="71">
        <v>63</v>
      </c>
      <c r="F93" s="90" t="str">
        <f>E81</f>
        <v xml:space="preserve">pt_U1(W39)-LA JOLLA UNITED	</v>
      </c>
      <c r="G93" s="93">
        <v>14</v>
      </c>
      <c r="H93" s="90" t="str">
        <f>E83</f>
        <v>pt_U3(W37)-CC UNITED BLUE</v>
      </c>
      <c r="I93" s="93">
        <v>5</v>
      </c>
      <c r="J93" s="90"/>
      <c r="K93" s="90"/>
      <c r="L93" s="90" t="str">
        <f t="shared" si="9"/>
        <v>10B-063</v>
      </c>
      <c r="O93" s="60" t="str">
        <f t="shared" si="10"/>
        <v>pt_Group</v>
      </c>
    </row>
    <row r="94" spans="1:15" ht="14.1" customHeight="1">
      <c r="A94" s="69">
        <f t="shared" si="11"/>
        <v>46227</v>
      </c>
      <c r="B94" s="70">
        <f>'CHICLETS MASTER S2'!A34</f>
        <v>0.5</v>
      </c>
      <c r="C94" s="71" t="s">
        <v>218</v>
      </c>
      <c r="D94" s="119" t="str">
        <f t="shared" si="12"/>
        <v>EL TORO HS 2</v>
      </c>
      <c r="E94" s="71">
        <v>66</v>
      </c>
      <c r="F94" s="90" t="str">
        <f>B76</f>
        <v>pt_M1(1st A)-SD DONS</v>
      </c>
      <c r="G94" s="93">
        <v>10</v>
      </c>
      <c r="H94" s="90" t="str">
        <f>B78</f>
        <v>pt_M3(1st I)-CC UNITED BLACK</v>
      </c>
      <c r="I94" s="93">
        <v>3</v>
      </c>
      <c r="J94" s="90"/>
      <c r="K94" s="90"/>
      <c r="L94" s="90" t="str">
        <f t="shared" si="9"/>
        <v>10B-066</v>
      </c>
      <c r="O94" s="60" t="str">
        <f t="shared" si="10"/>
        <v>pt_Group</v>
      </c>
    </row>
    <row r="95" spans="1:15" ht="14.1" customHeight="1">
      <c r="A95" s="69">
        <f t="shared" si="11"/>
        <v>46227</v>
      </c>
      <c r="B95" s="70">
        <f>'CHICLETS MASTER S2'!A35</f>
        <v>0.53472222222222199</v>
      </c>
      <c r="C95" s="71" t="s">
        <v>218</v>
      </c>
      <c r="D95" s="119" t="str">
        <f t="shared" si="12"/>
        <v>EL TORO HS 2</v>
      </c>
      <c r="E95" s="71">
        <v>69</v>
      </c>
      <c r="F95" s="90" t="str">
        <f>C81</f>
        <v>pt_S1(W45)-ELITE</v>
      </c>
      <c r="G95" s="93">
        <v>5</v>
      </c>
      <c r="H95" s="90" t="str">
        <f>C83</f>
        <v>pt_S3(W43)-SD DONS B</v>
      </c>
      <c r="I95" s="93">
        <v>7</v>
      </c>
      <c r="J95" s="90"/>
      <c r="K95" s="90"/>
      <c r="L95" s="90" t="str">
        <f t="shared" si="9"/>
        <v>10B-069</v>
      </c>
      <c r="O95" s="60" t="str">
        <f t="shared" si="10"/>
        <v>pt_Group</v>
      </c>
    </row>
    <row r="96" spans="1:15" ht="14.1" customHeight="1">
      <c r="A96" s="69">
        <f t="shared" si="11"/>
        <v>46227</v>
      </c>
      <c r="B96" s="70">
        <f>'CHICLETS MASTER S2'!A36</f>
        <v>0.56944444444444497</v>
      </c>
      <c r="C96" s="71" t="s">
        <v>218</v>
      </c>
      <c r="D96" s="119" t="str">
        <f t="shared" si="12"/>
        <v>EL TORO HS 2</v>
      </c>
      <c r="E96" s="71">
        <v>72</v>
      </c>
      <c r="F96" s="90" t="str">
        <f>D76</f>
        <v>pt_O1(1st C)-NEWPORT BEACH WHITE</v>
      </c>
      <c r="G96" s="93">
        <v>6</v>
      </c>
      <c r="H96" s="90" t="str">
        <f>D77</f>
        <v>pt_O2(1st F)-CDM BLUE</v>
      </c>
      <c r="I96" s="93">
        <v>7</v>
      </c>
      <c r="J96" s="90"/>
      <c r="K96" s="90"/>
      <c r="L96" s="90" t="str">
        <f t="shared" si="9"/>
        <v>10B-072</v>
      </c>
      <c r="O96" s="60" t="str">
        <f t="shared" si="10"/>
        <v>pt_Group</v>
      </c>
    </row>
    <row r="97" spans="1:15" ht="14.1" customHeight="1">
      <c r="A97" s="69">
        <f t="shared" si="11"/>
        <v>46227</v>
      </c>
      <c r="B97" s="70">
        <f>'CHICLETS MASTER S2'!A37</f>
        <v>0.60416666666666696</v>
      </c>
      <c r="C97" s="71" t="s">
        <v>218</v>
      </c>
      <c r="D97" s="119" t="str">
        <f t="shared" si="12"/>
        <v>EL TORO HS 2</v>
      </c>
      <c r="E97" s="71">
        <v>75</v>
      </c>
      <c r="F97" s="90" t="str">
        <f>E82</f>
        <v>pt_U2(W38)-STANFORD RED</v>
      </c>
      <c r="G97" s="93">
        <v>20</v>
      </c>
      <c r="H97" s="90" t="str">
        <f>E83</f>
        <v>pt_U3(W37)-CC UNITED BLUE</v>
      </c>
      <c r="I97" s="93">
        <v>5</v>
      </c>
      <c r="J97" s="90"/>
      <c r="K97" s="90"/>
      <c r="L97" s="90" t="str">
        <f t="shared" si="9"/>
        <v>10B-075</v>
      </c>
      <c r="O97" s="60" t="str">
        <f t="shared" si="10"/>
        <v>pt_Group</v>
      </c>
    </row>
    <row r="98" spans="1:15" ht="14.1" customHeight="1">
      <c r="A98" s="69">
        <f t="shared" si="11"/>
        <v>46227</v>
      </c>
      <c r="B98" s="70">
        <f>'CHICLETS MASTER S2'!A38</f>
        <v>0.63888888888888895</v>
      </c>
      <c r="C98" s="71" t="s">
        <v>218</v>
      </c>
      <c r="D98" s="119" t="str">
        <f t="shared" si="12"/>
        <v>EL TORO HS 2</v>
      </c>
      <c r="E98" s="71">
        <v>78</v>
      </c>
      <c r="F98" s="90" t="str">
        <f>B76</f>
        <v>pt_M1(1st A)-SD DONS</v>
      </c>
      <c r="G98" s="93">
        <v>13</v>
      </c>
      <c r="H98" s="90" t="str">
        <f>B77</f>
        <v>pt_M2(1st H)-908 YELLOW</v>
      </c>
      <c r="I98" s="93">
        <v>6</v>
      </c>
      <c r="J98" s="90"/>
      <c r="K98" s="90"/>
      <c r="L98" s="90" t="str">
        <f t="shared" si="9"/>
        <v>10B-078</v>
      </c>
      <c r="O98" s="60" t="str">
        <f t="shared" si="10"/>
        <v>pt_Group</v>
      </c>
    </row>
    <row r="99" spans="1:15" ht="14.1" customHeight="1">
      <c r="A99" s="69">
        <f t="shared" si="11"/>
        <v>46227</v>
      </c>
      <c r="B99" s="70">
        <f>'CHICLETS MASTER S2'!A39</f>
        <v>0.67361111111111105</v>
      </c>
      <c r="C99" s="71" t="s">
        <v>218</v>
      </c>
      <c r="D99" s="119" t="str">
        <f t="shared" si="12"/>
        <v>EL TORO HS 2</v>
      </c>
      <c r="E99" s="71">
        <v>81</v>
      </c>
      <c r="F99" s="90" t="str">
        <f>C82</f>
        <v>pt_S2(W44)-CDM WHITE</v>
      </c>
      <c r="G99" s="93">
        <v>2</v>
      </c>
      <c r="H99" s="90" t="str">
        <f>C83</f>
        <v>pt_S3(W43)-SD DONS B</v>
      </c>
      <c r="I99" s="93">
        <v>14</v>
      </c>
      <c r="J99" s="90"/>
      <c r="K99" s="90"/>
      <c r="L99" s="90" t="str">
        <f t="shared" si="9"/>
        <v>10B-081</v>
      </c>
      <c r="O99" s="60" t="str">
        <f t="shared" si="10"/>
        <v>pt_Group</v>
      </c>
    </row>
    <row r="100" spans="1:15" ht="14.1" customHeight="1">
      <c r="B100" s="60" t="s">
        <v>139</v>
      </c>
      <c r="G100" s="60"/>
      <c r="I100" s="60"/>
    </row>
    <row r="101" spans="1:15" ht="14.1" customHeight="1">
      <c r="B101" s="60" t="s">
        <v>139</v>
      </c>
      <c r="G101" s="60"/>
      <c r="I101" s="60"/>
    </row>
    <row r="102" spans="1:15" ht="14.1" customHeight="1">
      <c r="A102" s="69">
        <f t="shared" si="11"/>
        <v>46227</v>
      </c>
      <c r="B102" s="70">
        <f>'CHICLETS MASTER S2'!A42</f>
        <v>0.77777777777777801</v>
      </c>
      <c r="C102" s="71" t="s">
        <v>219</v>
      </c>
      <c r="D102" s="119" t="str">
        <f>$D$86</f>
        <v>EL TORO HS 2</v>
      </c>
      <c r="E102" s="71">
        <v>85</v>
      </c>
      <c r="F102" s="90" t="s">
        <v>220</v>
      </c>
      <c r="G102" s="93">
        <v>7</v>
      </c>
      <c r="H102" s="292" t="s">
        <v>221</v>
      </c>
      <c r="I102" s="93">
        <v>4</v>
      </c>
      <c r="J102" s="90">
        <v>89</v>
      </c>
      <c r="K102" s="90">
        <v>105</v>
      </c>
      <c r="L102" s="90" t="str">
        <f t="shared" si="9"/>
        <v>10B-085</v>
      </c>
      <c r="O102" s="60" t="str">
        <f>$K$130&amp;C102</f>
        <v>pt_Play-in</v>
      </c>
    </row>
    <row r="103" spans="1:15" ht="14.1" customHeight="1">
      <c r="A103" s="69">
        <f t="shared" si="11"/>
        <v>46227</v>
      </c>
      <c r="B103" s="70">
        <f>'CHICLETS MASTER S2'!A43</f>
        <v>0.8125</v>
      </c>
      <c r="C103" s="71" t="s">
        <v>219</v>
      </c>
      <c r="D103" s="119" t="str">
        <f>$D$86</f>
        <v>EL TORO HS 2</v>
      </c>
      <c r="E103" s="71">
        <v>87</v>
      </c>
      <c r="F103" s="292" t="s">
        <v>222</v>
      </c>
      <c r="G103" s="93">
        <v>13</v>
      </c>
      <c r="H103" s="90" t="s">
        <v>223</v>
      </c>
      <c r="I103" s="93">
        <v>1</v>
      </c>
      <c r="J103" s="90">
        <v>98</v>
      </c>
      <c r="K103" s="90">
        <v>102</v>
      </c>
      <c r="L103" s="90" t="str">
        <f t="shared" si="9"/>
        <v>10B-087</v>
      </c>
      <c r="O103" s="60" t="str">
        <f>$K$130&amp;C103</f>
        <v>pt_Play-in</v>
      </c>
    </row>
    <row r="104" spans="1:15" ht="14.1" customHeight="1" thickBot="1">
      <c r="A104" s="98"/>
      <c r="B104" s="79"/>
    </row>
    <row r="105" spans="1:15" ht="14.1" customHeight="1" thickBot="1">
      <c r="D105" s="65" t="str">
        <f>'CHICLETS MASTER S2'!D27</f>
        <v>EL TORO HS 3</v>
      </c>
    </row>
    <row r="106" spans="1:15" ht="14.1" customHeight="1">
      <c r="A106" s="342" t="s">
        <v>124</v>
      </c>
      <c r="B106" s="342" t="s">
        <v>125</v>
      </c>
      <c r="C106" s="342" t="s">
        <v>126</v>
      </c>
      <c r="D106" s="342" t="s">
        <v>127</v>
      </c>
      <c r="E106" s="342" t="s">
        <v>128</v>
      </c>
      <c r="F106" s="342" t="s">
        <v>129</v>
      </c>
      <c r="G106" s="342" t="s">
        <v>130</v>
      </c>
      <c r="H106" s="342" t="s">
        <v>131</v>
      </c>
      <c r="I106" s="342" t="s">
        <v>130</v>
      </c>
      <c r="J106" s="342" t="s">
        <v>132</v>
      </c>
      <c r="K106" s="342" t="s">
        <v>133</v>
      </c>
      <c r="L106" s="342" t="s">
        <v>134</v>
      </c>
    </row>
    <row r="107" spans="1:15" ht="14.1" customHeight="1">
      <c r="A107" s="69">
        <f t="shared" ref="A107:A118" si="13">$A$73</f>
        <v>46227</v>
      </c>
      <c r="B107" s="70">
        <f>'CHICLETS MASTER S2'!A28</f>
        <v>0.29166666666666669</v>
      </c>
      <c r="C107" s="71" t="s">
        <v>218</v>
      </c>
      <c r="D107" s="119" t="str">
        <f>$D$105</f>
        <v>EL TORO HS 3</v>
      </c>
      <c r="E107" s="71">
        <v>50</v>
      </c>
      <c r="F107" s="90" t="str">
        <f>E77</f>
        <v>pt_P2(1st E)-GREENWICH BLUE</v>
      </c>
      <c r="G107" s="93">
        <v>6</v>
      </c>
      <c r="H107" s="90" t="str">
        <f>E78</f>
        <v>pt_P3(1st L)-TEMPLE CITY YELLOW</v>
      </c>
      <c r="I107" s="93">
        <v>9</v>
      </c>
      <c r="J107" s="90"/>
      <c r="K107" s="90"/>
      <c r="L107" s="90" t="str">
        <f t="shared" ref="L107:L122" si="14">IF(E107="","",$L$13&amp;"-"&amp;TEXT(E107,"000"))</f>
        <v>10B-050</v>
      </c>
      <c r="O107" s="60" t="str">
        <f t="shared" ref="O107:O118" si="15">$K$130&amp;C107</f>
        <v>pt_Group</v>
      </c>
    </row>
    <row r="108" spans="1:15" ht="14.1" customHeight="1">
      <c r="A108" s="69">
        <f t="shared" si="13"/>
        <v>46227</v>
      </c>
      <c r="B108" s="70">
        <f>'CHICLETS MASTER S2'!A29</f>
        <v>0.3263888888888889</v>
      </c>
      <c r="C108" s="71" t="s">
        <v>218</v>
      </c>
      <c r="D108" s="119" t="str">
        <f t="shared" ref="D108:D118" si="16">$D$105</f>
        <v>EL TORO HS 3</v>
      </c>
      <c r="E108" s="71">
        <v>52</v>
      </c>
      <c r="F108" s="90" t="str">
        <f>D81</f>
        <v>pt_T1(W42)-CAL REPUBLIC</v>
      </c>
      <c r="G108" s="93">
        <v>7</v>
      </c>
      <c r="H108" s="90" t="str">
        <f>D82</f>
        <v>pt_T2(W41)-ORWP</v>
      </c>
      <c r="I108" s="93">
        <v>9</v>
      </c>
      <c r="J108" s="90"/>
      <c r="K108" s="90"/>
      <c r="L108" s="90" t="str">
        <f t="shared" si="14"/>
        <v>10B-052</v>
      </c>
      <c r="O108" s="60" t="str">
        <f t="shared" si="15"/>
        <v>pt_Group</v>
      </c>
    </row>
    <row r="109" spans="1:15" ht="14.1" customHeight="1">
      <c r="A109" s="69">
        <f t="shared" si="13"/>
        <v>46227</v>
      </c>
      <c r="B109" s="70">
        <f>'CHICLETS MASTER S2'!A30</f>
        <v>0.36111111111111099</v>
      </c>
      <c r="C109" s="71" t="s">
        <v>218</v>
      </c>
      <c r="D109" s="119" t="str">
        <f t="shared" si="16"/>
        <v>EL TORO HS 3</v>
      </c>
      <c r="E109" s="71">
        <v>55</v>
      </c>
      <c r="F109" s="90" t="str">
        <f>C77</f>
        <v>pt_N2(1st G)-SAN CLEMENTE RED</v>
      </c>
      <c r="G109" s="93">
        <v>14</v>
      </c>
      <c r="H109" s="90" t="str">
        <f>C78</f>
        <v>pt_N3(1st J)-SOCAL BLACK</v>
      </c>
      <c r="I109" s="93">
        <v>7</v>
      </c>
      <c r="J109" s="90"/>
      <c r="K109" s="90"/>
      <c r="L109" s="90" t="str">
        <f t="shared" si="14"/>
        <v>10B-055</v>
      </c>
      <c r="O109" s="60" t="str">
        <f t="shared" si="15"/>
        <v>pt_Group</v>
      </c>
    </row>
    <row r="110" spans="1:15" ht="14.1" customHeight="1">
      <c r="A110" s="69">
        <f t="shared" si="13"/>
        <v>46227</v>
      </c>
      <c r="B110" s="70">
        <f>'CHICLETS MASTER S2'!A31</f>
        <v>0.39583333333333398</v>
      </c>
      <c r="C110" s="71" t="s">
        <v>218</v>
      </c>
      <c r="D110" s="119" t="str">
        <f t="shared" si="16"/>
        <v>EL TORO HS 3</v>
      </c>
      <c r="E110" s="71">
        <v>58</v>
      </c>
      <c r="F110" s="90" t="str">
        <f>B81</f>
        <v>pt_R1(2nd L)-NORTHWEST</v>
      </c>
      <c r="G110" s="93">
        <v>5</v>
      </c>
      <c r="H110" s="90" t="str">
        <f>B82</f>
        <v>pt_R2(W47)-LAMORINDA BLUE</v>
      </c>
      <c r="I110" s="93">
        <v>17</v>
      </c>
      <c r="J110" s="90"/>
      <c r="K110" s="90"/>
      <c r="L110" s="90" t="str">
        <f t="shared" si="14"/>
        <v>10B-058</v>
      </c>
      <c r="O110" s="60" t="str">
        <f t="shared" si="15"/>
        <v>pt_Group</v>
      </c>
    </row>
    <row r="111" spans="1:15" ht="14.1" customHeight="1">
      <c r="A111" s="69">
        <f t="shared" si="13"/>
        <v>46227</v>
      </c>
      <c r="B111" s="70">
        <f>'CHICLETS MASTER S2'!A32</f>
        <v>0.43055555555555602</v>
      </c>
      <c r="C111" s="71" t="s">
        <v>218</v>
      </c>
      <c r="D111" s="119" t="str">
        <f t="shared" si="16"/>
        <v>EL TORO HS 3</v>
      </c>
      <c r="E111" s="71">
        <v>61</v>
      </c>
      <c r="F111" s="90" t="str">
        <f>E76</f>
        <v>pt_P1(1st D)-COMMERCE</v>
      </c>
      <c r="G111" s="93">
        <v>12</v>
      </c>
      <c r="H111" s="90" t="str">
        <f>E78</f>
        <v>pt_P3(1st L)-TEMPLE CITY YELLOW</v>
      </c>
      <c r="I111" s="93">
        <v>7</v>
      </c>
      <c r="J111" s="90"/>
      <c r="K111" s="90"/>
      <c r="L111" s="90" t="str">
        <f t="shared" si="14"/>
        <v>10B-061</v>
      </c>
      <c r="O111" s="60" t="str">
        <f t="shared" si="15"/>
        <v>pt_Group</v>
      </c>
    </row>
    <row r="112" spans="1:15" ht="14.1" customHeight="1">
      <c r="A112" s="69">
        <f t="shared" si="13"/>
        <v>46227</v>
      </c>
      <c r="B112" s="70">
        <f>'CHICLETS MASTER S2'!A33</f>
        <v>0.46527777777777801</v>
      </c>
      <c r="C112" s="71" t="s">
        <v>218</v>
      </c>
      <c r="D112" s="119" t="str">
        <f t="shared" si="16"/>
        <v>EL TORO HS 3</v>
      </c>
      <c r="E112" s="71">
        <v>64</v>
      </c>
      <c r="F112" s="90" t="str">
        <f>D81</f>
        <v>pt_T1(W42)-CAL REPUBLIC</v>
      </c>
      <c r="G112" s="93">
        <v>14</v>
      </c>
      <c r="H112" s="90" t="str">
        <f>D83</f>
        <v>pt_T3(W40)-GREENWICH WHITE</v>
      </c>
      <c r="I112" s="93">
        <v>10</v>
      </c>
      <c r="J112" s="90"/>
      <c r="K112" s="90"/>
      <c r="L112" s="90" t="str">
        <f t="shared" si="14"/>
        <v>10B-064</v>
      </c>
      <c r="O112" s="60" t="str">
        <f t="shared" si="15"/>
        <v>pt_Group</v>
      </c>
    </row>
    <row r="113" spans="1:15" ht="14.1" customHeight="1">
      <c r="A113" s="69">
        <f t="shared" si="13"/>
        <v>46227</v>
      </c>
      <c r="B113" s="70">
        <f>'CHICLETS MASTER S2'!A34</f>
        <v>0.5</v>
      </c>
      <c r="C113" s="71" t="s">
        <v>218</v>
      </c>
      <c r="D113" s="119" t="str">
        <f t="shared" si="16"/>
        <v>EL TORO HS 3</v>
      </c>
      <c r="E113" s="71">
        <v>67</v>
      </c>
      <c r="F113" s="90" t="str">
        <f>C76</f>
        <v>pt_N1(1st B)-NEWPORT BEACH BLUE</v>
      </c>
      <c r="G113" s="93">
        <v>21</v>
      </c>
      <c r="H113" s="90" t="str">
        <f>C78</f>
        <v>pt_N3(1st J)-SOCAL BLACK</v>
      </c>
      <c r="I113" s="93">
        <v>1</v>
      </c>
      <c r="J113" s="90"/>
      <c r="K113" s="90"/>
      <c r="L113" s="90" t="str">
        <f t="shared" si="14"/>
        <v>10B-067</v>
      </c>
      <c r="O113" s="60" t="str">
        <f t="shared" si="15"/>
        <v>pt_Group</v>
      </c>
    </row>
    <row r="114" spans="1:15" ht="14.1" customHeight="1">
      <c r="A114" s="69">
        <f t="shared" si="13"/>
        <v>46227</v>
      </c>
      <c r="B114" s="70">
        <f>'CHICLETS MASTER S2'!A35</f>
        <v>0.53472222222222199</v>
      </c>
      <c r="C114" s="71" t="s">
        <v>218</v>
      </c>
      <c r="D114" s="119" t="str">
        <f t="shared" si="16"/>
        <v>EL TORO HS 3</v>
      </c>
      <c r="E114" s="71">
        <v>70</v>
      </c>
      <c r="F114" s="90" t="str">
        <f>B81</f>
        <v>pt_R1(2nd L)-NORTHWEST</v>
      </c>
      <c r="G114" s="93">
        <v>5</v>
      </c>
      <c r="H114" s="90" t="str">
        <f>B83</f>
        <v>pt_R3(W46)-680 BLUE</v>
      </c>
      <c r="I114" s="93">
        <v>8</v>
      </c>
      <c r="J114" s="90"/>
      <c r="K114" s="90"/>
      <c r="L114" s="90" t="str">
        <f t="shared" si="14"/>
        <v>10B-070</v>
      </c>
      <c r="O114" s="60" t="str">
        <f t="shared" si="15"/>
        <v>pt_Group</v>
      </c>
    </row>
    <row r="115" spans="1:15" ht="14.1" customHeight="1">
      <c r="A115" s="69">
        <f t="shared" si="13"/>
        <v>46227</v>
      </c>
      <c r="B115" s="70">
        <f>'CHICLETS MASTER S2'!A36</f>
        <v>0.56944444444444497</v>
      </c>
      <c r="C115" s="71" t="s">
        <v>218</v>
      </c>
      <c r="D115" s="119" t="str">
        <f t="shared" si="16"/>
        <v>EL TORO HS 3</v>
      </c>
      <c r="E115" s="71">
        <v>73</v>
      </c>
      <c r="F115" s="90" t="str">
        <f>E76</f>
        <v>pt_P1(1st D)-COMMERCE</v>
      </c>
      <c r="G115" s="93">
        <v>13</v>
      </c>
      <c r="H115" s="90" t="str">
        <f>E77</f>
        <v>pt_P2(1st E)-GREENWICH BLUE</v>
      </c>
      <c r="I115" s="93">
        <v>4</v>
      </c>
      <c r="J115" s="90"/>
      <c r="K115" s="90"/>
      <c r="L115" s="90" t="str">
        <f t="shared" si="14"/>
        <v>10B-073</v>
      </c>
      <c r="O115" s="60" t="str">
        <f t="shared" si="15"/>
        <v>pt_Group</v>
      </c>
    </row>
    <row r="116" spans="1:15" ht="14.1" customHeight="1">
      <c r="A116" s="69">
        <f t="shared" si="13"/>
        <v>46227</v>
      </c>
      <c r="B116" s="70">
        <f>'CHICLETS MASTER S2'!A37</f>
        <v>0.60416666666666696</v>
      </c>
      <c r="C116" s="71" t="s">
        <v>218</v>
      </c>
      <c r="D116" s="119" t="str">
        <f t="shared" si="16"/>
        <v>EL TORO HS 3</v>
      </c>
      <c r="E116" s="71">
        <v>76</v>
      </c>
      <c r="F116" s="90" t="str">
        <f>D82</f>
        <v>pt_T2(W41)-ORWP</v>
      </c>
      <c r="G116" s="93">
        <v>9</v>
      </c>
      <c r="H116" s="90" t="str">
        <f>D83</f>
        <v>pt_T3(W40)-GREENWICH WHITE</v>
      </c>
      <c r="I116" s="93">
        <v>4</v>
      </c>
      <c r="J116" s="90"/>
      <c r="K116" s="90"/>
      <c r="L116" s="90" t="str">
        <f t="shared" si="14"/>
        <v>10B-076</v>
      </c>
      <c r="O116" s="60" t="str">
        <f t="shared" si="15"/>
        <v>pt_Group</v>
      </c>
    </row>
    <row r="117" spans="1:15" ht="14.1" customHeight="1">
      <c r="A117" s="69">
        <f t="shared" si="13"/>
        <v>46227</v>
      </c>
      <c r="B117" s="70">
        <f>'CHICLETS MASTER S2'!A38</f>
        <v>0.63888888888888895</v>
      </c>
      <c r="C117" s="71" t="s">
        <v>218</v>
      </c>
      <c r="D117" s="119" t="str">
        <f t="shared" si="16"/>
        <v>EL TORO HS 3</v>
      </c>
      <c r="E117" s="71">
        <v>79</v>
      </c>
      <c r="F117" s="90" t="str">
        <f>C76</f>
        <v>pt_N1(1st B)-NEWPORT BEACH BLUE</v>
      </c>
      <c r="G117" s="93">
        <v>20</v>
      </c>
      <c r="H117" s="90" t="str">
        <f>C77</f>
        <v>pt_N2(1st G)-SAN CLEMENTE RED</v>
      </c>
      <c r="I117" s="93">
        <v>0</v>
      </c>
      <c r="J117" s="90"/>
      <c r="K117" s="90"/>
      <c r="L117" s="90" t="str">
        <f t="shared" si="14"/>
        <v>10B-079</v>
      </c>
      <c r="O117" s="60" t="str">
        <f t="shared" si="15"/>
        <v>pt_Group</v>
      </c>
    </row>
    <row r="118" spans="1:15" ht="14.1" customHeight="1">
      <c r="A118" s="69">
        <f t="shared" si="13"/>
        <v>46227</v>
      </c>
      <c r="B118" s="70">
        <f>'CHICLETS MASTER S2'!A39</f>
        <v>0.67361111111111105</v>
      </c>
      <c r="C118" s="71" t="s">
        <v>218</v>
      </c>
      <c r="D118" s="119" t="str">
        <f t="shared" si="16"/>
        <v>EL TORO HS 3</v>
      </c>
      <c r="E118" s="71">
        <v>82</v>
      </c>
      <c r="F118" s="90" t="str">
        <f>B82</f>
        <v>pt_R2(W47)-LAMORINDA BLUE</v>
      </c>
      <c r="G118" s="93">
        <v>14</v>
      </c>
      <c r="H118" s="90" t="str">
        <f>B83</f>
        <v>pt_R3(W46)-680 BLUE</v>
      </c>
      <c r="I118" s="93">
        <v>4</v>
      </c>
      <c r="J118" s="90"/>
      <c r="K118" s="90"/>
      <c r="L118" s="90" t="str">
        <f t="shared" si="14"/>
        <v>10B-082</v>
      </c>
      <c r="O118" s="60" t="str">
        <f t="shared" si="15"/>
        <v>pt_Group</v>
      </c>
    </row>
    <row r="119" spans="1:15" ht="14.1" customHeight="1">
      <c r="B119" s="60" t="s">
        <v>139</v>
      </c>
      <c r="G119" s="60"/>
      <c r="I119" s="60"/>
    </row>
    <row r="120" spans="1:15" ht="14.1" customHeight="1">
      <c r="B120" s="60" t="s">
        <v>139</v>
      </c>
      <c r="G120" s="60"/>
      <c r="I120" s="60"/>
    </row>
    <row r="121" spans="1:15" ht="14.1" customHeight="1">
      <c r="A121" s="69">
        <f t="shared" ref="A121:A122" si="17">$A$73</f>
        <v>46227</v>
      </c>
      <c r="B121" s="70">
        <f>'CHICLETS MASTER S2'!A42</f>
        <v>0.77777777777777801</v>
      </c>
      <c r="C121" s="71" t="s">
        <v>219</v>
      </c>
      <c r="D121" s="119" t="str">
        <f>$D$105</f>
        <v>EL TORO HS 3</v>
      </c>
      <c r="E121" s="71">
        <v>86</v>
      </c>
      <c r="F121" s="292" t="s">
        <v>224</v>
      </c>
      <c r="G121" s="93">
        <v>10</v>
      </c>
      <c r="H121" s="292" t="s">
        <v>225</v>
      </c>
      <c r="I121" s="93">
        <v>7</v>
      </c>
      <c r="J121" s="90">
        <v>95</v>
      </c>
      <c r="K121" s="90">
        <v>99</v>
      </c>
      <c r="L121" s="90" t="str">
        <f t="shared" si="14"/>
        <v>10B-086</v>
      </c>
      <c r="O121" s="60" t="str">
        <f>$K$130&amp;C121</f>
        <v>pt_Play-in</v>
      </c>
    </row>
    <row r="122" spans="1:15" ht="14.1" customHeight="1">
      <c r="A122" s="69">
        <f t="shared" si="17"/>
        <v>46227</v>
      </c>
      <c r="B122" s="70">
        <f>'CHICLETS MASTER S2'!A43</f>
        <v>0.8125</v>
      </c>
      <c r="C122" s="71" t="s">
        <v>219</v>
      </c>
      <c r="D122" s="119" t="str">
        <f>$D$105</f>
        <v>EL TORO HS 3</v>
      </c>
      <c r="E122" s="71">
        <v>88</v>
      </c>
      <c r="F122" s="90" t="s">
        <v>226</v>
      </c>
      <c r="G122" s="97">
        <v>11.1</v>
      </c>
      <c r="H122" s="90" t="s">
        <v>227</v>
      </c>
      <c r="I122" s="97">
        <v>11.2</v>
      </c>
      <c r="J122" s="90">
        <v>92</v>
      </c>
      <c r="K122" s="90">
        <v>96</v>
      </c>
      <c r="L122" s="90" t="str">
        <f t="shared" si="14"/>
        <v>10B-088</v>
      </c>
      <c r="O122" s="60" t="str">
        <f>$K$130&amp;C122</f>
        <v>pt_Play-in</v>
      </c>
    </row>
    <row r="123" spans="1:15" ht="14.1" customHeight="1">
      <c r="A123" s="98"/>
      <c r="B123" s="79"/>
    </row>
    <row r="124" spans="1:15" ht="14.1" customHeight="1">
      <c r="B124" s="347"/>
      <c r="C124" s="347"/>
      <c r="D124" s="347"/>
      <c r="E124" s="347"/>
    </row>
    <row r="125" spans="1:15" ht="14.1" customHeight="1">
      <c r="A125" s="60" t="s">
        <v>228</v>
      </c>
      <c r="B125" s="153" t="s">
        <v>229</v>
      </c>
      <c r="C125" s="153" t="s">
        <v>230</v>
      </c>
      <c r="D125" s="153" t="s">
        <v>231</v>
      </c>
      <c r="E125" s="347"/>
    </row>
    <row r="126" spans="1:15" ht="14.1" customHeight="1">
      <c r="B126" s="283" t="str">
        <f>IF(G30="","au_M1(L40)",IF(G30&lt;I30,_xlfn.CONCAT("au_M1(L40)-",RIGHT(F30,LEN(F30) - FIND("-",F30))), _xlfn.CONCAT("au_M1(L40)-",RIGHT(H30,LEN(H30) - FIND("-",H30)))))</f>
        <v xml:space="preserve">au_M1(L40)-SAN CLEMENTE BLACK	</v>
      </c>
      <c r="C126" s="283" t="str">
        <f>IF(G29="","au_N1(L37)",IF(G29&lt;I29,_xlfn.CONCAT("au_N1(L37)-",RIGHT(F29,LEN(F29) - FIND("-",F29))), _xlfn.CONCAT("au_N1(L37)-",RIGHT(H29,LEN(H29) - FIND("-",H29)))))</f>
        <v>au_N1(L37)-NORCAL BLACK</v>
      </c>
      <c r="D126" s="67" t="str">
        <f>IF(G31="","au_O1(L43)",IF(G31&lt;I31,_xlfn.CONCAT("au_O1(L43)-",RIGHT(F31,LEN(F31) - FIND("-",F31))), _xlfn.CONCAT("au_O1(L43)-",RIGHT(H31,LEN(H31) - FIND("-",H31)))))</f>
        <v>au_O1(L43)-SOCAL GOLD</v>
      </c>
      <c r="E126" s="347"/>
    </row>
    <row r="127" spans="1:15" ht="14.1" customHeight="1">
      <c r="B127" s="283" t="str">
        <f>IF(G50="","au_M2(L41)",IF(G50&lt;I50,_xlfn.CONCAT("au_M2(L41)-",RIGHT(F50,LEN(F50) - FIND("-",F50))), _xlfn.CONCAT("au_M2(L41)-",RIGHT(H50,LEN(H50) - FIND("-",H50)))))</f>
        <v>au_M2(L41)-680 WHITE</v>
      </c>
      <c r="C127" s="283" t="str">
        <f>IF(G49="","au_N2(L38)",IF(G49&lt;I49,_xlfn.CONCAT("au_N2(L38)-",RIGHT(F49,LEN(F49) - FIND("-",F49))), _xlfn.CONCAT("au_N2(L38)-",RIGHT(H49,LEN(H49) - FIND("-",H49)))))</f>
        <v>au_N2(L38)-STANFORD BLACK</v>
      </c>
      <c r="D127" s="67" t="str">
        <f>IF(G51="","au_O2(L44)",IF(G51&lt;I51,_xlfn.CONCAT("au_O2(L44)-",RIGHT(F51,LEN(F51) - FIND("-",F51))), _xlfn.CONCAT("au_O2(L44)-",RIGHT(H51,LEN(H51) - FIND("-",H51)))))</f>
        <v>au_O2(L44)-SHAQ</v>
      </c>
      <c r="E127" s="347"/>
    </row>
    <row r="128" spans="1:15" ht="14.1" customHeight="1">
      <c r="B128" s="283" t="str">
        <f>IF(G69="","au_M3(L42)",IF(G69&lt;I69,_xlfn.CONCAT("au_M3(L42)-",RIGHT(F69,LEN(F69) - FIND("-",F69))), _xlfn.CONCAT("au_M3(L42)-",RIGHT(H69,LEN(H69) - FIND("-",H69)))))</f>
        <v>au_M3(L42)-LAMORINDA GOLD</v>
      </c>
      <c r="C128" s="283" t="str">
        <f>IF(G68="","au_N3(L39)",IF(G68&lt;I68,_xlfn.CONCAT("au_N3(L39)-",RIGHT(F68,LEN(F68) - FIND("-",F68))), _xlfn.CONCAT("au_N3(L39)-",RIGHT(H68,LEN(H68) - FIND("-",H68)))))</f>
        <v>au_N3(L39)-LAMORINDA WHITE</v>
      </c>
      <c r="D128" s="67" t="str">
        <f>IF(G70="","au_O3(L45)",IF(G70&lt;I70,_xlfn.CONCAT("au_O3(L45)-",RIGHT(F70,LEN(F70) - FIND("-",F70))), _xlfn.CONCAT("au_O3(L45)-",RIGHT(H70,LEN(H70) - FIND("-",H70)))))</f>
        <v>au_O3(L45)-TEMPLE CITY BLACK</v>
      </c>
      <c r="E128" s="347"/>
    </row>
    <row r="129" spans="1:15" ht="14.1" customHeight="1">
      <c r="B129" s="283"/>
      <c r="C129" s="283" t="str">
        <f>IF(G32="","au_N4(L46)",IF(G32&lt;I32,_xlfn.CONCAT("au_N4(L46)-",RIGHT(F32,LEN(F32) - FIND("-",F32))), _xlfn.CONCAT("au_N4(L46)-",RIGHT(H32,LEN(H32) - FIND("-",H32)))))</f>
        <v>au_N4(L46)-YOLO</v>
      </c>
      <c r="D129" s="113" t="str">
        <f>IF(G52="","au_O4(L47)",IF(G52&lt;I52,_xlfn.CONCAT("au_O4(L47)-",RIGHT(F52,LEN(F52) - FIND("-",F52))), _xlfn.CONCAT("au_O4(L47)-",RIGHT(H52,LEN(H52) - FIND("-",H52)))))</f>
        <v>au_O4(L47)-LB SHORE</v>
      </c>
      <c r="E129" s="347"/>
    </row>
    <row r="130" spans="1:15" ht="14.1" customHeight="1">
      <c r="B130" s="79"/>
      <c r="K130" s="60" t="s">
        <v>232</v>
      </c>
    </row>
    <row r="131" spans="1:15" ht="14.1" customHeight="1" thickBot="1">
      <c r="B131" s="79"/>
      <c r="K131" s="60" t="s">
        <v>233</v>
      </c>
    </row>
    <row r="132" spans="1:15" ht="14.1" customHeight="1" thickBot="1">
      <c r="D132" s="65" t="str">
        <f>'CHICLETS MASTER S2'!B27</f>
        <v>EL TORO HS 1</v>
      </c>
    </row>
    <row r="133" spans="1:15" ht="14.1" customHeight="1">
      <c r="A133" s="342" t="s">
        <v>124</v>
      </c>
      <c r="B133" s="342" t="s">
        <v>125</v>
      </c>
      <c r="C133" s="342" t="s">
        <v>126</v>
      </c>
      <c r="D133" s="342" t="s">
        <v>127</v>
      </c>
      <c r="E133" s="342" t="s">
        <v>128</v>
      </c>
      <c r="F133" s="342" t="s">
        <v>129</v>
      </c>
      <c r="G133" s="342" t="s">
        <v>130</v>
      </c>
      <c r="H133" s="342" t="s">
        <v>131</v>
      </c>
      <c r="I133" s="342" t="s">
        <v>130</v>
      </c>
      <c r="J133" s="342" t="s">
        <v>132</v>
      </c>
      <c r="K133" s="342" t="s">
        <v>133</v>
      </c>
      <c r="L133" s="342" t="s">
        <v>134</v>
      </c>
    </row>
    <row r="134" spans="1:15" ht="14.1" customHeight="1">
      <c r="A134" s="69">
        <f t="shared" ref="A134:A145" si="18">$A$73</f>
        <v>46227</v>
      </c>
      <c r="B134" s="70">
        <f>'CHICLETS MASTER S2'!A30</f>
        <v>0.36111111111111099</v>
      </c>
      <c r="C134" s="71" t="s">
        <v>218</v>
      </c>
      <c r="D134" s="119" t="str">
        <f>$D$132</f>
        <v>EL TORO HS 1</v>
      </c>
      <c r="E134" s="71">
        <v>53</v>
      </c>
      <c r="F134" s="155" t="str">
        <f>B127</f>
        <v>au_M2(L41)-680 WHITE</v>
      </c>
      <c r="G134" s="155">
        <v>13</v>
      </c>
      <c r="H134" s="155" t="str">
        <f>B128</f>
        <v>au_M3(L42)-LAMORINDA GOLD</v>
      </c>
      <c r="I134" s="155">
        <v>18</v>
      </c>
      <c r="J134" s="155" t="s">
        <v>234</v>
      </c>
      <c r="K134" s="155" t="s">
        <v>234</v>
      </c>
      <c r="L134" s="155" t="str">
        <f t="shared" ref="L134:L145" si="19">IF(E134="","",$L$13&amp;"-"&amp;TEXT(E134,"000"))</f>
        <v>10B-053</v>
      </c>
      <c r="O134" s="60" t="str">
        <f>$K$131&amp;C134</f>
        <v>au_Group</v>
      </c>
    </row>
    <row r="135" spans="1:15" ht="14.1" customHeight="1">
      <c r="A135" s="69">
        <f t="shared" si="18"/>
        <v>46227</v>
      </c>
      <c r="B135" s="70">
        <f>'CHICLETS MASTER S2'!A31</f>
        <v>0.39583333333333398</v>
      </c>
      <c r="C135" s="71" t="s">
        <v>235</v>
      </c>
      <c r="D135" s="119" t="str">
        <f t="shared" ref="D135:D145" si="20">$D$132</f>
        <v>EL TORO HS 1</v>
      </c>
      <c r="E135" s="71">
        <v>56</v>
      </c>
      <c r="F135" s="155" t="str">
        <f>C126</f>
        <v>au_N1(L37)-NORCAL BLACK</v>
      </c>
      <c r="G135" s="155">
        <v>8</v>
      </c>
      <c r="H135" s="155" t="str">
        <f>C129</f>
        <v>au_N4(L46)-YOLO</v>
      </c>
      <c r="I135" s="155">
        <v>6</v>
      </c>
      <c r="J135" s="155">
        <v>71</v>
      </c>
      <c r="K135" s="155">
        <v>74</v>
      </c>
      <c r="L135" s="155" t="str">
        <f t="shared" si="19"/>
        <v>10B-056</v>
      </c>
      <c r="O135" s="60" t="str">
        <f t="shared" ref="O135:O145" si="21">$K$131&amp;C135</f>
        <v>au_W/L</v>
      </c>
    </row>
    <row r="136" spans="1:15" ht="14.1" customHeight="1">
      <c r="A136" s="69">
        <f t="shared" si="18"/>
        <v>46227</v>
      </c>
      <c r="B136" s="70">
        <f>'CHICLETS MASTER S2'!A32</f>
        <v>0.43055555555555602</v>
      </c>
      <c r="C136" s="71" t="s">
        <v>235</v>
      </c>
      <c r="D136" s="119" t="str">
        <f t="shared" si="20"/>
        <v>EL TORO HS 1</v>
      </c>
      <c r="E136" s="71">
        <v>59</v>
      </c>
      <c r="F136" s="155" t="str">
        <f>C127</f>
        <v>au_N2(L38)-STANFORD BLACK</v>
      </c>
      <c r="G136" s="155">
        <v>19</v>
      </c>
      <c r="H136" s="155" t="str">
        <f>C128</f>
        <v>au_N3(L39)-LAMORINDA WHITE</v>
      </c>
      <c r="I136" s="155">
        <v>2</v>
      </c>
      <c r="J136" s="155">
        <v>71</v>
      </c>
      <c r="K136" s="155">
        <v>74</v>
      </c>
      <c r="L136" s="155" t="str">
        <f t="shared" si="19"/>
        <v>10B-059</v>
      </c>
      <c r="O136" s="60" t="str">
        <f t="shared" si="21"/>
        <v>au_W/L</v>
      </c>
    </row>
    <row r="137" spans="1:15" ht="14.1" customHeight="1">
      <c r="A137" s="69">
        <f t="shared" si="18"/>
        <v>46227</v>
      </c>
      <c r="B137" s="70">
        <f>'CHICLETS MASTER S2'!A33</f>
        <v>0.46527777777777801</v>
      </c>
      <c r="C137" s="71" t="s">
        <v>235</v>
      </c>
      <c r="D137" s="119" t="str">
        <f t="shared" si="20"/>
        <v>EL TORO HS 1</v>
      </c>
      <c r="E137" s="71">
        <v>62</v>
      </c>
      <c r="F137" s="155" t="str">
        <f>D127</f>
        <v>au_O2(L44)-SHAQ</v>
      </c>
      <c r="G137" s="155">
        <v>9</v>
      </c>
      <c r="H137" s="155" t="str">
        <f>D128</f>
        <v>au_O3(L45)-TEMPLE CITY BLACK</v>
      </c>
      <c r="I137" s="155">
        <v>4</v>
      </c>
      <c r="J137" s="155">
        <v>77</v>
      </c>
      <c r="K137" s="155">
        <v>80</v>
      </c>
      <c r="L137" s="155" t="str">
        <f t="shared" si="19"/>
        <v>10B-062</v>
      </c>
      <c r="O137" s="60" t="str">
        <f t="shared" si="21"/>
        <v>au_W/L</v>
      </c>
    </row>
    <row r="138" spans="1:15" ht="14.1" customHeight="1">
      <c r="A138" s="69">
        <f t="shared" si="18"/>
        <v>46227</v>
      </c>
      <c r="B138" s="70">
        <f>'CHICLETS MASTER S2'!A34</f>
        <v>0.5</v>
      </c>
      <c r="C138" s="71" t="s">
        <v>235</v>
      </c>
      <c r="D138" s="119" t="str">
        <f t="shared" si="20"/>
        <v>EL TORO HS 1</v>
      </c>
      <c r="E138" s="71">
        <v>65</v>
      </c>
      <c r="F138" s="155" t="str">
        <f>D126</f>
        <v>au_O1(L43)-SOCAL GOLD</v>
      </c>
      <c r="G138" s="155">
        <v>12</v>
      </c>
      <c r="H138" s="155" t="str">
        <f>D129</f>
        <v>au_O4(L47)-LB SHORE</v>
      </c>
      <c r="I138" s="155">
        <v>13</v>
      </c>
      <c r="J138" s="155">
        <v>77</v>
      </c>
      <c r="K138" s="155">
        <v>80</v>
      </c>
      <c r="L138" s="155" t="str">
        <f t="shared" si="19"/>
        <v>10B-065</v>
      </c>
      <c r="O138" s="60" t="str">
        <f t="shared" si="21"/>
        <v>au_W/L</v>
      </c>
    </row>
    <row r="139" spans="1:15" ht="14.1" customHeight="1">
      <c r="A139" s="69">
        <f t="shared" si="18"/>
        <v>46227</v>
      </c>
      <c r="B139" s="70">
        <f>'CHICLETS MASTER S2'!A35</f>
        <v>0.53472222222222199</v>
      </c>
      <c r="C139" s="71" t="s">
        <v>218</v>
      </c>
      <c r="D139" s="119" t="str">
        <f t="shared" si="20"/>
        <v>EL TORO HS 1</v>
      </c>
      <c r="E139" s="71">
        <v>68</v>
      </c>
      <c r="F139" s="165" t="str">
        <f>B126</f>
        <v xml:space="preserve">au_M1(L40)-SAN CLEMENTE BLACK	</v>
      </c>
      <c r="G139" s="165">
        <v>13</v>
      </c>
      <c r="H139" s="165" t="str">
        <f>B128</f>
        <v>au_M3(L42)-LAMORINDA GOLD</v>
      </c>
      <c r="I139" s="155">
        <v>8</v>
      </c>
      <c r="J139" s="155" t="s">
        <v>234</v>
      </c>
      <c r="K139" s="155" t="s">
        <v>234</v>
      </c>
      <c r="L139" s="155" t="str">
        <f t="shared" si="19"/>
        <v>10B-068</v>
      </c>
      <c r="O139" s="60" t="str">
        <f t="shared" si="21"/>
        <v>au_Group</v>
      </c>
    </row>
    <row r="140" spans="1:15" ht="14.1" customHeight="1">
      <c r="A140" s="69">
        <f t="shared" si="18"/>
        <v>46227</v>
      </c>
      <c r="B140" s="70">
        <f>'CHICLETS MASTER S2'!A36</f>
        <v>0.56944444444444497</v>
      </c>
      <c r="C140" s="71" t="s">
        <v>235</v>
      </c>
      <c r="D140" s="119" t="str">
        <f t="shared" si="20"/>
        <v>EL TORO HS 1</v>
      </c>
      <c r="E140" s="94">
        <v>71</v>
      </c>
      <c r="F140" s="158" t="str">
        <f>IF(G135="","W56",IF(G135&gt;I135,_xlfn.CONCAT("W56-",RIGHT(F135,LEN(F135) - FIND("-",F135))), _xlfn.CONCAT("W56-",RIGHT(H135,LEN(H135) - FIND("-",H135)))))</f>
        <v>W56-NORCAL BLACK</v>
      </c>
      <c r="G140" s="158">
        <v>8</v>
      </c>
      <c r="H140" s="158" t="str">
        <f>IF(G136="","W59",IF(G136&gt;I136,_xlfn.CONCAT("W59-",RIGHT(F136,LEN(F136) - FIND("-",F136))), _xlfn.CONCAT("W59-",RIGHT(H136,LEN(H136) - FIND("-",H136)))))</f>
        <v>W59-STANFORD BLACK</v>
      </c>
      <c r="I140" s="159">
        <v>3</v>
      </c>
      <c r="J140" s="155">
        <v>100</v>
      </c>
      <c r="K140" s="155">
        <v>84</v>
      </c>
      <c r="L140" s="155" t="str">
        <f t="shared" si="19"/>
        <v>10B-071</v>
      </c>
      <c r="O140" s="60" t="str">
        <f t="shared" si="21"/>
        <v>au_W/L</v>
      </c>
    </row>
    <row r="141" spans="1:15" ht="14.1" customHeight="1">
      <c r="A141" s="69">
        <f t="shared" si="18"/>
        <v>46227</v>
      </c>
      <c r="B141" s="70">
        <f>'CHICLETS MASTER S2'!A37</f>
        <v>0.60416666666666696</v>
      </c>
      <c r="C141" s="71" t="s">
        <v>235</v>
      </c>
      <c r="D141" s="119" t="str">
        <f t="shared" si="20"/>
        <v>EL TORO HS 1</v>
      </c>
      <c r="E141" s="94">
        <v>74</v>
      </c>
      <c r="F141" s="158" t="str">
        <f>IF(G135="","L56",IF(G135&lt;I135,_xlfn.CONCAT("L56-",RIGHT(F135,LEN(F135) - FIND("-",F135))), _xlfn.CONCAT("L56-",RIGHT(H135,LEN(H135) - FIND("-",H135)))))</f>
        <v>L56-YOLO</v>
      </c>
      <c r="G141" s="158">
        <v>15</v>
      </c>
      <c r="H141" s="158" t="str">
        <f>IF(G136="","L59",IF(G136&lt;I136,_xlfn.CONCAT("L59-",RIGHT(F136,LEN(F136) - FIND("-",F136))), _xlfn.CONCAT("L59-",RIGHT(H136,LEN(H136) - FIND("-",H136)))))</f>
        <v>L59-LAMORINDA WHITE</v>
      </c>
      <c r="I141" s="159">
        <v>5</v>
      </c>
      <c r="J141" s="155">
        <v>94</v>
      </c>
      <c r="K141" s="155">
        <v>91</v>
      </c>
      <c r="L141" s="155" t="str">
        <f t="shared" si="19"/>
        <v>10B-074</v>
      </c>
      <c r="O141" s="60" t="str">
        <f t="shared" si="21"/>
        <v>au_W/L</v>
      </c>
    </row>
    <row r="142" spans="1:15" ht="14.1" customHeight="1">
      <c r="A142" s="69">
        <f t="shared" si="18"/>
        <v>46227</v>
      </c>
      <c r="B142" s="70">
        <f>'CHICLETS MASTER S2'!A38</f>
        <v>0.63888888888888895</v>
      </c>
      <c r="C142" s="71" t="s">
        <v>235</v>
      </c>
      <c r="D142" s="119" t="str">
        <f t="shared" si="20"/>
        <v>EL TORO HS 1</v>
      </c>
      <c r="E142" s="71">
        <v>77</v>
      </c>
      <c r="F142" s="160" t="str">
        <f>IF(G137="","W62",IF(G137&gt;I137,_xlfn.CONCAT("W62-",RIGHT(F137,LEN(F137) - FIND("-",F137))), _xlfn.CONCAT("W62-",RIGHT(H137,LEN(H137) - FIND("-",H137)))))</f>
        <v>W62-SHAQ</v>
      </c>
      <c r="G142" s="160">
        <v>13</v>
      </c>
      <c r="H142" s="160" t="str">
        <f>IF(G138="","W65",IF(G138&gt;I138,_xlfn.CONCAT("W65-",RIGHT(F138,LEN(F138) - FIND("-",F138))), _xlfn.CONCAT("W65-",RIGHT(H138,LEN(H138) - FIND("-",H138)))))</f>
        <v>W65-LB SHORE</v>
      </c>
      <c r="I142" s="155">
        <v>3</v>
      </c>
      <c r="J142" s="155">
        <v>100</v>
      </c>
      <c r="K142" s="155">
        <v>84</v>
      </c>
      <c r="L142" s="155" t="str">
        <f t="shared" si="19"/>
        <v>10B-077</v>
      </c>
      <c r="O142" s="60" t="str">
        <f t="shared" si="21"/>
        <v>au_W/L</v>
      </c>
    </row>
    <row r="143" spans="1:15" ht="14.1" customHeight="1">
      <c r="A143" s="69">
        <f t="shared" si="18"/>
        <v>46227</v>
      </c>
      <c r="B143" s="70">
        <f>'CHICLETS MASTER S2'!A39</f>
        <v>0.67361111111111105</v>
      </c>
      <c r="C143" s="71" t="s">
        <v>235</v>
      </c>
      <c r="D143" s="119" t="str">
        <f t="shared" si="20"/>
        <v>EL TORO HS 1</v>
      </c>
      <c r="E143" s="71">
        <v>80</v>
      </c>
      <c r="F143" s="155" t="str">
        <f>IF(G137="","L62",IF(G137&lt;I137,_xlfn.CONCAT("L62-",RIGHT(F137,LEN(F137) - FIND("-",F137))), _xlfn.CONCAT("L62-",RIGHT(H137,LEN(H137) - FIND("-",H137)))))</f>
        <v>L62-TEMPLE CITY BLACK</v>
      </c>
      <c r="G143" s="155">
        <v>8</v>
      </c>
      <c r="H143" s="155" t="str">
        <f>IF(G138="","L65",IF(G138&lt;I138,_xlfn.CONCAT("L65-",RIGHT(F138,LEN(F138) - FIND("-",F138))), _xlfn.CONCAT("L65-",RIGHT(H138,LEN(H138) - FIND("-",H138)))))</f>
        <v>L65-SOCAL GOLD</v>
      </c>
      <c r="I143" s="155">
        <v>13</v>
      </c>
      <c r="J143" s="155">
        <v>94</v>
      </c>
      <c r="K143" s="155">
        <v>97</v>
      </c>
      <c r="L143" s="155" t="str">
        <f t="shared" si="19"/>
        <v>10B-080</v>
      </c>
      <c r="O143" s="60" t="str">
        <f t="shared" si="21"/>
        <v>au_W/L</v>
      </c>
    </row>
    <row r="144" spans="1:15" ht="14.1" customHeight="1">
      <c r="A144" s="69">
        <f t="shared" si="18"/>
        <v>46227</v>
      </c>
      <c r="B144" s="70">
        <f>'CHICLETS MASTER S2'!A40</f>
        <v>0.70833333333333404</v>
      </c>
      <c r="C144" s="71" t="s">
        <v>218</v>
      </c>
      <c r="D144" s="119" t="str">
        <f t="shared" si="20"/>
        <v>EL TORO HS 1</v>
      </c>
      <c r="E144" s="71">
        <v>83</v>
      </c>
      <c r="F144" s="155" t="str">
        <f>B126</f>
        <v xml:space="preserve">au_M1(L40)-SAN CLEMENTE BLACK	</v>
      </c>
      <c r="G144" s="155">
        <v>15</v>
      </c>
      <c r="H144" s="155" t="str">
        <f>B127</f>
        <v>au_M2(L41)-680 WHITE</v>
      </c>
      <c r="I144" s="155">
        <v>11</v>
      </c>
      <c r="J144" s="155" t="s">
        <v>234</v>
      </c>
      <c r="K144" s="155" t="s">
        <v>234</v>
      </c>
      <c r="L144" s="155" t="str">
        <f t="shared" si="19"/>
        <v>10B-083</v>
      </c>
      <c r="O144" s="60" t="str">
        <f t="shared" si="21"/>
        <v>au_Group</v>
      </c>
    </row>
    <row r="145" spans="1:15" ht="14.1" customHeight="1">
      <c r="A145" s="69">
        <f t="shared" si="18"/>
        <v>46227</v>
      </c>
      <c r="B145" s="70">
        <f>'CHICLETS MASTER S2'!A41</f>
        <v>0.74305555555555602</v>
      </c>
      <c r="C145" s="71" t="s">
        <v>235</v>
      </c>
      <c r="D145" s="119" t="str">
        <f t="shared" si="20"/>
        <v>EL TORO HS 1</v>
      </c>
      <c r="E145" s="71">
        <v>84</v>
      </c>
      <c r="F145" s="155" t="str">
        <f>IF(G140="","L71",IF(G140&lt;I140,_xlfn.CONCAT("L71-",RIGHT(F140,LEN(F140) - FIND("-",F140))), _xlfn.CONCAT("L71-",RIGHT(H140,LEN(H140) - FIND("-",H140)))))</f>
        <v>L71-STANFORD BLACK</v>
      </c>
      <c r="G145" s="155">
        <v>10</v>
      </c>
      <c r="H145" s="155" t="str">
        <f>IF(G142="","L77",IF(G142&lt;I142,_xlfn.CONCAT("L77-",RIGHT(F142,LEN(F142) - FIND("-",F142))), _xlfn.CONCAT("L77-",RIGHT(H142,LEN(H142) - FIND("-",H142)))))</f>
        <v>L77-LB SHORE</v>
      </c>
      <c r="I145" s="155">
        <v>5</v>
      </c>
      <c r="J145" s="155">
        <v>106</v>
      </c>
      <c r="K145" s="155">
        <v>103</v>
      </c>
      <c r="L145" s="155" t="str">
        <f t="shared" si="19"/>
        <v>10B-084</v>
      </c>
      <c r="O145" s="60" t="str">
        <f t="shared" si="21"/>
        <v>au_W/L</v>
      </c>
    </row>
    <row r="146" spans="1:15" ht="14.1" customHeight="1" thickBot="1">
      <c r="G146" s="60"/>
      <c r="I146" s="60"/>
    </row>
    <row r="147" spans="1:15" ht="14.1" customHeight="1" thickTop="1" thickBot="1">
      <c r="A147" s="280" t="s">
        <v>236</v>
      </c>
      <c r="B147" s="147"/>
      <c r="C147" s="147"/>
      <c r="D147" s="147"/>
      <c r="E147" s="147"/>
      <c r="F147" s="147"/>
      <c r="G147" s="282"/>
      <c r="H147" s="147"/>
      <c r="I147" s="282"/>
      <c r="J147" s="147"/>
      <c r="K147" s="147"/>
      <c r="L147" s="147"/>
    </row>
    <row r="148" spans="1:15" ht="14.1" customHeight="1" thickBot="1">
      <c r="A148" s="61">
        <v>46228</v>
      </c>
    </row>
    <row r="149" spans="1:15" ht="14.1" customHeight="1" thickBot="1">
      <c r="D149" s="65" t="str">
        <f>'CHICLETS MASTER S2'!$C$51</f>
        <v>EL TORO HS 2</v>
      </c>
    </row>
    <row r="150" spans="1:15" ht="14.1" customHeight="1">
      <c r="A150" s="342" t="s">
        <v>124</v>
      </c>
      <c r="B150" s="342" t="s">
        <v>125</v>
      </c>
      <c r="C150" s="342" t="s">
        <v>126</v>
      </c>
      <c r="D150" s="342" t="s">
        <v>127</v>
      </c>
      <c r="E150" s="342" t="s">
        <v>128</v>
      </c>
      <c r="F150" s="342" t="s">
        <v>129</v>
      </c>
      <c r="G150" s="342" t="s">
        <v>130</v>
      </c>
      <c r="H150" s="342" t="s">
        <v>131</v>
      </c>
      <c r="I150" s="342" t="s">
        <v>130</v>
      </c>
      <c r="J150" s="342" t="s">
        <v>132</v>
      </c>
      <c r="K150" s="342" t="s">
        <v>133</v>
      </c>
      <c r="L150" s="342" t="s">
        <v>134</v>
      </c>
    </row>
    <row r="151" spans="1:15" ht="14.1" customHeight="1">
      <c r="A151" s="69">
        <f>$A$148</f>
        <v>46228</v>
      </c>
      <c r="B151" s="70">
        <f>'CHICLETS MASTER S2'!A53</f>
        <v>0.33333333333333331</v>
      </c>
      <c r="C151" s="71" t="s">
        <v>237</v>
      </c>
      <c r="D151" s="119" t="str">
        <f>$D$149</f>
        <v>EL TORO HS 2</v>
      </c>
      <c r="E151" s="71">
        <v>89</v>
      </c>
      <c r="F151" s="90" t="s">
        <v>238</v>
      </c>
      <c r="G151" s="93">
        <v>9</v>
      </c>
      <c r="H151" s="90" t="str">
        <f>IF(G102="","W85",IF(G102&gt;I102,_xlfn.CONCAT("W85-",RIGHT(F102,LEN(F102) - FIND("-",F102))), _xlfn.CONCAT("W85-",RIGHT(H102,LEN(H102) - FIND("-",H102)))))</f>
        <v>W85-CDM BLUE</v>
      </c>
      <c r="I151" s="93">
        <v>8</v>
      </c>
      <c r="J151" s="90">
        <v>107</v>
      </c>
      <c r="K151" s="90">
        <v>113</v>
      </c>
      <c r="L151" s="90" t="str">
        <f t="shared" ref="L151:L162" si="22">IF(E151="","",$L$13&amp;"-"&amp;TEXT(E151,"000"))</f>
        <v>10B-089</v>
      </c>
      <c r="O151" s="60" t="str">
        <f t="shared" ref="O151:O162" si="23">$K$130&amp;C151</f>
        <v>pt_5-8 v 9-12</v>
      </c>
    </row>
    <row r="152" spans="1:15" ht="14.1" customHeight="1">
      <c r="A152" s="69">
        <f t="shared" ref="A152:A190" si="24">$A$148</f>
        <v>46228</v>
      </c>
      <c r="B152" s="70">
        <f>'CHICLETS MASTER S2'!A54</f>
        <v>0.36805555555555558</v>
      </c>
      <c r="C152" s="71" t="s">
        <v>237</v>
      </c>
      <c r="D152" s="119" t="str">
        <f t="shared" ref="D152:D162" si="25">$D$149</f>
        <v>EL TORO HS 2</v>
      </c>
      <c r="E152" s="71">
        <v>92</v>
      </c>
      <c r="F152" s="90" t="s">
        <v>239</v>
      </c>
      <c r="G152" s="93">
        <v>17</v>
      </c>
      <c r="H152" s="90" t="str">
        <f>IF(G122="","W88",IF(G122&gt;I122,_xlfn.CONCAT("W88-",RIGHT(F122,LEN(F122) - FIND("-",F122))), _xlfn.CONCAT("W88-",RIGHT(H122,LEN(H122) - FIND("-",H122)))))</f>
        <v>W88-LAMORINDA BLUE</v>
      </c>
      <c r="I152" s="93">
        <v>4</v>
      </c>
      <c r="J152" s="90">
        <v>107</v>
      </c>
      <c r="K152" s="90">
        <v>113</v>
      </c>
      <c r="L152" s="90" t="str">
        <f t="shared" si="22"/>
        <v>10B-092</v>
      </c>
      <c r="O152" s="60" t="str">
        <f t="shared" si="23"/>
        <v>pt_5-8 v 9-12</v>
      </c>
    </row>
    <row r="153" spans="1:15" ht="14.1" customHeight="1">
      <c r="A153" s="69">
        <f t="shared" si="24"/>
        <v>46228</v>
      </c>
      <c r="B153" s="70">
        <f>'CHICLETS MASTER S2'!A55</f>
        <v>0.40277777777777801</v>
      </c>
      <c r="C153" s="71" t="s">
        <v>237</v>
      </c>
      <c r="D153" s="119" t="str">
        <f t="shared" si="25"/>
        <v>EL TORO HS 2</v>
      </c>
      <c r="E153" s="71">
        <v>95</v>
      </c>
      <c r="F153" s="90" t="s">
        <v>240</v>
      </c>
      <c r="G153" s="93">
        <v>13</v>
      </c>
      <c r="H153" s="90" t="str">
        <f>IF(G121="","W86",IF(G121&gt;I121,_xlfn.CONCAT("W86-",RIGHT(F121,LEN(F121) - FIND("-",F121))), _xlfn.CONCAT("W86-",RIGHT(H121,LEN(H121) - FIND("-",H121)))))</f>
        <v>W86-GREENWICH BLUE</v>
      </c>
      <c r="I153" s="93">
        <v>8</v>
      </c>
      <c r="J153" s="90">
        <v>110</v>
      </c>
      <c r="K153" s="90">
        <v>116</v>
      </c>
      <c r="L153" s="90" t="str">
        <f t="shared" si="22"/>
        <v>10B-095</v>
      </c>
      <c r="O153" s="60" t="str">
        <f t="shared" si="23"/>
        <v>pt_5-8 v 9-12</v>
      </c>
    </row>
    <row r="154" spans="1:15" ht="14.1" customHeight="1">
      <c r="A154" s="69">
        <f t="shared" si="24"/>
        <v>46228</v>
      </c>
      <c r="B154" s="70">
        <f>'CHICLETS MASTER S2'!A56</f>
        <v>0.4375</v>
      </c>
      <c r="C154" s="71" t="s">
        <v>237</v>
      </c>
      <c r="D154" s="119" t="str">
        <f t="shared" si="25"/>
        <v>EL TORO HS 2</v>
      </c>
      <c r="E154" s="71">
        <v>98</v>
      </c>
      <c r="F154" s="90" t="s">
        <v>241</v>
      </c>
      <c r="G154" s="93">
        <v>11</v>
      </c>
      <c r="H154" s="90" t="str">
        <f>IF(G103="","W87",IF(G103&gt;I103,_xlfn.CONCAT("W87-",RIGHT(F103,LEN(F103) - FIND("-",F103))), _xlfn.CONCAT("W87-",RIGHT(H103,LEN(H103) - FIND("-",H103)))))</f>
        <v>W87-CC UNITED BLACK</v>
      </c>
      <c r="I154" s="93">
        <v>9</v>
      </c>
      <c r="J154" s="90">
        <v>110</v>
      </c>
      <c r="K154" s="90">
        <v>116</v>
      </c>
      <c r="L154" s="90" t="str">
        <f t="shared" si="22"/>
        <v>10B-098</v>
      </c>
      <c r="O154" s="60" t="str">
        <f t="shared" si="23"/>
        <v>pt_5-8 v 9-12</v>
      </c>
    </row>
    <row r="155" spans="1:15" ht="14.1" customHeight="1">
      <c r="A155" s="69">
        <f t="shared" si="24"/>
        <v>46228</v>
      </c>
      <c r="B155" s="70">
        <f>'CHICLETS MASTER S2'!A57</f>
        <v>0.47222222222222199</v>
      </c>
      <c r="C155" s="71" t="s">
        <v>242</v>
      </c>
      <c r="D155" s="119" t="str">
        <f t="shared" si="25"/>
        <v>EL TORO HS 2</v>
      </c>
      <c r="E155" s="71">
        <v>101</v>
      </c>
      <c r="F155" s="90" t="s">
        <v>243</v>
      </c>
      <c r="G155" s="93">
        <v>12</v>
      </c>
      <c r="H155" s="90" t="s">
        <v>244</v>
      </c>
      <c r="I155" s="93">
        <v>1</v>
      </c>
      <c r="J155" s="90">
        <v>132</v>
      </c>
      <c r="K155" s="90">
        <v>119</v>
      </c>
      <c r="L155" s="90" t="str">
        <f t="shared" si="22"/>
        <v>10B-101</v>
      </c>
      <c r="O155" s="60" t="str">
        <f t="shared" si="23"/>
        <v>pt_1-2 v 3-4</v>
      </c>
    </row>
    <row r="156" spans="1:15" ht="14.1" customHeight="1">
      <c r="A156" s="69">
        <f t="shared" si="24"/>
        <v>46228</v>
      </c>
      <c r="B156" s="70">
        <f>'CHICLETS MASTER S2'!A58</f>
        <v>0.50694444444444398</v>
      </c>
      <c r="C156" s="71" t="s">
        <v>242</v>
      </c>
      <c r="D156" s="119" t="str">
        <f t="shared" si="25"/>
        <v>EL TORO HS 2</v>
      </c>
      <c r="E156" s="71">
        <v>104</v>
      </c>
      <c r="F156" s="90" t="s">
        <v>245</v>
      </c>
      <c r="G156" s="93">
        <v>10</v>
      </c>
      <c r="H156" s="90" t="s">
        <v>246</v>
      </c>
      <c r="I156" s="93">
        <v>5</v>
      </c>
      <c r="J156" s="90">
        <v>131</v>
      </c>
      <c r="K156" s="90">
        <v>122</v>
      </c>
      <c r="L156" s="90" t="str">
        <f t="shared" si="22"/>
        <v>10B-104</v>
      </c>
      <c r="O156" s="60" t="str">
        <f t="shared" si="23"/>
        <v>pt_1-2 v 3-4</v>
      </c>
    </row>
    <row r="157" spans="1:15" ht="14.1" customHeight="1">
      <c r="A157" s="69">
        <f t="shared" si="24"/>
        <v>46228</v>
      </c>
      <c r="B157" s="70">
        <f>'CHICLETS MASTER S2'!A59</f>
        <v>0.54166666666666696</v>
      </c>
      <c r="C157" s="71" t="s">
        <v>247</v>
      </c>
      <c r="D157" s="119" t="str">
        <f t="shared" si="25"/>
        <v>EL TORO HS 2</v>
      </c>
      <c r="E157" s="71">
        <v>107</v>
      </c>
      <c r="F157" s="90" t="str">
        <f>IF(G151="","W89",IF(G151&gt;I151,_xlfn.CONCAT("W89-",RIGHT(F151,LEN(F151) - FIND("-",F151))), _xlfn.CONCAT("W89-",RIGHT(H151,LEN(H151) - FIND("-",H151)))))</f>
        <v>W89-TEMPLE CITY YELLOW</v>
      </c>
      <c r="G157" s="93">
        <v>3</v>
      </c>
      <c r="H157" s="90" t="str">
        <f>IF(G152="","W92",IF(G152&gt;I152,_xlfn.CONCAT("W92-",RIGHT(F152,LEN(F152) - FIND("-",F152))), _xlfn.CONCAT("W92-",RIGHT(H152,LEN(H152) - FIND("-",H152)))))</f>
        <v>W92-908 YELLOW</v>
      </c>
      <c r="I157" s="93">
        <v>11</v>
      </c>
      <c r="J157" s="90">
        <v>119</v>
      </c>
      <c r="K157" s="90">
        <v>140</v>
      </c>
      <c r="L157" s="90" t="str">
        <f t="shared" si="22"/>
        <v>10B-107</v>
      </c>
      <c r="O157" s="60" t="str">
        <f t="shared" si="23"/>
        <v>pt_5-6 v 7-8</v>
      </c>
    </row>
    <row r="158" spans="1:15" ht="14.1" customHeight="1">
      <c r="A158" s="69">
        <f t="shared" si="24"/>
        <v>46228</v>
      </c>
      <c r="B158" s="70">
        <f>'CHICLETS MASTER S2'!A60</f>
        <v>0.57638888888888895</v>
      </c>
      <c r="C158" s="71" t="s">
        <v>247</v>
      </c>
      <c r="D158" s="119" t="str">
        <f t="shared" si="25"/>
        <v>EL TORO HS 2</v>
      </c>
      <c r="E158" s="71">
        <v>110</v>
      </c>
      <c r="F158" s="90" t="str">
        <f>IF(G153="","W95",IF(G153&gt;I153,_xlfn.CONCAT("W95-",RIGHT(F153,LEN(F153) - FIND("-",F153))), _xlfn.CONCAT("W95-",RIGHT(H153,LEN(H153) - FIND("-",H153)))))</f>
        <v>W95-680 RED</v>
      </c>
      <c r="G158" s="93">
        <v>10</v>
      </c>
      <c r="H158" s="90" t="str">
        <f>IF(G154="","W98",IF(G154&gt;I154,_xlfn.CONCAT("W98-",RIGHT(F154,LEN(F154) - FIND("-",F154))), _xlfn.CONCAT("W98-",RIGHT(H154,LEN(H154) - FIND("-",H154)))))</f>
        <v>W98-SAN CLEMENTE RED</v>
      </c>
      <c r="I158" s="93">
        <v>8</v>
      </c>
      <c r="J158" s="90">
        <v>122</v>
      </c>
      <c r="K158" s="90">
        <v>140</v>
      </c>
      <c r="L158" s="90" t="str">
        <f t="shared" si="22"/>
        <v>10B-110</v>
      </c>
      <c r="O158" s="60" t="str">
        <f t="shared" si="23"/>
        <v>pt_5-6 v 7-8</v>
      </c>
    </row>
    <row r="159" spans="1:15" ht="14.1" customHeight="1">
      <c r="A159" s="69">
        <f t="shared" si="24"/>
        <v>46228</v>
      </c>
      <c r="B159" s="70">
        <f>'CHICLETS MASTER S2'!A61</f>
        <v>0.61111111111111105</v>
      </c>
      <c r="C159" s="71" t="s">
        <v>248</v>
      </c>
      <c r="D159" s="119" t="str">
        <f t="shared" si="25"/>
        <v>EL TORO HS 2</v>
      </c>
      <c r="E159" s="71">
        <v>113</v>
      </c>
      <c r="F159" s="90" t="str">
        <f>IF(G152="","L92",IF(G152&lt;I152,_xlfn.CONCAT("L92-",RIGHT(F152,LEN(F152) - FIND("-",F152))), _xlfn.CONCAT("L92-",RIGHT(H152,LEN(H152) - FIND("-",H152)))))</f>
        <v>L92-LAMORINDA BLUE</v>
      </c>
      <c r="G159" s="93">
        <v>2</v>
      </c>
      <c r="H159" s="90" t="str">
        <f>IF(G151="","L89",IF(G151&lt;I151,_xlfn.CONCAT("L89-",RIGHT(F151,LEN(F151) - FIND("-",F151))), _xlfn.CONCAT("L89-",RIGHT(H151,LEN(H151) - FIND("-",H151)))))</f>
        <v>L89-CDM BLUE</v>
      </c>
      <c r="I159" s="93">
        <v>11</v>
      </c>
      <c r="J159" s="90">
        <v>138</v>
      </c>
      <c r="K159" s="90">
        <v>137</v>
      </c>
      <c r="L159" s="90" t="str">
        <f t="shared" si="22"/>
        <v>10B-113</v>
      </c>
      <c r="O159" s="60" t="str">
        <f t="shared" si="23"/>
        <v>pt_9-12 semi</v>
      </c>
    </row>
    <row r="160" spans="1:15" ht="14.1" customHeight="1">
      <c r="A160" s="69">
        <f t="shared" si="24"/>
        <v>46228</v>
      </c>
      <c r="B160" s="70">
        <f>'CHICLETS MASTER S2'!A62</f>
        <v>0.64583333333333304</v>
      </c>
      <c r="C160" s="71" t="s">
        <v>248</v>
      </c>
      <c r="D160" s="119" t="str">
        <f t="shared" si="25"/>
        <v>EL TORO HS 2</v>
      </c>
      <c r="E160" s="71">
        <v>116</v>
      </c>
      <c r="F160" s="90" t="str">
        <f>IF(G154="","L98",IF(G154&lt;I154,_xlfn.CONCAT("L98-",RIGHT(F154,LEN(F154) - FIND("-",F154))), _xlfn.CONCAT("L98-",RIGHT(H154,LEN(H154) - FIND("-",H154)))))</f>
        <v>L98-CC UNITED BLACK</v>
      </c>
      <c r="G160" s="93">
        <v>11</v>
      </c>
      <c r="H160" s="90" t="str">
        <f>IF(G153="","L95",IF(G153&lt;I153,_xlfn.CONCAT("L95-",RIGHT(F153,LEN(F153) - FIND("-",F153))), _xlfn.CONCAT("L95-",RIGHT(H153,LEN(H153) - FIND("-",H153)))))</f>
        <v>L95-GREENWICH BLUE</v>
      </c>
      <c r="I160" s="93">
        <v>5</v>
      </c>
      <c r="J160" s="90">
        <v>138</v>
      </c>
      <c r="K160" s="90">
        <v>137</v>
      </c>
      <c r="L160" s="90" t="str">
        <f t="shared" si="22"/>
        <v>10B-116</v>
      </c>
      <c r="O160" s="60" t="str">
        <f t="shared" si="23"/>
        <v>pt_9-12 semi</v>
      </c>
    </row>
    <row r="161" spans="1:15" ht="14.1" customHeight="1">
      <c r="A161" s="69">
        <f t="shared" si="24"/>
        <v>46228</v>
      </c>
      <c r="B161" s="70">
        <f>'CHICLETS MASTER S2'!A63</f>
        <v>0.68055555555555602</v>
      </c>
      <c r="C161" s="71" t="s">
        <v>219</v>
      </c>
      <c r="D161" s="119" t="str">
        <f t="shared" si="25"/>
        <v>EL TORO HS 2</v>
      </c>
      <c r="E161" s="71">
        <v>119</v>
      </c>
      <c r="F161" s="90" t="str">
        <f>IF(G155="","L101",IF(G155&lt;I155,_xlfn.CONCAT("L101-",RIGHT(F155,LEN(F155) - FIND("-",F155))), _xlfn.CONCAT("L101-",RIGHT(H155,LEN(H155) - FIND("-",H155)))))</f>
        <v>L101-NEWPORT BEACH WHITE</v>
      </c>
      <c r="G161" s="93">
        <v>4</v>
      </c>
      <c r="H161" s="90" t="str">
        <f>IF(G157="","W107",IF(G157&gt;I157,_xlfn.CONCAT("W107-",RIGHT(F157,LEN(F157) - FIND("-",F157))), _xlfn.CONCAT("W107-",RIGHT(H157,LEN(H157) - FIND("-",H157)))))</f>
        <v>W107-908 YELLOW</v>
      </c>
      <c r="I161" s="93">
        <v>11</v>
      </c>
      <c r="J161" s="90">
        <v>131</v>
      </c>
      <c r="K161" s="90">
        <v>141</v>
      </c>
      <c r="L161" s="90" t="str">
        <f t="shared" si="22"/>
        <v>10B-119</v>
      </c>
      <c r="O161" s="60" t="str">
        <f t="shared" si="23"/>
        <v>pt_Play-in</v>
      </c>
    </row>
    <row r="162" spans="1:15" ht="14.1" customHeight="1">
      <c r="A162" s="69">
        <f t="shared" si="24"/>
        <v>46228</v>
      </c>
      <c r="B162" s="70">
        <f>'CHICLETS MASTER S2'!A64</f>
        <v>0.71527777777777801</v>
      </c>
      <c r="C162" s="71" t="s">
        <v>219</v>
      </c>
      <c r="D162" s="119" t="str">
        <f t="shared" si="25"/>
        <v>EL TORO HS 2</v>
      </c>
      <c r="E162" s="71">
        <v>122</v>
      </c>
      <c r="F162" s="90" t="str">
        <f>IF(G156="","L104",IF(G156&lt;I156,_xlfn.CONCAT("L104-",RIGHT(F156,LEN(F156) - FIND("-",F156))), _xlfn.CONCAT("L104-",RIGHT(H156,LEN(H156) - FIND("-",H156)))))</f>
        <v>L104-COMMERCE</v>
      </c>
      <c r="G162" s="93">
        <v>15</v>
      </c>
      <c r="H162" s="90" t="str">
        <f>IF(G158="","W110",IF(G158&gt;I158,_xlfn.CONCAT("W110-",RIGHT(F158,LEN(F158) - FIND("-",F158))), _xlfn.CONCAT("W110-",RIGHT(H158,LEN(H158) - FIND("-",H158)))))</f>
        <v>W110-680 RED</v>
      </c>
      <c r="I162" s="93">
        <v>7</v>
      </c>
      <c r="J162" s="90">
        <v>132</v>
      </c>
      <c r="K162" s="90">
        <v>141</v>
      </c>
      <c r="L162" s="90" t="str">
        <f t="shared" si="22"/>
        <v>10B-122</v>
      </c>
      <c r="O162" s="60" t="str">
        <f t="shared" si="23"/>
        <v>pt_Play-in</v>
      </c>
    </row>
    <row r="163" spans="1:15" ht="14.1" customHeight="1" thickBot="1">
      <c r="A163" s="98"/>
      <c r="B163" s="79"/>
    </row>
    <row r="164" spans="1:15" ht="14.1" customHeight="1" thickBot="1">
      <c r="D164" s="65" t="str">
        <f>'CHICLETS MASTER S2'!$D$51</f>
        <v>EL TORO HS 3</v>
      </c>
    </row>
    <row r="165" spans="1:15" ht="14.1" customHeight="1">
      <c r="A165" s="342" t="s">
        <v>124</v>
      </c>
      <c r="B165" s="342" t="s">
        <v>125</v>
      </c>
      <c r="C165" s="342" t="s">
        <v>126</v>
      </c>
      <c r="D165" s="342" t="s">
        <v>127</v>
      </c>
      <c r="E165" s="342" t="s">
        <v>128</v>
      </c>
      <c r="F165" s="342" t="s">
        <v>129</v>
      </c>
      <c r="G165" s="342" t="s">
        <v>130</v>
      </c>
      <c r="H165" s="342" t="s">
        <v>131</v>
      </c>
      <c r="I165" s="342" t="s">
        <v>130</v>
      </c>
      <c r="J165" s="342" t="s">
        <v>132</v>
      </c>
      <c r="K165" s="342" t="s">
        <v>133</v>
      </c>
      <c r="L165" s="342" t="s">
        <v>134</v>
      </c>
    </row>
    <row r="166" spans="1:15" ht="14.1" customHeight="1">
      <c r="A166" s="69">
        <f t="shared" ref="A166:A177" si="26">$A$148</f>
        <v>46228</v>
      </c>
      <c r="B166" s="70">
        <f>'CHICLETS MASTER S2'!A53</f>
        <v>0.33333333333333331</v>
      </c>
      <c r="C166" s="71" t="s">
        <v>249</v>
      </c>
      <c r="D166" s="119" t="str">
        <f>$D$164</f>
        <v>EL TORO HS 3</v>
      </c>
      <c r="E166" s="71">
        <v>90</v>
      </c>
      <c r="F166" s="90" t="s">
        <v>250</v>
      </c>
      <c r="G166" s="93">
        <v>12</v>
      </c>
      <c r="H166" s="90" t="s">
        <v>251</v>
      </c>
      <c r="I166" s="93">
        <v>5</v>
      </c>
      <c r="J166" s="90"/>
      <c r="K166" s="90"/>
      <c r="L166" s="90" t="str">
        <f t="shared" ref="L166:L177" si="27">IF(E166="","",$L$13&amp;"-"&amp;TEXT(E166,"000"))</f>
        <v>10B-090</v>
      </c>
      <c r="O166" s="60" t="str">
        <f t="shared" ref="O166:O177" si="28">$K$130&amp;C166</f>
        <v>pt_21-24 RR</v>
      </c>
    </row>
    <row r="167" spans="1:15" ht="14.1" customHeight="1">
      <c r="A167" s="69">
        <f t="shared" si="26"/>
        <v>46228</v>
      </c>
      <c r="B167" s="70">
        <f>'CHICLETS MASTER S2'!A54</f>
        <v>0.36805555555555558</v>
      </c>
      <c r="C167" s="71" t="s">
        <v>249</v>
      </c>
      <c r="D167" s="119" t="str">
        <f t="shared" ref="D167:D177" si="29">$D$164</f>
        <v>EL TORO HS 3</v>
      </c>
      <c r="E167" s="71">
        <v>93</v>
      </c>
      <c r="F167" s="90" t="s">
        <v>252</v>
      </c>
      <c r="G167" s="93">
        <v>6</v>
      </c>
      <c r="H167" s="90" t="s">
        <v>253</v>
      </c>
      <c r="I167" s="93">
        <v>8</v>
      </c>
      <c r="J167" s="90"/>
      <c r="K167" s="90"/>
      <c r="L167" s="90" t="str">
        <f t="shared" si="27"/>
        <v>10B-093</v>
      </c>
      <c r="O167" s="60" t="str">
        <f t="shared" si="28"/>
        <v>pt_21-24 RR</v>
      </c>
    </row>
    <row r="168" spans="1:15" ht="14.1" customHeight="1">
      <c r="A168" s="69">
        <f t="shared" si="26"/>
        <v>46228</v>
      </c>
      <c r="B168" s="70">
        <f>'CHICLETS MASTER S2'!A55</f>
        <v>0.40277777777777801</v>
      </c>
      <c r="C168" s="71" t="s">
        <v>254</v>
      </c>
      <c r="D168" s="119" t="str">
        <f t="shared" si="29"/>
        <v>EL TORO HS 3</v>
      </c>
      <c r="E168" s="71">
        <v>96</v>
      </c>
      <c r="F168" s="90" t="str">
        <f>IF(G122="","L88",IF(G122&lt;I122,_xlfn.CONCAT("L88-",RIGHT(F122,LEN(F122) - FIND("-",F122))), _xlfn.CONCAT("L88-",RIGHT(H122,LEN(H122) - FIND("-",H122)))))</f>
        <v>L88-SOCAL BLACK</v>
      </c>
      <c r="G168" s="93">
        <v>8</v>
      </c>
      <c r="H168" s="90" t="s">
        <v>255</v>
      </c>
      <c r="I168" s="93">
        <v>7</v>
      </c>
      <c r="J168" s="90">
        <v>114</v>
      </c>
      <c r="K168" s="90">
        <v>117</v>
      </c>
      <c r="L168" s="90" t="str">
        <f t="shared" si="27"/>
        <v>10B-096</v>
      </c>
      <c r="O168" s="60" t="str">
        <f t="shared" si="28"/>
        <v>pt_13-20 qtr</v>
      </c>
    </row>
    <row r="169" spans="1:15" ht="14.1" customHeight="1">
      <c r="A169" s="69">
        <f t="shared" si="26"/>
        <v>46228</v>
      </c>
      <c r="B169" s="70">
        <f>'CHICLETS MASTER S2'!A56</f>
        <v>0.4375</v>
      </c>
      <c r="C169" s="71" t="s">
        <v>254</v>
      </c>
      <c r="D169" s="119" t="str">
        <f t="shared" si="29"/>
        <v>EL TORO HS 3</v>
      </c>
      <c r="E169" s="71">
        <v>99</v>
      </c>
      <c r="F169" s="90" t="str">
        <f>IF(G121="","L86",IF(G121&lt;I121,_xlfn.CONCAT("L86-",RIGHT(F121,LEN(F121) - FIND("-",F121))), _xlfn.CONCAT("L86-",RIGHT(H121,LEN(H121) - FIND("-",H121)))))</f>
        <v>L86-ORWP</v>
      </c>
      <c r="G169" s="93">
        <v>12</v>
      </c>
      <c r="H169" s="90" t="s">
        <v>256</v>
      </c>
      <c r="I169" s="93">
        <v>3</v>
      </c>
      <c r="J169" s="90">
        <v>114</v>
      </c>
      <c r="K169" s="90">
        <v>117</v>
      </c>
      <c r="L169" s="90" t="str">
        <f t="shared" si="27"/>
        <v>10B-099</v>
      </c>
      <c r="O169" s="60" t="str">
        <f t="shared" si="28"/>
        <v>pt_13-20 qtr</v>
      </c>
    </row>
    <row r="170" spans="1:15" ht="14.1" customHeight="1">
      <c r="A170" s="69">
        <f t="shared" si="26"/>
        <v>46228</v>
      </c>
      <c r="B170" s="70">
        <f>'CHICLETS MASTER S2'!A57</f>
        <v>0.47222222222222199</v>
      </c>
      <c r="C170" s="71" t="s">
        <v>254</v>
      </c>
      <c r="D170" s="119" t="str">
        <f t="shared" si="29"/>
        <v>EL TORO HS 3</v>
      </c>
      <c r="E170" s="71">
        <v>102</v>
      </c>
      <c r="F170" s="90" t="str">
        <f>IF(G103="","L87",IF(G103&lt;I103,_xlfn.CONCAT("L87-",RIGHT(F103,LEN(F103) - FIND("-",F103))), _xlfn.CONCAT("L87-",RIGHT(H103,LEN(H103) - FIND("-",H103)))))</f>
        <v>L87-SD DONS B</v>
      </c>
      <c r="G170" s="97">
        <v>9</v>
      </c>
      <c r="H170" s="90" t="s">
        <v>257</v>
      </c>
      <c r="I170" s="97">
        <v>9.1999999999999993</v>
      </c>
      <c r="J170" s="90">
        <v>120</v>
      </c>
      <c r="K170" s="90">
        <v>123</v>
      </c>
      <c r="L170" s="90" t="str">
        <f t="shared" si="27"/>
        <v>10B-102</v>
      </c>
      <c r="O170" s="60" t="str">
        <f t="shared" si="28"/>
        <v>pt_13-20 qtr</v>
      </c>
    </row>
    <row r="171" spans="1:15" ht="14.1" customHeight="1">
      <c r="A171" s="69">
        <f t="shared" si="26"/>
        <v>46228</v>
      </c>
      <c r="B171" s="70">
        <f>'CHICLETS MASTER S2'!A58</f>
        <v>0.50694444444444398</v>
      </c>
      <c r="C171" s="71" t="s">
        <v>254</v>
      </c>
      <c r="D171" s="119" t="str">
        <f t="shared" si="29"/>
        <v>EL TORO HS 3</v>
      </c>
      <c r="E171" s="71">
        <v>105</v>
      </c>
      <c r="F171" s="90" t="str">
        <f>IF(G102="","L85",IF(G102&lt;I102,_xlfn.CONCAT("L85-",RIGHT(F102,LEN(F102) - FIND("-",F102))), _xlfn.CONCAT("L85-",RIGHT(H102,LEN(H102) - FIND("-",H102)))))</f>
        <v>L85-STANFORD RED</v>
      </c>
      <c r="G171" s="93">
        <v>15</v>
      </c>
      <c r="H171" s="90" t="s">
        <v>258</v>
      </c>
      <c r="I171" s="93">
        <v>8</v>
      </c>
      <c r="J171" s="90">
        <v>120</v>
      </c>
      <c r="K171" s="90">
        <v>123</v>
      </c>
      <c r="L171" s="90" t="str">
        <f t="shared" si="27"/>
        <v>10B-105</v>
      </c>
      <c r="O171" s="60" t="str">
        <f t="shared" si="28"/>
        <v>pt_13-20 qtr</v>
      </c>
    </row>
    <row r="172" spans="1:15" ht="14.1" customHeight="1">
      <c r="A172" s="69">
        <f t="shared" si="26"/>
        <v>46228</v>
      </c>
      <c r="B172" s="70">
        <f>'CHICLETS MASTER S2'!A59</f>
        <v>0.54166666666666696</v>
      </c>
      <c r="C172" s="71" t="s">
        <v>249</v>
      </c>
      <c r="D172" s="119" t="str">
        <f t="shared" si="29"/>
        <v>EL TORO HS 3</v>
      </c>
      <c r="E172" s="71">
        <v>108</v>
      </c>
      <c r="F172" s="90" t="s">
        <v>252</v>
      </c>
      <c r="G172" s="93">
        <v>9</v>
      </c>
      <c r="H172" s="90" t="s">
        <v>251</v>
      </c>
      <c r="I172" s="93">
        <v>5</v>
      </c>
      <c r="J172" s="90"/>
      <c r="K172" s="90"/>
      <c r="L172" s="90" t="str">
        <f t="shared" si="27"/>
        <v>10B-108</v>
      </c>
      <c r="O172" s="60" t="str">
        <f t="shared" si="28"/>
        <v>pt_21-24 RR</v>
      </c>
    </row>
    <row r="173" spans="1:15" ht="14.1" customHeight="1">
      <c r="A173" s="69">
        <f t="shared" si="26"/>
        <v>46228</v>
      </c>
      <c r="B173" s="70">
        <f>'CHICLETS MASTER S2'!A60</f>
        <v>0.57638888888888895</v>
      </c>
      <c r="C173" s="71" t="s">
        <v>249</v>
      </c>
      <c r="D173" s="119" t="str">
        <f t="shared" si="29"/>
        <v>EL TORO HS 3</v>
      </c>
      <c r="E173" s="71">
        <v>111</v>
      </c>
      <c r="F173" s="90" t="s">
        <v>250</v>
      </c>
      <c r="G173" s="97">
        <v>13.3</v>
      </c>
      <c r="H173" s="90" t="s">
        <v>253</v>
      </c>
      <c r="I173" s="97">
        <v>13.1</v>
      </c>
      <c r="J173" s="90"/>
      <c r="K173" s="90"/>
      <c r="L173" s="90" t="str">
        <f t="shared" si="27"/>
        <v>10B-111</v>
      </c>
      <c r="O173" s="60" t="str">
        <f t="shared" si="28"/>
        <v>pt_21-24 RR</v>
      </c>
    </row>
    <row r="174" spans="1:15" ht="14.1" customHeight="1">
      <c r="A174" s="69">
        <f t="shared" si="26"/>
        <v>46228</v>
      </c>
      <c r="B174" s="70">
        <f>'CHICLETS MASTER S2'!A61</f>
        <v>0.61111111111111105</v>
      </c>
      <c r="C174" s="71" t="s">
        <v>259</v>
      </c>
      <c r="D174" s="119" t="str">
        <f t="shared" si="29"/>
        <v>EL TORO HS 3</v>
      </c>
      <c r="E174" s="71">
        <v>114</v>
      </c>
      <c r="F174" s="90" t="str">
        <f>IF(G168="","W96",IF(G168&gt;I168,_xlfn.CONCAT("W96-",RIGHT(F168,LEN(F168) - FIND("-",F168))), _xlfn.CONCAT("W96-",RIGHT(H168,LEN(H168) - FIND("-",H168)))))</f>
        <v>W96-SOCAL BLACK</v>
      </c>
      <c r="G174" s="97">
        <v>7.1</v>
      </c>
      <c r="H174" s="90" t="str">
        <f>IF(G169="","W99",IF(G169&gt;I169,_xlfn.CONCAT("W99-",RIGHT(F169,LEN(F169) - FIND("-",F169))), _xlfn.CONCAT("W99-",RIGHT(H169,LEN(H169) - FIND("-",H169)))))</f>
        <v>W99-ORWP</v>
      </c>
      <c r="I174" s="97">
        <v>7.2</v>
      </c>
      <c r="J174" s="90">
        <v>135</v>
      </c>
      <c r="K174" s="90">
        <v>134</v>
      </c>
      <c r="L174" s="90" t="str">
        <f t="shared" si="27"/>
        <v>10B-114</v>
      </c>
      <c r="O174" s="60" t="str">
        <f t="shared" si="28"/>
        <v>pt_13-16 semi</v>
      </c>
    </row>
    <row r="175" spans="1:15" ht="14.1" customHeight="1">
      <c r="A175" s="69">
        <f t="shared" si="26"/>
        <v>46228</v>
      </c>
      <c r="B175" s="70">
        <f>'CHICLETS MASTER S2'!A62</f>
        <v>0.64583333333333304</v>
      </c>
      <c r="C175" s="71" t="s">
        <v>260</v>
      </c>
      <c r="D175" s="119" t="str">
        <f t="shared" si="29"/>
        <v>EL TORO HS 3</v>
      </c>
      <c r="E175" s="71">
        <v>117</v>
      </c>
      <c r="F175" s="90" t="str">
        <f>IF(G169="","L99",IF(G169&lt;I169,_xlfn.CONCAT("L99-",RIGHT(F169,LEN(F169) - FIND("-",F169))), _xlfn.CONCAT("L99-",RIGHT(H169,LEN(H169) - FIND("-",H169)))))</f>
        <v>L99-ELITE</v>
      </c>
      <c r="G175" s="93">
        <v>8</v>
      </c>
      <c r="H175" s="90" t="str">
        <f>IF(G168="","L96",IF(G168&lt;I168,_xlfn.CONCAT("L96-",RIGHT(F168,LEN(F168) - FIND("-",F168))), _xlfn.CONCAT("L96-",RIGHT(H168,LEN(H168) - FIND("-",H168)))))</f>
        <v>L96-LA JOLLA UNITED</v>
      </c>
      <c r="I175" s="93">
        <v>14</v>
      </c>
      <c r="J175" s="90">
        <v>129</v>
      </c>
      <c r="K175" s="90">
        <v>128</v>
      </c>
      <c r="L175" s="90" t="str">
        <f t="shared" si="27"/>
        <v>10B-117</v>
      </c>
      <c r="O175" s="60" t="str">
        <f t="shared" si="28"/>
        <v>pt_17-20 semi</v>
      </c>
    </row>
    <row r="176" spans="1:15" ht="14.1" customHeight="1">
      <c r="A176" s="69">
        <f t="shared" si="26"/>
        <v>46228</v>
      </c>
      <c r="B176" s="70">
        <f>'CHICLETS MASTER S2'!A63</f>
        <v>0.68055555555555602</v>
      </c>
      <c r="C176" s="71" t="s">
        <v>259</v>
      </c>
      <c r="D176" s="119" t="str">
        <f t="shared" si="29"/>
        <v>EL TORO HS 3</v>
      </c>
      <c r="E176" s="71">
        <v>120</v>
      </c>
      <c r="F176" s="90" t="str">
        <f>IF(G170="","W102",IF(G170&gt;I170,_xlfn.CONCAT("W102-",RIGHT(F170,LEN(F170) - FIND("-",F170))), _xlfn.CONCAT("W102-",RIGHT(H170,LEN(H170) - FIND("-",H170)))))</f>
        <v>W102-CAL REPUBLIC</v>
      </c>
      <c r="G176" s="93">
        <v>5</v>
      </c>
      <c r="H176" s="90" t="str">
        <f>IF(G171="","W105",IF(G171&gt;I171,_xlfn.CONCAT("W105-",RIGHT(F171,LEN(F171) - FIND("-",F171))), _xlfn.CONCAT("W105-",RIGHT(H171,LEN(H171) - FIND("-",H171)))))</f>
        <v>W105-STANFORD RED</v>
      </c>
      <c r="I176" s="93">
        <v>10</v>
      </c>
      <c r="J176" s="90">
        <v>135</v>
      </c>
      <c r="K176" s="90">
        <v>134</v>
      </c>
      <c r="L176" s="90" t="str">
        <f t="shared" si="27"/>
        <v>10B-120</v>
      </c>
      <c r="O176" s="60" t="str">
        <f t="shared" si="28"/>
        <v>pt_13-16 semi</v>
      </c>
    </row>
    <row r="177" spans="1:15" ht="14.1" customHeight="1">
      <c r="A177" s="69">
        <f t="shared" si="26"/>
        <v>46228</v>
      </c>
      <c r="B177" s="70">
        <f>'CHICLETS MASTER S2'!A64</f>
        <v>0.71527777777777801</v>
      </c>
      <c r="C177" s="71" t="s">
        <v>260</v>
      </c>
      <c r="D177" s="119" t="str">
        <f t="shared" si="29"/>
        <v>EL TORO HS 3</v>
      </c>
      <c r="E177" s="71">
        <v>123</v>
      </c>
      <c r="F177" s="90" t="str">
        <f>IF(G171="","L105",IF(G171&lt;I171,_xlfn.CONCAT("L105-",RIGHT(F171,LEN(F171) - FIND("-",F171))), _xlfn.CONCAT("L105-",RIGHT(H171,LEN(H171) - FIND("-",H171)))))</f>
        <v>L105-680 BLUE</v>
      </c>
      <c r="G177" s="93">
        <v>2</v>
      </c>
      <c r="H177" s="90" t="str">
        <f>IF(G170="","L102",IF(G170&lt;I170,_xlfn.CONCAT("L102-",RIGHT(F170,LEN(F170) - FIND("-",F170))), _xlfn.CONCAT("L102-",RIGHT(H170,LEN(H170) - FIND("-",H170)))))</f>
        <v>L102-SD DONS B</v>
      </c>
      <c r="I177" s="93">
        <v>9</v>
      </c>
      <c r="J177" s="90">
        <v>129</v>
      </c>
      <c r="K177" s="90">
        <v>128</v>
      </c>
      <c r="L177" s="90" t="str">
        <f t="shared" si="27"/>
        <v>10B-123</v>
      </c>
      <c r="O177" s="60" t="str">
        <f t="shared" si="28"/>
        <v>pt_17-20 semi</v>
      </c>
    </row>
    <row r="178" spans="1:15" ht="14.1" customHeight="1" thickBot="1">
      <c r="A178" s="98"/>
      <c r="B178" s="79"/>
    </row>
    <row r="179" spans="1:15" ht="14.1" customHeight="1" thickBot="1">
      <c r="D179" s="65" t="str">
        <f>'CHICLETS MASTER S2'!$B$51</f>
        <v>EL TORO HS 1</v>
      </c>
    </row>
    <row r="180" spans="1:15" ht="14.1" customHeight="1">
      <c r="A180" s="342" t="s">
        <v>124</v>
      </c>
      <c r="B180" s="342" t="s">
        <v>125</v>
      </c>
      <c r="C180" s="342" t="s">
        <v>126</v>
      </c>
      <c r="D180" s="342" t="s">
        <v>127</v>
      </c>
      <c r="E180" s="342" t="s">
        <v>128</v>
      </c>
      <c r="F180" s="342" t="s">
        <v>129</v>
      </c>
      <c r="G180" s="342" t="s">
        <v>130</v>
      </c>
      <c r="H180" s="342" t="s">
        <v>131</v>
      </c>
      <c r="I180" s="342" t="s">
        <v>130</v>
      </c>
      <c r="J180" s="342" t="s">
        <v>132</v>
      </c>
      <c r="K180" s="342" t="s">
        <v>133</v>
      </c>
      <c r="L180" s="342" t="s">
        <v>134</v>
      </c>
    </row>
    <row r="181" spans="1:15" ht="14.1" customHeight="1">
      <c r="A181" s="69">
        <f t="shared" si="24"/>
        <v>46228</v>
      </c>
      <c r="B181" s="70">
        <f>'CHICLETS MASTER S2'!A53</f>
        <v>0.33333333333333331</v>
      </c>
      <c r="C181" s="71" t="s">
        <v>261</v>
      </c>
      <c r="D181" s="119" t="str">
        <f>$D$179</f>
        <v>EL TORO HS 1</v>
      </c>
      <c r="E181" s="71">
        <v>91</v>
      </c>
      <c r="F181" s="155" t="s">
        <v>262</v>
      </c>
      <c r="G181" s="155">
        <v>15</v>
      </c>
      <c r="H181" s="155" t="str">
        <f>IF(G141="","L74",IF(G141&lt;I141,_xlfn.CONCAT("L74-",RIGHT(F141,LEN(F141) - FIND("-",F141))), _xlfn.CONCAT("L74-",RIGHT(H141,LEN(H141) - FIND("-",H141)))))</f>
        <v>L74-LAMORINDA WHITE</v>
      </c>
      <c r="I181" s="155">
        <v>7</v>
      </c>
      <c r="J181" s="155">
        <v>103</v>
      </c>
      <c r="K181" s="155" t="s">
        <v>261</v>
      </c>
      <c r="L181" s="155" t="str">
        <f t="shared" ref="L181:L190" si="30">IF(E181="","",$L$13&amp;"-"&amp;TEXT(E181,"000"))</f>
        <v>10B-091</v>
      </c>
      <c r="O181" s="60" t="str">
        <f t="shared" ref="O181:O188" si="31">$K$131&amp;C181</f>
        <v>au_RR9-11</v>
      </c>
    </row>
    <row r="182" spans="1:15" ht="14.1" customHeight="1">
      <c r="A182" s="69">
        <f t="shared" si="24"/>
        <v>46228</v>
      </c>
      <c r="B182" s="70">
        <f>'CHICLETS MASTER S2'!A54</f>
        <v>0.36805555555555558</v>
      </c>
      <c r="C182" s="71" t="s">
        <v>261</v>
      </c>
      <c r="D182" s="119" t="str">
        <f t="shared" ref="D182:D190" si="32">$D$179</f>
        <v>EL TORO HS 1</v>
      </c>
      <c r="E182" s="71">
        <v>94</v>
      </c>
      <c r="F182" s="155" t="str">
        <f>IF(G141="","W74",IF(G141&gt;I141,_xlfn.CONCAT("W74-",RIGHT(F141,LEN(F141) - FIND("-",F141))), _xlfn.CONCAT("W74-",RIGHT(H141,LEN(H141) - FIND("-",H141)))))</f>
        <v>W74-YOLO</v>
      </c>
      <c r="G182" s="155">
        <v>14</v>
      </c>
      <c r="H182" s="155" t="str">
        <f>IF(G143="","W80",IF(G143&gt;I143,_xlfn.CONCAT("W80-",RIGHT(F143,LEN(F143) - FIND("-",F143))), _xlfn.CONCAT("W80-",RIGHT(H143,LEN(H143) - FIND("-",H143)))))</f>
        <v>W80-SOCAL GOLD</v>
      </c>
      <c r="I182" s="155">
        <v>8</v>
      </c>
      <c r="J182" s="155">
        <v>109</v>
      </c>
      <c r="K182" s="155" t="s">
        <v>261</v>
      </c>
      <c r="L182" s="155" t="str">
        <f t="shared" si="30"/>
        <v>10B-094</v>
      </c>
      <c r="O182" s="60" t="str">
        <f t="shared" si="31"/>
        <v>au_RR9-11</v>
      </c>
    </row>
    <row r="183" spans="1:15" ht="14.1" customHeight="1">
      <c r="A183" s="69">
        <f t="shared" si="24"/>
        <v>46228</v>
      </c>
      <c r="B183" s="70">
        <f>'CHICLETS MASTER S2'!A55</f>
        <v>0.40277777777777801</v>
      </c>
      <c r="C183" s="71" t="s">
        <v>261</v>
      </c>
      <c r="D183" s="119" t="str">
        <f t="shared" si="32"/>
        <v>EL TORO HS 1</v>
      </c>
      <c r="E183" s="71">
        <v>97</v>
      </c>
      <c r="F183" s="155" t="str">
        <f>IF(G143="","L80",IF(G143&lt;I143,_xlfn.CONCAT("L80-",RIGHT(F143,LEN(F143) - FIND("-",F143))), _xlfn.CONCAT("L80-",RIGHT(H143,LEN(H143) - FIND("-",H143)))))</f>
        <v>L80-TEMPLE CITY BLACK</v>
      </c>
      <c r="G183" s="155">
        <v>9.1</v>
      </c>
      <c r="H183" s="155" t="s">
        <v>263</v>
      </c>
      <c r="I183" s="155">
        <v>9.3000000000000007</v>
      </c>
      <c r="J183" s="155">
        <v>109</v>
      </c>
      <c r="K183" s="155" t="s">
        <v>261</v>
      </c>
      <c r="L183" s="155" t="str">
        <f t="shared" si="30"/>
        <v>10B-097</v>
      </c>
      <c r="O183" s="60" t="str">
        <f t="shared" si="31"/>
        <v>au_RR9-11</v>
      </c>
    </row>
    <row r="184" spans="1:15" ht="14.1" customHeight="1">
      <c r="A184" s="69">
        <f t="shared" si="24"/>
        <v>46228</v>
      </c>
      <c r="B184" s="70">
        <f>'CHICLETS MASTER S2'!A56</f>
        <v>0.4375</v>
      </c>
      <c r="C184" s="71" t="s">
        <v>242</v>
      </c>
      <c r="D184" s="119" t="str">
        <f t="shared" si="32"/>
        <v>EL TORO HS 1</v>
      </c>
      <c r="E184" s="71">
        <v>100</v>
      </c>
      <c r="F184" s="155" t="str">
        <f>IF(G140="","W71",IF(G140&gt;I140,_xlfn.CONCAT("W71-",RIGHT(F140,LEN(F140) - FIND("-",F140))), _xlfn.CONCAT("W71-",RIGHT(H140,LEN(H140) - FIND("-",H140)))))</f>
        <v>W71-NORCAL BLACK</v>
      </c>
      <c r="G184" s="155">
        <v>4</v>
      </c>
      <c r="H184" s="155" t="str">
        <f>IF(G142="","W77",IF(G142&gt;I142,_xlfn.CONCAT("W77-",RIGHT(F142,LEN(F142) - FIND("-",F142))), _xlfn.CONCAT("W77-",RIGHT(H142,LEN(H142) - FIND("-",H142)))))</f>
        <v>W77-SHAQ</v>
      </c>
      <c r="I184" s="155">
        <v>9</v>
      </c>
      <c r="J184" s="155">
        <v>127</v>
      </c>
      <c r="K184" s="155">
        <v>115</v>
      </c>
      <c r="L184" s="155" t="str">
        <f t="shared" si="30"/>
        <v>10B-100</v>
      </c>
      <c r="O184" s="60" t="str">
        <f t="shared" si="31"/>
        <v>au_1-2 v 3-4</v>
      </c>
    </row>
    <row r="185" spans="1:15" ht="14.1" customHeight="1">
      <c r="A185" s="69">
        <f t="shared" si="24"/>
        <v>46228</v>
      </c>
      <c r="B185" s="70">
        <f>'CHICLETS MASTER S2'!A57</f>
        <v>0.47222222222222199</v>
      </c>
      <c r="C185" s="71" t="s">
        <v>247</v>
      </c>
      <c r="D185" s="119" t="str">
        <f t="shared" si="32"/>
        <v>EL TORO HS 1</v>
      </c>
      <c r="E185" s="71">
        <v>103</v>
      </c>
      <c r="F185" s="155" t="str">
        <f>IF(G145="","L84",IF(G145&lt;I145,_xlfn.CONCAT("L84-",RIGHT(F145,LEN(F145) - FIND("-",F145))), _xlfn.CONCAT("L84-",RIGHT(H145,LEN(H145) - FIND("-",H145)))))</f>
        <v>L84-LB SHORE</v>
      </c>
      <c r="G185" s="155">
        <v>5</v>
      </c>
      <c r="H185" s="155" t="str">
        <f>IF(G181="","W91",IF(G181&gt;I181,_xlfn.CONCAT("W91-",RIGHT(F181,LEN(F181) - FIND("-",F181))), _xlfn.CONCAT("W91-",RIGHT(H181,LEN(H181) - FIND("-",H181)))))</f>
        <v>W91-LAMORINDA GOLD</v>
      </c>
      <c r="I185" s="155">
        <v>9</v>
      </c>
      <c r="J185" s="155">
        <v>115</v>
      </c>
      <c r="K185" s="155">
        <v>140</v>
      </c>
      <c r="L185" s="155" t="str">
        <f t="shared" si="30"/>
        <v>10B-103</v>
      </c>
      <c r="O185" s="60" t="str">
        <f t="shared" si="31"/>
        <v>au_5-6 v 7-8</v>
      </c>
    </row>
    <row r="186" spans="1:15" ht="14.1" customHeight="1">
      <c r="A186" s="69">
        <f t="shared" si="24"/>
        <v>46228</v>
      </c>
      <c r="B186" s="70">
        <f>'CHICLETS MASTER S2'!A58</f>
        <v>0.50694444444444398</v>
      </c>
      <c r="C186" s="71" t="s">
        <v>242</v>
      </c>
      <c r="D186" s="119" t="str">
        <f t="shared" si="32"/>
        <v>EL TORO HS 1</v>
      </c>
      <c r="E186" s="71">
        <v>106</v>
      </c>
      <c r="F186" s="155" t="s">
        <v>264</v>
      </c>
      <c r="G186" s="155">
        <v>8</v>
      </c>
      <c r="H186" s="155" t="str">
        <f>IF(G145="","W84",IF(G145&gt;I145,_xlfn.CONCAT("W84-",RIGHT(F145,LEN(F145) - FIND("-",F145))), _xlfn.CONCAT("W84-",RIGHT(H145,LEN(H145) - FIND("-",H145)))))</f>
        <v>W84-STANFORD BLACK</v>
      </c>
      <c r="I186" s="155">
        <v>7</v>
      </c>
      <c r="J186" s="155">
        <v>124</v>
      </c>
      <c r="K186" s="155">
        <v>118</v>
      </c>
      <c r="L186" s="155" t="str">
        <f t="shared" si="30"/>
        <v>10B-106</v>
      </c>
      <c r="O186" s="60" t="str">
        <f t="shared" si="31"/>
        <v>au_1-2 v 3-4</v>
      </c>
    </row>
    <row r="187" spans="1:15" ht="14.1" customHeight="1">
      <c r="A187" s="69">
        <f t="shared" si="24"/>
        <v>46228</v>
      </c>
      <c r="B187" s="70">
        <f>'CHICLETS MASTER S2'!A59</f>
        <v>0.54166666666666696</v>
      </c>
      <c r="C187" s="71" t="s">
        <v>247</v>
      </c>
      <c r="D187" s="119" t="str">
        <f t="shared" si="32"/>
        <v>EL TORO HS 1</v>
      </c>
      <c r="E187" s="71">
        <v>109</v>
      </c>
      <c r="F187" s="155" t="str">
        <f>IF(G182="","W94",IF(G182&gt;I182,_xlfn.CONCAT("W94-",RIGHT(F182,LEN(F182) - FIND("-",F182))), _xlfn.CONCAT("W94-",RIGHT(H182,LEN(H182) - FIND("-",H182)))))</f>
        <v>W94-YOLO</v>
      </c>
      <c r="G187" s="155">
        <v>16</v>
      </c>
      <c r="H187" s="155" t="str">
        <f>IF(G183="","W97",IF(G183&gt;I183,_xlfn.CONCAT("W97-",RIGHT(F183,LEN(F183) - FIND("-",F183))), _xlfn.CONCAT("W97-",RIGHT(H183,LEN(H183) - FIND("-",H183)))))</f>
        <v>W97-680 WHITE</v>
      </c>
      <c r="I187" s="155">
        <v>4</v>
      </c>
      <c r="J187" s="155">
        <v>118</v>
      </c>
      <c r="K187" s="155">
        <v>140</v>
      </c>
      <c r="L187" s="155" t="str">
        <f t="shared" si="30"/>
        <v>10B-109</v>
      </c>
      <c r="O187" s="60" t="str">
        <f t="shared" si="31"/>
        <v>au_5-6 v 7-8</v>
      </c>
    </row>
    <row r="188" spans="1:15" ht="14.1" customHeight="1">
      <c r="A188" s="69">
        <f t="shared" si="24"/>
        <v>46228</v>
      </c>
      <c r="B188" s="70">
        <f>'CHICLETS MASTER S2'!A60</f>
        <v>0.57638888888888895</v>
      </c>
      <c r="C188" s="71" t="s">
        <v>265</v>
      </c>
      <c r="D188" s="119" t="str">
        <f t="shared" si="32"/>
        <v>EL TORO HS 1</v>
      </c>
      <c r="E188" s="71">
        <v>112</v>
      </c>
      <c r="F188" s="155" t="str">
        <f>IF(G181="","L91",IF(G181&lt;I181,_xlfn.CONCAT("L91-",RIGHT(F181,LEN(F181) - FIND("-",F181))), _xlfn.CONCAT("L91-",RIGHT(H181,LEN(H181) - FIND("-",H181)))))</f>
        <v>L91-LAMORINDA WHITE</v>
      </c>
      <c r="G188" s="155">
        <v>7</v>
      </c>
      <c r="H188" s="155" t="str">
        <f>IF(G182="","L94",IF(G182&lt;I182,_xlfn.CONCAT("L94-",RIGHT(F182,LEN(F182) - FIND("-",F182))), _xlfn.CONCAT("L94-",RIGHT(H182,LEN(H182) - FIND("-",H182)))))</f>
        <v>L94-SOCAL GOLD</v>
      </c>
      <c r="I188" s="155">
        <v>12</v>
      </c>
      <c r="J188" s="155" t="s">
        <v>234</v>
      </c>
      <c r="K188" s="155" t="s">
        <v>234</v>
      </c>
      <c r="L188" s="155" t="str">
        <f t="shared" si="30"/>
        <v>10B-112</v>
      </c>
      <c r="O188" s="60" t="str">
        <f t="shared" si="31"/>
        <v>au_9-11 RR</v>
      </c>
    </row>
    <row r="189" spans="1:15" ht="14.1" customHeight="1">
      <c r="A189" s="69">
        <f t="shared" si="24"/>
        <v>46228</v>
      </c>
      <c r="B189" s="70">
        <f>'CHICLETS MASTER S2'!A61</f>
        <v>0.61111111111111105</v>
      </c>
      <c r="C189" s="71" t="s">
        <v>266</v>
      </c>
      <c r="D189" s="119" t="str">
        <f t="shared" si="32"/>
        <v>EL TORO HS 1</v>
      </c>
      <c r="E189" s="71">
        <v>115</v>
      </c>
      <c r="F189" s="155" t="str">
        <f>IF(G184="","L100",IF(G184&lt;I184,_xlfn.CONCAT("L100-",RIGHT(F184,LEN(F184) - FIND("-",F184))), _xlfn.CONCAT("L100-",RIGHT(H184,LEN(H184) - FIND("-",H184)))))</f>
        <v>L100-NORCAL BLACK</v>
      </c>
      <c r="G189" s="155">
        <v>14</v>
      </c>
      <c r="H189" s="155" t="str">
        <f>IF(G185="","W103",IF(G185&gt;I185,_xlfn.CONCAT("W103-",RIGHT(F185,LEN(F185) - FIND("-",F185))), _xlfn.CONCAT("W103-",RIGHT(H185,LEN(H185) - FIND("-",H185)))))</f>
        <v>W103-LAMORINDA GOLD</v>
      </c>
      <c r="I189" s="155">
        <v>8</v>
      </c>
      <c r="J189" s="155">
        <v>124</v>
      </c>
      <c r="K189" s="155">
        <v>139</v>
      </c>
      <c r="L189" s="155" t="str">
        <f t="shared" si="30"/>
        <v>10B-115</v>
      </c>
      <c r="O189" s="60" t="str">
        <f>$K$131&amp;C189</f>
        <v>au_qtr final</v>
      </c>
    </row>
    <row r="190" spans="1:15" ht="14.1" customHeight="1">
      <c r="A190" s="69">
        <f t="shared" si="24"/>
        <v>46228</v>
      </c>
      <c r="B190" s="70">
        <f>'CHICLETS MASTER S2'!A62</f>
        <v>0.64583333333333304</v>
      </c>
      <c r="C190" s="71" t="s">
        <v>266</v>
      </c>
      <c r="D190" s="119" t="str">
        <f t="shared" si="32"/>
        <v>EL TORO HS 1</v>
      </c>
      <c r="E190" s="71">
        <v>118</v>
      </c>
      <c r="F190" s="155" t="str">
        <f>IF(G186="","L106",IF(G186&lt;I186,_xlfn.CONCAT("L106-",RIGHT(F186,LEN(F186) - FIND("-",F186))), _xlfn.CONCAT("L106-",RIGHT(H186,LEN(H186) - FIND("-",H186)))))</f>
        <v>L106-STANFORD BLACK</v>
      </c>
      <c r="G190" s="155">
        <v>6</v>
      </c>
      <c r="H190" s="155" t="str">
        <f>IF(G187="","W109",IF(G187&gt;I187,_xlfn.CONCAT("W109-",RIGHT(F187,LEN(F187) - FIND("-",F187))), _xlfn.CONCAT("W109-",RIGHT(H187,LEN(H187) - FIND("-",H187)))))</f>
        <v>W109-YOLO</v>
      </c>
      <c r="I190" s="155">
        <v>8</v>
      </c>
      <c r="J190" s="155">
        <v>127</v>
      </c>
      <c r="K190" s="155">
        <v>139</v>
      </c>
      <c r="L190" s="155" t="str">
        <f t="shared" si="30"/>
        <v>10B-118</v>
      </c>
      <c r="O190" s="60" t="str">
        <f>$K$131&amp;C190</f>
        <v>au_qtr final</v>
      </c>
    </row>
    <row r="191" spans="1:15" ht="14.1" customHeight="1" thickBot="1"/>
    <row r="192" spans="1:15" ht="14.1" customHeight="1" thickTop="1" thickBot="1">
      <c r="A192" s="280" t="s">
        <v>267</v>
      </c>
      <c r="B192" s="147"/>
      <c r="C192" s="147"/>
      <c r="D192" s="147"/>
      <c r="E192" s="147"/>
      <c r="F192" s="147"/>
      <c r="G192" s="282"/>
      <c r="H192" s="147"/>
      <c r="I192" s="282"/>
      <c r="J192" s="147"/>
      <c r="K192" s="147"/>
      <c r="L192" s="147"/>
    </row>
    <row r="193" spans="1:15" ht="14.1" customHeight="1" thickBot="1">
      <c r="A193" s="61">
        <v>46229</v>
      </c>
    </row>
    <row r="194" spans="1:15" ht="14.1" customHeight="1" thickBot="1">
      <c r="D194" s="65" t="str">
        <f>'CHICLETS MASTER S2'!C72</f>
        <v>EL TORO HS 2</v>
      </c>
    </row>
    <row r="195" spans="1:15" ht="14.1" customHeight="1">
      <c r="A195" s="342" t="s">
        <v>124</v>
      </c>
      <c r="B195" s="342" t="s">
        <v>125</v>
      </c>
      <c r="C195" s="342" t="s">
        <v>126</v>
      </c>
      <c r="D195" s="342" t="s">
        <v>127</v>
      </c>
      <c r="E195" s="342" t="s">
        <v>128</v>
      </c>
      <c r="F195" s="342" t="s">
        <v>129</v>
      </c>
      <c r="G195" s="342" t="s">
        <v>130</v>
      </c>
      <c r="H195" s="342" t="s">
        <v>131</v>
      </c>
      <c r="I195" s="342" t="s">
        <v>130</v>
      </c>
      <c r="J195" s="342" t="s">
        <v>132</v>
      </c>
      <c r="K195" s="342" t="s">
        <v>133</v>
      </c>
      <c r="L195" s="342" t="s">
        <v>134</v>
      </c>
    </row>
    <row r="196" spans="1:15" ht="14.1" customHeight="1">
      <c r="A196" s="69">
        <f t="shared" ref="A196:A231" si="33">$A$193</f>
        <v>46229</v>
      </c>
      <c r="B196" s="293">
        <f>'CHICLETS MASTER S2'!A74</f>
        <v>0.33333333333333298</v>
      </c>
      <c r="C196" s="119" t="s">
        <v>268</v>
      </c>
      <c r="D196" s="119" t="str">
        <f>$D$194</f>
        <v>EL TORO HS 2</v>
      </c>
      <c r="E196" s="119">
        <v>124</v>
      </c>
      <c r="F196" s="155" t="str">
        <f>IF(G186="","W106",IF(G186&gt;I186,_xlfn.CONCAT("W106-",RIGHT(F186,LEN(F186) - FIND("-",F186))), _xlfn.CONCAT("W106-",RIGHT(H186,LEN(H186) - FIND("-",H186)))))</f>
        <v>W106-SAN CLEMENTE BLACK</v>
      </c>
      <c r="G196" s="155">
        <v>8</v>
      </c>
      <c r="H196" s="155" t="str">
        <f>IF(G189="","W115",IF(G189&gt;I189,_xlfn.CONCAT("W115-",RIGHT(F189,LEN(F189) - FIND("-",F189))), _xlfn.CONCAT("W115-",RIGHT(H189,LEN(H189) - FIND("-",H189)))))</f>
        <v>W115-NORCAL BLACK</v>
      </c>
      <c r="I196" s="155">
        <v>9</v>
      </c>
      <c r="J196" s="155">
        <v>133</v>
      </c>
      <c r="K196" s="155">
        <v>130</v>
      </c>
      <c r="L196" s="155" t="str">
        <f t="shared" ref="L196:L201" si="34">IF(E196="","",$L$13&amp;"-"&amp;TEXT(E196,"000"))</f>
        <v>10B-124</v>
      </c>
      <c r="N196" s="60" t="str">
        <f>$L$138&amp;C196</f>
        <v>10B-065semi</v>
      </c>
      <c r="O196" s="347" t="str">
        <f>$K$131&amp;C196</f>
        <v>au_semi</v>
      </c>
    </row>
    <row r="197" spans="1:15" ht="14.1" customHeight="1">
      <c r="A197" s="69">
        <f t="shared" si="33"/>
        <v>46229</v>
      </c>
      <c r="B197" s="293">
        <f>'CHICLETS MASTER S2'!A75</f>
        <v>0.375</v>
      </c>
      <c r="C197" s="119" t="s">
        <v>268</v>
      </c>
      <c r="D197" s="119" t="str">
        <f>$D$194</f>
        <v>EL TORO HS 2</v>
      </c>
      <c r="E197" s="119">
        <v>127</v>
      </c>
      <c r="F197" s="155" t="str">
        <f>IF(G184="","W100",IF(G184&gt;I184,_xlfn.CONCAT("W100-",RIGHT(F184,LEN(F184) - FIND("-",F184))), _xlfn.CONCAT("W100-",RIGHT(H184,LEN(H184) - FIND("-",H184)))))</f>
        <v>W100-SHAQ</v>
      </c>
      <c r="G197" s="155">
        <v>11</v>
      </c>
      <c r="H197" s="155" t="str">
        <f>IF(G190="","W118",IF(G190&gt;I190,_xlfn.CONCAT("W118-",RIGHT(F190,LEN(F190) - FIND("-",F190))), _xlfn.CONCAT("W118-",RIGHT(H190,LEN(H190) - FIND("-",H190)))))</f>
        <v>W118-YOLO</v>
      </c>
      <c r="I197" s="155">
        <v>16</v>
      </c>
      <c r="J197" s="155">
        <v>133</v>
      </c>
      <c r="K197" s="155">
        <v>130</v>
      </c>
      <c r="L197" s="155" t="str">
        <f t="shared" si="34"/>
        <v>10B-127</v>
      </c>
      <c r="N197" s="60" t="str">
        <f>$L$138&amp;C197</f>
        <v>10B-065semi</v>
      </c>
      <c r="O197" s="347" t="str">
        <f>$K$131&amp;C197</f>
        <v>au_semi</v>
      </c>
    </row>
    <row r="198" spans="1:15" ht="14.1" customHeight="1">
      <c r="A198" s="69">
        <f t="shared" ref="A198:A219" si="35">$A$193</f>
        <v>46229</v>
      </c>
      <c r="B198" s="293">
        <f>'CHICLETS MASTER S2'!A76</f>
        <v>0.41666666666666702</v>
      </c>
      <c r="C198" s="71" t="s">
        <v>269</v>
      </c>
      <c r="D198" s="119" t="str">
        <f t="shared" ref="D198:D200" si="36">$D$194</f>
        <v>EL TORO HS 2</v>
      </c>
      <c r="E198" s="71">
        <v>140</v>
      </c>
      <c r="F198" s="90" t="str">
        <f>IF(G157="","L107",IF(G157&lt;I157,_xlfn.CONCAT("L107-",RIGHT(F157,LEN(F157) - FIND("-",F157))), _xlfn.CONCAT("L107-",RIGHT(H157,LEN(H157) - FIND("-",H157)))))</f>
        <v>L107-TEMPLE CITY YELLOW</v>
      </c>
      <c r="G198" s="93">
        <v>11</v>
      </c>
      <c r="H198" s="90" t="str">
        <f>IF(G158="","L110",IF(G158&lt;I158,_xlfn.CONCAT("L110-",RIGHT(F158,LEN(F158) - FIND("-",F158))), _xlfn.CONCAT("L110-",RIGHT(H158,LEN(H158) - FIND("-",H158)))))</f>
        <v>L110-SAN CLEMENTE RED</v>
      </c>
      <c r="I198" s="93">
        <v>4</v>
      </c>
      <c r="J198" s="90" t="s">
        <v>270</v>
      </c>
      <c r="K198" s="90" t="s">
        <v>271</v>
      </c>
      <c r="L198" s="90" t="str">
        <f t="shared" si="34"/>
        <v>10B-140</v>
      </c>
      <c r="O198" s="60" t="str">
        <f>$K$130&amp;C198</f>
        <v>pt_7th</v>
      </c>
    </row>
    <row r="199" spans="1:15" ht="14.1" customHeight="1">
      <c r="A199" s="294">
        <f t="shared" si="35"/>
        <v>46229</v>
      </c>
      <c r="B199" s="293">
        <f>'CHICLETS MASTER S2'!A77</f>
        <v>0.45833333333333298</v>
      </c>
      <c r="C199" s="71" t="s">
        <v>272</v>
      </c>
      <c r="D199" s="119" t="str">
        <f t="shared" si="36"/>
        <v>EL TORO HS 2</v>
      </c>
      <c r="E199" s="71">
        <v>141</v>
      </c>
      <c r="F199" s="90" t="str">
        <f>IF(G161="","L119",IF(G161&lt;I161,_xlfn.CONCAT("L119-",RIGHT(F161,LEN(F161) - FIND("-",F161))), _xlfn.CONCAT("L119-",RIGHT(H161,LEN(H161) - FIND("-",H161)))))</f>
        <v>L119-NEWPORT BEACH WHITE</v>
      </c>
      <c r="G199" s="93">
        <v>14</v>
      </c>
      <c r="H199" s="90" t="str">
        <f>IF(G162="","L122",IF(G162&lt;I162,_xlfn.CONCAT("L122-",RIGHT(F162,LEN(F162) - FIND("-",F162))), _xlfn.CONCAT("L122-",RIGHT(H162,LEN(H162) - FIND("-",H162)))))</f>
        <v>L122-680 RED</v>
      </c>
      <c r="I199" s="93">
        <v>10</v>
      </c>
      <c r="J199" s="90" t="s">
        <v>273</v>
      </c>
      <c r="K199" s="90" t="s">
        <v>274</v>
      </c>
      <c r="L199" s="90" t="str">
        <f t="shared" si="34"/>
        <v>10B-141</v>
      </c>
      <c r="O199" s="60" t="str">
        <f>$K$130&amp;C199</f>
        <v>pt_5th</v>
      </c>
    </row>
    <row r="200" spans="1:15" ht="14.1" customHeight="1">
      <c r="A200" s="69">
        <f t="shared" si="33"/>
        <v>46229</v>
      </c>
      <c r="B200" s="293">
        <f>'CHICLETS MASTER S2'!A78</f>
        <v>0.5</v>
      </c>
      <c r="C200" s="119" t="s">
        <v>275</v>
      </c>
      <c r="D200" s="119" t="str">
        <f t="shared" si="36"/>
        <v>EL TORO HS 2</v>
      </c>
      <c r="E200" s="119">
        <v>130</v>
      </c>
      <c r="F200" s="155" t="str">
        <f>IF(G196="","L124",IF(G196&lt;I196,_xlfn.CONCAT("L124-",RIGHT(F196,LEN(F196) - FIND("-",F196))), _xlfn.CONCAT("L124-",RIGHT(H196,LEN(H196) - FIND("-",H196)))))</f>
        <v>L124-SAN CLEMENTE BLACK</v>
      </c>
      <c r="G200" s="155">
        <v>6</v>
      </c>
      <c r="H200" s="155" t="str">
        <f>IF(G197="","L127",IF(G197&lt;I197,_xlfn.CONCAT("L127-",RIGHT(F197,LEN(F197) - FIND("-",F197))), _xlfn.CONCAT("L127-",RIGHT(H197,LEN(H197) - FIND("-",H197)))))</f>
        <v>L127-SHAQ</v>
      </c>
      <c r="I200" s="155">
        <v>10</v>
      </c>
      <c r="J200" s="155" t="s">
        <v>276</v>
      </c>
      <c r="K200" s="155" t="s">
        <v>277</v>
      </c>
      <c r="L200" s="155" t="str">
        <f t="shared" si="34"/>
        <v>10B-130</v>
      </c>
      <c r="N200" s="60" t="str">
        <f>$L$138&amp;C200</f>
        <v>10B-0653rd</v>
      </c>
      <c r="O200" s="347" t="str">
        <f>$K$131&amp;C200</f>
        <v>au_3rd</v>
      </c>
    </row>
    <row r="201" spans="1:15" ht="14.1" customHeight="1">
      <c r="A201" s="69">
        <f t="shared" si="33"/>
        <v>46229</v>
      </c>
      <c r="B201" s="293">
        <f>'CHICLETS MASTER S2'!A79</f>
        <v>0.54166666666666696</v>
      </c>
      <c r="C201" s="119" t="s">
        <v>278</v>
      </c>
      <c r="D201" s="119" t="str">
        <f>$D$194</f>
        <v>EL TORO HS 2</v>
      </c>
      <c r="E201" s="119">
        <v>133</v>
      </c>
      <c r="F201" s="155" t="str">
        <f>IF(G196="","W124",IF(G196&gt;I196,_xlfn.CONCAT("W124-",RIGHT(F196,LEN(F196) - FIND("-",F196))), _xlfn.CONCAT("W124-",RIGHT(H196,LEN(H196) - FIND("-",H196)))))</f>
        <v>W124-NORCAL BLACK</v>
      </c>
      <c r="G201" s="155">
        <v>7</v>
      </c>
      <c r="H201" s="155" t="str">
        <f>IF(G197="","W127",IF(G197&gt;I197,_xlfn.CONCAT("W127-",RIGHT(F197,LEN(F197) - FIND("-",F197))), _xlfn.CONCAT("W127-",RIGHT(H197,LEN(H197) - FIND("-",H197)))))</f>
        <v>W127-YOLO</v>
      </c>
      <c r="I201" s="155">
        <v>8</v>
      </c>
      <c r="J201" s="155" t="s">
        <v>279</v>
      </c>
      <c r="K201" s="155" t="s">
        <v>280</v>
      </c>
      <c r="L201" s="155" t="str">
        <f t="shared" si="34"/>
        <v>10B-133</v>
      </c>
      <c r="N201" s="60" t="str">
        <f>$L$138&amp;C201</f>
        <v>10B-0651st</v>
      </c>
      <c r="O201" s="347" t="str">
        <f>$K$131&amp;C201</f>
        <v>au_1st</v>
      </c>
    </row>
    <row r="202" spans="1:15" ht="14.1" customHeight="1" thickBot="1"/>
    <row r="203" spans="1:15" ht="14.1" customHeight="1" thickBot="1">
      <c r="D203" s="65" t="str">
        <f>'CHICLETS MASTER S2'!$D$72</f>
        <v>EL TORO HS 3</v>
      </c>
    </row>
    <row r="204" spans="1:15" ht="14.1" customHeight="1">
      <c r="A204" s="342" t="s">
        <v>124</v>
      </c>
      <c r="B204" s="342" t="s">
        <v>125</v>
      </c>
      <c r="C204" s="342" t="s">
        <v>126</v>
      </c>
      <c r="D204" s="342" t="s">
        <v>127</v>
      </c>
      <c r="E204" s="342" t="s">
        <v>128</v>
      </c>
      <c r="F204" s="342" t="s">
        <v>129</v>
      </c>
      <c r="G204" s="342" t="s">
        <v>130</v>
      </c>
      <c r="H204" s="342" t="s">
        <v>131</v>
      </c>
      <c r="I204" s="342" t="s">
        <v>130</v>
      </c>
      <c r="J204" s="342" t="s">
        <v>132</v>
      </c>
      <c r="K204" s="342" t="s">
        <v>133</v>
      </c>
      <c r="L204" s="342" t="s">
        <v>134</v>
      </c>
    </row>
    <row r="205" spans="1:15" ht="14.1" customHeight="1">
      <c r="A205" s="69">
        <f t="shared" si="35"/>
        <v>46229</v>
      </c>
      <c r="B205" s="293">
        <f>'CHICLETS MASTER S2'!A74</f>
        <v>0.33333333333333298</v>
      </c>
      <c r="C205" s="71" t="s">
        <v>281</v>
      </c>
      <c r="D205" s="119" t="str">
        <f t="shared" ref="D205:D210" si="37">$D$203</f>
        <v>EL TORO HS 3</v>
      </c>
      <c r="E205" s="71">
        <v>138</v>
      </c>
      <c r="F205" s="90" t="str">
        <f>IF(G159="","W113",IF(G159&gt;I159,_xlfn.CONCAT("W113-",RIGHT(F159,LEN(F159) - FIND("-",F159))), _xlfn.CONCAT("W113-",RIGHT(H159,LEN(H159) - FIND("-",H159)))))</f>
        <v>W113-CDM BLUE</v>
      </c>
      <c r="G205" s="93">
        <v>7</v>
      </c>
      <c r="H205" s="90" t="str">
        <f>IF(G160="","W116",IF(G160&gt;I160,_xlfn.CONCAT("W116-",RIGHT(F160,LEN(F160) - FIND("-",F160))), _xlfn.CONCAT("W116-",RIGHT(H160,LEN(H160) - FIND("-",H160)))))</f>
        <v>W116-CC UNITED BLACK</v>
      </c>
      <c r="I205" s="93">
        <v>11</v>
      </c>
      <c r="J205" s="90" t="s">
        <v>282</v>
      </c>
      <c r="K205" s="90" t="s">
        <v>283</v>
      </c>
      <c r="L205" s="90" t="str">
        <f>IF(E205="","",$L$13&amp;"-"&amp;TEXT(E205,"000"))</f>
        <v>10B-138</v>
      </c>
      <c r="O205" s="60" t="str">
        <f t="shared" ref="O205:O210" si="38">$K$130&amp;C205</f>
        <v>pt_9th</v>
      </c>
    </row>
    <row r="206" spans="1:15" ht="14.1" customHeight="1">
      <c r="A206" s="69">
        <f t="shared" si="35"/>
        <v>46229</v>
      </c>
      <c r="B206" s="293">
        <f>'CHICLETS MASTER S2'!A75</f>
        <v>0.375</v>
      </c>
      <c r="C206" s="71" t="s">
        <v>284</v>
      </c>
      <c r="D206" s="119" t="str">
        <f t="shared" si="37"/>
        <v>EL TORO HS 3</v>
      </c>
      <c r="E206" s="71">
        <v>137</v>
      </c>
      <c r="F206" s="90" t="str">
        <f>IF(G159="","L113",IF(G159&lt;I159,_xlfn.CONCAT("L113-",RIGHT(F159,LEN(F159) - FIND("-",F159))), _xlfn.CONCAT("L113-",RIGHT(H159,LEN(H159) - FIND("-",H159)))))</f>
        <v>L113-LAMORINDA BLUE</v>
      </c>
      <c r="G206" s="93">
        <v>6</v>
      </c>
      <c r="H206" s="90" t="str">
        <f>IF(G160="","L116",IF(G160&lt;I160,_xlfn.CONCAT("L116-",RIGHT(F160,LEN(F160) - FIND("-",F160))), _xlfn.CONCAT("L116-",RIGHT(H160,LEN(H160) - FIND("-",H160)))))</f>
        <v>L116-GREENWICH BLUE</v>
      </c>
      <c r="I206" s="93">
        <v>18</v>
      </c>
      <c r="J206" s="90" t="s">
        <v>285</v>
      </c>
      <c r="K206" s="90" t="s">
        <v>286</v>
      </c>
      <c r="L206" s="90" t="str">
        <f>IF(E206="","",$L$13&amp;"-"&amp;TEXT(E206,"000"))</f>
        <v>10B-137</v>
      </c>
      <c r="O206" s="60" t="str">
        <f t="shared" si="38"/>
        <v>pt_11th</v>
      </c>
    </row>
    <row r="207" spans="1:15" ht="14.1" customHeight="1">
      <c r="A207" s="69">
        <f t="shared" si="35"/>
        <v>46229</v>
      </c>
      <c r="B207" s="293">
        <f>'CHICLETS MASTER S2'!A76</f>
        <v>0.41666666666666702</v>
      </c>
      <c r="C207" s="71" t="s">
        <v>287</v>
      </c>
      <c r="D207" s="119" t="str">
        <f t="shared" si="37"/>
        <v>EL TORO HS 3</v>
      </c>
      <c r="E207" s="71">
        <v>135</v>
      </c>
      <c r="F207" s="90" t="str">
        <f>IF(G174="","W114",IF(G174&gt;I174,_xlfn.CONCAT("W114-",RIGHT(F174,LEN(F174) - FIND("-",F174))), _xlfn.CONCAT("W114-",RIGHT(H174,LEN(H174) - FIND("-",H174)))))</f>
        <v>W114-ORWP</v>
      </c>
      <c r="G207" s="93">
        <v>6</v>
      </c>
      <c r="H207" s="292" t="str">
        <f>IF(G176="","W120",IF(G176&gt;I176,_xlfn.CONCAT("W120-",RIGHT(F176,LEN(F176) - FIND("-",F176))), _xlfn.CONCAT("W120-",RIGHT(H176,LEN(H176) - FIND("-",H176)))))</f>
        <v>W120-STANFORD RED</v>
      </c>
      <c r="I207" s="93">
        <v>9</v>
      </c>
      <c r="J207" s="90" t="s">
        <v>288</v>
      </c>
      <c r="K207" s="90" t="s">
        <v>289</v>
      </c>
      <c r="L207" s="90" t="str">
        <f t="shared" ref="L207" si="39">IF(E207="","",$L$13&amp;"-"&amp;TEXT(E207,"000"))</f>
        <v>10B-135</v>
      </c>
      <c r="O207" s="60" t="str">
        <f t="shared" si="38"/>
        <v>pt_13th</v>
      </c>
    </row>
    <row r="208" spans="1:15" ht="14.1" customHeight="1">
      <c r="A208" s="69">
        <f t="shared" si="35"/>
        <v>46229</v>
      </c>
      <c r="B208" s="293">
        <f>'CHICLETS MASTER S2'!A77</f>
        <v>0.45833333333333298</v>
      </c>
      <c r="C208" s="71" t="s">
        <v>290</v>
      </c>
      <c r="D208" s="119" t="str">
        <f t="shared" si="37"/>
        <v>EL TORO HS 3</v>
      </c>
      <c r="E208" s="71">
        <v>134</v>
      </c>
      <c r="F208" s="90" t="str">
        <f>IF(G174="","L114",IF(G174&lt;I174,_xlfn.CONCAT("L114-",RIGHT(F174,LEN(F174) - FIND("-",F174))), _xlfn.CONCAT("L114-",RIGHT(H174,LEN(H174) - FIND("-",H174)))))</f>
        <v>L114-SOCAL BLACK</v>
      </c>
      <c r="G208" s="93">
        <v>16</v>
      </c>
      <c r="H208" s="90" t="str">
        <f>IF(G176="","L120",IF(G176&lt;I176,_xlfn.CONCAT("L120-",RIGHT(F176,LEN(F176) - FIND("-",F176))), _xlfn.CONCAT("L120-",RIGHT(H176,LEN(H176) - FIND("-",H176)))))</f>
        <v>L120-CAL REPUBLIC</v>
      </c>
      <c r="I208" s="93">
        <v>6</v>
      </c>
      <c r="J208" s="90" t="s">
        <v>291</v>
      </c>
      <c r="K208" s="90" t="s">
        <v>292</v>
      </c>
      <c r="L208" s="90" t="str">
        <f>IF(E208="","",$L$13&amp;"-"&amp;TEXT(E208,"000"))</f>
        <v>10B-134</v>
      </c>
      <c r="O208" s="60" t="str">
        <f t="shared" si="38"/>
        <v>pt_15th</v>
      </c>
    </row>
    <row r="209" spans="1:15" ht="14.1" customHeight="1">
      <c r="A209" s="294">
        <f t="shared" si="35"/>
        <v>46229</v>
      </c>
      <c r="B209" s="293">
        <f>'CHICLETS MASTER S2'!A78</f>
        <v>0.5</v>
      </c>
      <c r="C209" s="119" t="s">
        <v>293</v>
      </c>
      <c r="D209" s="119" t="str">
        <f t="shared" si="37"/>
        <v>EL TORO HS 3</v>
      </c>
      <c r="E209" s="119">
        <v>129</v>
      </c>
      <c r="F209" s="90" t="str">
        <f>IF(G175="","W117",IF(G175&gt;I175,_xlfn.CONCAT("W117-",RIGHT(F175,LEN(F175) - FIND("-",F175))), _xlfn.CONCAT("W117-",RIGHT(H175,LEN(H175) - FIND("-",H175)))))</f>
        <v>W117-LA JOLLA UNITED</v>
      </c>
      <c r="G209" s="295">
        <v>7</v>
      </c>
      <c r="H209" s="292" t="str">
        <f>IF(G177="","W123",IF(G177&gt;I177,_xlfn.CONCAT("W123-",RIGHT(F177,LEN(F177) - FIND("-",F177))), _xlfn.CONCAT("W123-",RIGHT(H177,LEN(H177) - FIND("-",H177)))))</f>
        <v>W123-SD DONS B</v>
      </c>
      <c r="I209" s="295">
        <v>11</v>
      </c>
      <c r="J209" s="292" t="s">
        <v>294</v>
      </c>
      <c r="K209" s="292" t="s">
        <v>295</v>
      </c>
      <c r="L209" s="292" t="str">
        <f>IF(E209="","",$L$13&amp;"-"&amp;TEXT(E209,"000"))</f>
        <v>10B-129</v>
      </c>
      <c r="O209" s="60" t="str">
        <f t="shared" si="38"/>
        <v>pt_17th</v>
      </c>
    </row>
    <row r="210" spans="1:15" ht="14.1" customHeight="1">
      <c r="A210" s="69">
        <f t="shared" si="35"/>
        <v>46229</v>
      </c>
      <c r="B210" s="293">
        <f>'CHICLETS MASTER S2'!A79</f>
        <v>0.54166666666666696</v>
      </c>
      <c r="C210" s="119" t="s">
        <v>296</v>
      </c>
      <c r="D210" s="119" t="str">
        <f t="shared" si="37"/>
        <v>EL TORO HS 3</v>
      </c>
      <c r="E210" s="71">
        <v>128</v>
      </c>
      <c r="F210" s="90" t="str">
        <f>IF(G175="","L117",IF(G175&lt;I175,_xlfn.CONCAT("L117-",RIGHT(F175,LEN(F175) - FIND("-",F175))), _xlfn.CONCAT("L117-",RIGHT(H175,LEN(H175) - FIND("-",H175)))))</f>
        <v>L117-ELITE</v>
      </c>
      <c r="G210" s="93">
        <v>9</v>
      </c>
      <c r="H210" s="90" t="str">
        <f>IF(G177="","L123",IF(G177&lt;I177,_xlfn.CONCAT("L123-",RIGHT(F177,LEN(F177) - FIND("-",F177))), _xlfn.CONCAT("L123-",RIGHT(H177,LEN(H177) - FIND("-",H177)))))</f>
        <v>L123-680 BLUE</v>
      </c>
      <c r="I210" s="93">
        <v>6</v>
      </c>
      <c r="J210" s="90" t="s">
        <v>297</v>
      </c>
      <c r="K210" s="90" t="s">
        <v>298</v>
      </c>
      <c r="L210" s="90" t="str">
        <f>IF(E210="","",$L$13&amp;"-"&amp;TEXT(E210,"000"))</f>
        <v>10B-128</v>
      </c>
      <c r="O210" s="60" t="str">
        <f t="shared" si="38"/>
        <v>pt_19th</v>
      </c>
    </row>
    <row r="211" spans="1:15" ht="14.1" customHeight="1" thickBot="1"/>
    <row r="212" spans="1:15" ht="14.1" customHeight="1" thickBot="1">
      <c r="B212" s="79"/>
      <c r="D212" s="65" t="str">
        <f>'CHICLETS MASTER S2'!$B$72</f>
        <v>EL TORO HS 1</v>
      </c>
    </row>
    <row r="213" spans="1:15" ht="14.1" customHeight="1">
      <c r="A213" s="342" t="s">
        <v>124</v>
      </c>
      <c r="B213" s="342" t="s">
        <v>125</v>
      </c>
      <c r="C213" s="342" t="s">
        <v>126</v>
      </c>
      <c r="D213" s="342" t="s">
        <v>127</v>
      </c>
      <c r="E213" s="342" t="s">
        <v>128</v>
      </c>
      <c r="F213" s="342" t="s">
        <v>129</v>
      </c>
      <c r="G213" s="342" t="s">
        <v>130</v>
      </c>
      <c r="H213" s="342" t="s">
        <v>131</v>
      </c>
      <c r="I213" s="342" t="s">
        <v>130</v>
      </c>
      <c r="J213" s="342" t="s">
        <v>132</v>
      </c>
      <c r="K213" s="342" t="s">
        <v>133</v>
      </c>
      <c r="L213" s="342" t="s">
        <v>134</v>
      </c>
    </row>
    <row r="214" spans="1:15" ht="14.1" customHeight="1">
      <c r="A214" s="294">
        <f t="shared" si="35"/>
        <v>46229</v>
      </c>
      <c r="B214" s="293">
        <f>'CHICLETS MASTER S2'!A74</f>
        <v>0.33333333333333298</v>
      </c>
      <c r="C214" s="119" t="s">
        <v>249</v>
      </c>
      <c r="D214" s="119" t="str">
        <f t="shared" ref="D214:D219" si="40">$D$212</f>
        <v>EL TORO HS 1</v>
      </c>
      <c r="E214" s="119">
        <v>125</v>
      </c>
      <c r="F214" s="292" t="s">
        <v>250</v>
      </c>
      <c r="G214" s="295">
        <v>10</v>
      </c>
      <c r="H214" s="292" t="s">
        <v>252</v>
      </c>
      <c r="I214" s="295">
        <v>4</v>
      </c>
      <c r="J214" s="292"/>
      <c r="K214" s="292"/>
      <c r="L214" s="292" t="str">
        <f t="shared" ref="L214:L219" si="41">IF(E214="","",$L$13&amp;"-"&amp;TEXT(E214,"000"))</f>
        <v>10B-125</v>
      </c>
      <c r="O214" s="60" t="str">
        <f>$K$130&amp;C214</f>
        <v>pt_21-24 RR</v>
      </c>
    </row>
    <row r="215" spans="1:15" ht="14.1" customHeight="1">
      <c r="A215" s="294">
        <f t="shared" si="35"/>
        <v>46229</v>
      </c>
      <c r="B215" s="293">
        <f>'CHICLETS MASTER S2'!A75</f>
        <v>0.375</v>
      </c>
      <c r="C215" s="71" t="s">
        <v>249</v>
      </c>
      <c r="D215" s="119" t="str">
        <f t="shared" si="40"/>
        <v>EL TORO HS 1</v>
      </c>
      <c r="E215" s="71">
        <v>126</v>
      </c>
      <c r="F215" s="90" t="s">
        <v>253</v>
      </c>
      <c r="G215" s="93">
        <v>11</v>
      </c>
      <c r="H215" s="90" t="s">
        <v>251</v>
      </c>
      <c r="I215" s="93">
        <v>10</v>
      </c>
      <c r="J215" s="90"/>
      <c r="K215" s="90"/>
      <c r="L215" s="90" t="str">
        <f t="shared" si="41"/>
        <v>10B-126</v>
      </c>
      <c r="O215" s="60" t="str">
        <f>$K$130&amp;C215</f>
        <v>pt_21-24 RR</v>
      </c>
    </row>
    <row r="216" spans="1:15" s="62" customFormat="1" ht="14.1" customHeight="1">
      <c r="A216" s="294">
        <f t="shared" si="35"/>
        <v>46229</v>
      </c>
      <c r="B216" s="293">
        <f>'CHICLETS MASTER S2'!A76</f>
        <v>0.41666666666666702</v>
      </c>
      <c r="C216" s="119" t="s">
        <v>265</v>
      </c>
      <c r="D216" s="119" t="str">
        <f t="shared" si="40"/>
        <v>EL TORO HS 1</v>
      </c>
      <c r="E216" s="119">
        <v>136</v>
      </c>
      <c r="F216" s="155" t="str">
        <f>IF(G183="","L97",IF(G183&lt;I183,_xlfn.CONCAT("L97-",RIGHT(F183,LEN(F183) - FIND("-",F183))), _xlfn.CONCAT("L97-",RIGHT(H183,LEN(H183) - FIND("-",H183)))))</f>
        <v>L97-TEMPLE CITY BLACK</v>
      </c>
      <c r="G216" s="155">
        <v>11</v>
      </c>
      <c r="H216" s="155" t="str">
        <f>IF(G181="","L91",IF(G181&lt;I181,_xlfn.CONCAT("L91-",RIGHT(F181,LEN(F181) - FIND("-",F181))), _xlfn.CONCAT("L91-",RIGHT(H181,LEN(H181) - FIND("-",H181)))))</f>
        <v>L91-LAMORINDA WHITE</v>
      </c>
      <c r="I216" s="155">
        <v>10</v>
      </c>
      <c r="J216" s="155" t="s">
        <v>299</v>
      </c>
      <c r="K216" s="155" t="s">
        <v>234</v>
      </c>
      <c r="L216" s="155" t="str">
        <f t="shared" si="41"/>
        <v>10B-136</v>
      </c>
      <c r="N216" s="347"/>
      <c r="O216" s="347" t="str">
        <f>$K$131&amp;C216</f>
        <v>au_9-11 RR</v>
      </c>
    </row>
    <row r="217" spans="1:15" ht="14.1" customHeight="1">
      <c r="A217" s="294">
        <f t="shared" si="35"/>
        <v>46229</v>
      </c>
      <c r="B217" s="293">
        <f>'CHICLETS MASTER S2'!A77</f>
        <v>0.45833333333333298</v>
      </c>
      <c r="C217" s="119" t="s">
        <v>272</v>
      </c>
      <c r="D217" s="119" t="str">
        <f t="shared" si="40"/>
        <v>EL TORO HS 1</v>
      </c>
      <c r="E217" s="119">
        <v>139</v>
      </c>
      <c r="F217" s="155" t="str">
        <f>IF(G189="","L115",IF(G189&lt;I189,_xlfn.CONCAT("L115-",RIGHT(F189,LEN(F189) - FIND("-",F189))), _xlfn.CONCAT("L115-",RIGHT(H189,LEN(H189) - FIND("-",H189)))))</f>
        <v>L115-LAMORINDA GOLD</v>
      </c>
      <c r="G217" s="155">
        <v>7</v>
      </c>
      <c r="H217" s="155" t="str">
        <f>IF(G190="","L118",IF(G190&lt;I190,_xlfn.CONCAT("L118-",RIGHT(F190,LEN(F190) - FIND("-",F190))), _xlfn.CONCAT("L118-",RIGHT(H190,LEN(H190) - FIND("-",H190)))))</f>
        <v>L118-STANFORD BLACK</v>
      </c>
      <c r="I217" s="155">
        <v>13</v>
      </c>
      <c r="J217" s="155" t="s">
        <v>300</v>
      </c>
      <c r="K217" s="155" t="s">
        <v>301</v>
      </c>
      <c r="L217" s="155" t="str">
        <f t="shared" si="41"/>
        <v>10B-139</v>
      </c>
      <c r="N217" s="347"/>
      <c r="O217" s="347" t="str">
        <f>$K$131&amp;C217</f>
        <v>au_5th</v>
      </c>
    </row>
    <row r="218" spans="1:15" ht="14.1" customHeight="1">
      <c r="A218" s="294">
        <f t="shared" si="35"/>
        <v>46229</v>
      </c>
      <c r="B218" s="293">
        <f>'CHICLETS MASTER S2'!A78</f>
        <v>0.5</v>
      </c>
      <c r="C218" s="119" t="s">
        <v>269</v>
      </c>
      <c r="D218" s="119" t="str">
        <f t="shared" si="40"/>
        <v>EL TORO HS 1</v>
      </c>
      <c r="E218" s="119">
        <v>140</v>
      </c>
      <c r="F218" s="155" t="str">
        <f>IF(G185="","L103",IF(G185&lt;I185,_xlfn.CONCAT("L103-",RIGHT(F185,LEN(F185) - FIND("-",F185))), _xlfn.CONCAT("L103-",RIGHT(H185,LEN(H185) - FIND("-",H185)))))</f>
        <v>L103-LB SHORE</v>
      </c>
      <c r="G218" s="155">
        <v>7.3</v>
      </c>
      <c r="H218" s="155" t="str">
        <f>IF(G187="","L109",IF(G187&lt;I187,_xlfn.CONCAT("L109-",RIGHT(F187,LEN(F187) - FIND("-",F187))), _xlfn.CONCAT("L109-",RIGHT(H187,LEN(H187) - FIND("-",H187)))))</f>
        <v>L109-680 WHITE</v>
      </c>
      <c r="I218" s="155">
        <v>7.1</v>
      </c>
      <c r="J218" s="155" t="s">
        <v>302</v>
      </c>
      <c r="K218" s="155" t="s">
        <v>303</v>
      </c>
      <c r="L218" s="155" t="str">
        <f t="shared" si="41"/>
        <v>10B-140</v>
      </c>
      <c r="N218" s="347"/>
      <c r="O218" s="347" t="str">
        <f>$K$131&amp;C218</f>
        <v>au_7th</v>
      </c>
    </row>
    <row r="219" spans="1:15" s="62" customFormat="1" ht="14.1" customHeight="1">
      <c r="A219" s="294">
        <f t="shared" si="35"/>
        <v>46229</v>
      </c>
      <c r="B219" s="293">
        <f>'CHICLETS MASTER S2'!A79</f>
        <v>0.54166666666666696</v>
      </c>
      <c r="C219" s="119" t="s">
        <v>265</v>
      </c>
      <c r="D219" s="119" t="str">
        <f t="shared" si="40"/>
        <v>EL TORO HS 1</v>
      </c>
      <c r="E219" s="119">
        <v>142</v>
      </c>
      <c r="F219" s="155" t="str">
        <f>IF(G183="","L97",IF(G183&lt;I183,_xlfn.CONCAT("L97-",RIGHT(F183,LEN(F183) - FIND("-",F183))), _xlfn.CONCAT("L97-",RIGHT(H183,LEN(H183) - FIND("-",H183)))))</f>
        <v>L97-TEMPLE CITY BLACK</v>
      </c>
      <c r="G219" s="155">
        <v>9</v>
      </c>
      <c r="H219" s="155" t="str">
        <f>IF(G182="","L94",IF(G182&lt;I182,_xlfn.CONCAT("L94-",RIGHT(F182,LEN(F182) - FIND("-",F182))), _xlfn.CONCAT("L94-",RIGHT(H182,LEN(H182) - FIND("-",H182)))))</f>
        <v>L94-SOCAL GOLD</v>
      </c>
      <c r="I219" s="155">
        <v>13</v>
      </c>
      <c r="J219" s="155" t="s">
        <v>299</v>
      </c>
      <c r="K219" s="155" t="s">
        <v>234</v>
      </c>
      <c r="L219" s="155" t="str">
        <f t="shared" si="41"/>
        <v>10B-142</v>
      </c>
      <c r="M219" s="60"/>
      <c r="N219" s="347"/>
      <c r="O219" s="347" t="str">
        <f>$K$131&amp;C219</f>
        <v>au_9-11 RR</v>
      </c>
    </row>
    <row r="220" spans="1:15" ht="14.1" customHeight="1" thickBot="1"/>
    <row r="221" spans="1:15" ht="14.1" customHeight="1" thickBot="1">
      <c r="B221" s="79"/>
      <c r="D221" s="65" t="str">
        <f>'CHICLETS MASTER S2'!$B$84</f>
        <v>WOOLLETT LEFT</v>
      </c>
    </row>
    <row r="222" spans="1:15" ht="14.1" customHeight="1">
      <c r="A222" s="342" t="s">
        <v>124</v>
      </c>
      <c r="B222" s="342" t="s">
        <v>125</v>
      </c>
      <c r="C222" s="342" t="s">
        <v>126</v>
      </c>
      <c r="D222" s="342" t="s">
        <v>127</v>
      </c>
      <c r="E222" s="342" t="s">
        <v>128</v>
      </c>
      <c r="F222" s="342" t="s">
        <v>129</v>
      </c>
      <c r="G222" s="342" t="s">
        <v>130</v>
      </c>
      <c r="H222" s="342" t="s">
        <v>131</v>
      </c>
      <c r="I222" s="342" t="s">
        <v>130</v>
      </c>
      <c r="J222" s="342" t="s">
        <v>132</v>
      </c>
      <c r="K222" s="342" t="s">
        <v>133</v>
      </c>
      <c r="L222" s="342" t="s">
        <v>134</v>
      </c>
    </row>
    <row r="223" spans="1:15" ht="14.1" customHeight="1">
      <c r="A223" s="69">
        <f t="shared" si="33"/>
        <v>46229</v>
      </c>
      <c r="B223" s="293">
        <f>'CHICLETS MASTER S2'!A85</f>
        <v>0.29166666666666669</v>
      </c>
      <c r="C223" s="71" t="s">
        <v>268</v>
      </c>
      <c r="D223" s="119" t="str">
        <f>$D$221</f>
        <v>WOOLLETT LEFT</v>
      </c>
      <c r="E223" s="71">
        <v>131</v>
      </c>
      <c r="F223" s="90" t="str">
        <f>IF(G156="","W104",IF(G156&gt;I156,_xlfn.CONCAT("W104-",RIGHT(F156,LEN(F156) - FIND("-",F156))), _xlfn.CONCAT("W104-",RIGHT(H156,LEN(H156) - FIND("-",H156)))))</f>
        <v>W104-SD DONS</v>
      </c>
      <c r="G223" s="93">
        <v>6</v>
      </c>
      <c r="H223" s="90" t="str">
        <f>IF(G161="","W119",IF(G161&gt;I161,_xlfn.CONCAT("W119-",RIGHT(F161,LEN(F161) - FIND("-",F161))), _xlfn.CONCAT("W119-",RIGHT(H161,LEN(H161) - FIND("-",H161)))))</f>
        <v>W119-908 YELLOW</v>
      </c>
      <c r="I223" s="93">
        <v>7</v>
      </c>
      <c r="J223" s="90">
        <v>146</v>
      </c>
      <c r="K223" s="90">
        <v>145</v>
      </c>
      <c r="L223" s="90" t="str">
        <f>IF(E223="","",$L$13&amp;"-"&amp;TEXT(E223,"000"))</f>
        <v>10B-131</v>
      </c>
      <c r="O223" s="60" t="str">
        <f>$K$130&amp;C223</f>
        <v>pt_semi</v>
      </c>
    </row>
    <row r="225" spans="1:15" ht="14.1" customHeight="1">
      <c r="A225" s="69">
        <f t="shared" si="33"/>
        <v>46229</v>
      </c>
      <c r="B225" s="293">
        <f>'CHICLETS MASTER S2'!A90</f>
        <v>0.5</v>
      </c>
      <c r="C225" s="71" t="s">
        <v>275</v>
      </c>
      <c r="D225" s="119" t="str">
        <f>$D$221</f>
        <v>WOOLLETT LEFT</v>
      </c>
      <c r="E225" s="71">
        <v>145</v>
      </c>
      <c r="F225" s="90" t="str">
        <f>IF(G223="","L131",IF(G223&lt;I223,_xlfn.CONCAT("L131-",RIGHT(F223,LEN(F223) - FIND("-",F223))), _xlfn.CONCAT("L131-",RIGHT(H223,LEN(H223) - FIND("-",H223)))))</f>
        <v>L131-SD DONS</v>
      </c>
      <c r="G225" s="93">
        <v>9</v>
      </c>
      <c r="H225" s="90" t="str">
        <f>IF(G229="","L132",IF(G229&lt;I229,_xlfn.CONCAT("L132-",RIGHT(F229,LEN(F229) - FIND("-",F229))), _xlfn.CONCAT("L132-",RIGHT(H229,LEN(H229) - FIND("-",H229)))))</f>
        <v>L132-COMMERCE</v>
      </c>
      <c r="I225" s="93">
        <v>6</v>
      </c>
      <c r="J225" s="90" t="s">
        <v>304</v>
      </c>
      <c r="K225" s="90" t="s">
        <v>305</v>
      </c>
      <c r="L225" s="90" t="str">
        <f>IF(E225="","",$L$13&amp;"-"&amp;TEXT(E225,"000"))</f>
        <v>10B-145</v>
      </c>
      <c r="O225" s="60" t="str">
        <f>$K$130&amp;C225</f>
        <v>pt_3rd</v>
      </c>
    </row>
    <row r="226" spans="1:15" ht="14.1" customHeight="1" thickBot="1"/>
    <row r="227" spans="1:15" ht="14.1" customHeight="1" thickBot="1">
      <c r="B227" s="79"/>
      <c r="D227" s="65" t="str">
        <f>'CHICLETS MASTER S2'!$C$84</f>
        <v>WOOLLETT RIGHT</v>
      </c>
    </row>
    <row r="228" spans="1:15" ht="14.1" customHeight="1">
      <c r="A228" s="342" t="s">
        <v>124</v>
      </c>
      <c r="B228" s="342" t="s">
        <v>125</v>
      </c>
      <c r="C228" s="342" t="s">
        <v>126</v>
      </c>
      <c r="D228" s="342" t="s">
        <v>127</v>
      </c>
      <c r="E228" s="342" t="s">
        <v>128</v>
      </c>
      <c r="F228" s="342" t="s">
        <v>129</v>
      </c>
      <c r="G228" s="342" t="s">
        <v>130</v>
      </c>
      <c r="H228" s="342" t="s">
        <v>131</v>
      </c>
      <c r="I228" s="342" t="s">
        <v>130</v>
      </c>
      <c r="J228" s="342" t="s">
        <v>132</v>
      </c>
      <c r="K228" s="342" t="s">
        <v>133</v>
      </c>
      <c r="L228" s="342" t="s">
        <v>134</v>
      </c>
    </row>
    <row r="229" spans="1:15" ht="14.1" customHeight="1">
      <c r="A229" s="69">
        <f t="shared" si="33"/>
        <v>46229</v>
      </c>
      <c r="B229" s="293">
        <f>'CHICLETS MASTER S2'!A85</f>
        <v>0.29166666666666669</v>
      </c>
      <c r="C229" s="71" t="s">
        <v>268</v>
      </c>
      <c r="D229" s="119" t="str">
        <f>$D$227</f>
        <v>WOOLLETT RIGHT</v>
      </c>
      <c r="E229" s="71">
        <v>132</v>
      </c>
      <c r="F229" s="90" t="str">
        <f>IF(G155="","W101",IF(G155&gt;I155,_xlfn.CONCAT("W101-",RIGHT(F155,LEN(F155) - FIND("-",F155))), _xlfn.CONCAT("W101-",RIGHT(H155,LEN(H155) - FIND("-",H155)))))</f>
        <v>W101-NEWPORT BEACH BLUE</v>
      </c>
      <c r="G229" s="93">
        <v>14</v>
      </c>
      <c r="H229" s="90" t="str">
        <f>IF(G162="","W122",IF(G162&gt;I162,_xlfn.CONCAT("W122-",RIGHT(F162,LEN(F162) - FIND("-",F162))), _xlfn.CONCAT("W122-",RIGHT(H162,LEN(H162) - FIND("-",H162)))))</f>
        <v>W122-COMMERCE</v>
      </c>
      <c r="I229" s="93">
        <v>4</v>
      </c>
      <c r="J229" s="90">
        <v>146</v>
      </c>
      <c r="K229" s="90">
        <v>145</v>
      </c>
      <c r="L229" s="90" t="str">
        <f>IF(E229="","",$L$13&amp;"-"&amp;TEXT(E229,"000"))</f>
        <v>10B-132</v>
      </c>
      <c r="O229" s="60" t="str">
        <f>$K$130&amp;C229</f>
        <v>pt_semi</v>
      </c>
    </row>
    <row r="231" spans="1:15" ht="14.1" customHeight="1">
      <c r="A231" s="69">
        <f t="shared" si="33"/>
        <v>46229</v>
      </c>
      <c r="B231" s="293">
        <f>'CHICLETS MASTER S2'!A90</f>
        <v>0.5</v>
      </c>
      <c r="C231" s="71" t="s">
        <v>278</v>
      </c>
      <c r="D231" s="119" t="str">
        <f>$D$227</f>
        <v>WOOLLETT RIGHT</v>
      </c>
      <c r="E231" s="71">
        <v>146</v>
      </c>
      <c r="F231" s="90" t="str">
        <f>IF(G223="","W131",IF(G223&gt;I223,_xlfn.CONCAT("W131-",RIGHT(F223,LEN(F223) - FIND("-",F223))), _xlfn.CONCAT("W131-",RIGHT(H223,LEN(H223) - FIND("-",H223)))))</f>
        <v>W131-908 YELLOW</v>
      </c>
      <c r="G231" s="93">
        <v>6</v>
      </c>
      <c r="H231" s="90" t="str">
        <f>IF(G229="","W132",IF(G229&gt;I229,_xlfn.CONCAT("W132-",RIGHT(F229,LEN(F229) - FIND("-",F229))), _xlfn.CONCAT("W132-",RIGHT(H229,LEN(H229) - FIND("-",H229)))))</f>
        <v>W132-NEWPORT BEACH BLUE</v>
      </c>
      <c r="I231" s="93">
        <v>8</v>
      </c>
      <c r="J231" s="90" t="s">
        <v>306</v>
      </c>
      <c r="K231" s="90" t="s">
        <v>307</v>
      </c>
      <c r="L231" s="90" t="str">
        <f t="shared" ref="L231" si="42">IF(E231="","",$L$13&amp;"-"&amp;TEXT(E231,"000"))</f>
        <v>10B-146</v>
      </c>
      <c r="O231" s="60" t="str">
        <f>$K$130&amp;C231</f>
        <v>pt_1st</v>
      </c>
    </row>
    <row r="233" spans="1:15" ht="14.1" customHeight="1">
      <c r="A233" s="90" t="s">
        <v>308</v>
      </c>
      <c r="B233" s="62"/>
      <c r="C233" s="155" t="s">
        <v>309</v>
      </c>
      <c r="D233" s="62"/>
    </row>
    <row r="234" spans="1:15" ht="14.1" customHeight="1">
      <c r="A234" s="90" t="s">
        <v>278</v>
      </c>
      <c r="B234" s="296" t="str">
        <f>IF(G231="","W146",IF(G231&gt;I231,_xlfn.CONCAT("W146-",RIGHT(F231,LEN(F231) - FIND("-",F231))), _xlfn.CONCAT("W146-",RIGHT(H231,LEN(H231) - FIND("-",H231)))))</f>
        <v>W146-NEWPORT BEACH BLUE</v>
      </c>
      <c r="C234" s="155" t="s">
        <v>278</v>
      </c>
      <c r="D234" s="296" t="str">
        <f>IF(G201="","W144",IF(G201&gt;I201,_xlfn.CONCAT("W144-",RIGHT(F201,LEN(F201) - FIND("-",F201))), _xlfn.CONCAT("W144-",RIGHT(H201,LEN(H201) - FIND("-",H201)))))</f>
        <v>W144-YOLO</v>
      </c>
    </row>
    <row r="235" spans="1:15" ht="14.1" customHeight="1">
      <c r="A235" s="90" t="s">
        <v>310</v>
      </c>
      <c r="B235" s="296" t="str">
        <f>IF(G231="","L146",IF(G231&lt;I231,_xlfn.CONCAT("L146-",RIGHT(F231,LEN(F231) - FIND("-",F231))), _xlfn.CONCAT("L146-",RIGHT(H231,LEN(H231) - FIND("-",H231)))))</f>
        <v>L146-908 YELLOW</v>
      </c>
      <c r="C235" s="155" t="s">
        <v>310</v>
      </c>
      <c r="D235" s="296" t="str">
        <f>IF(G201="","L144",IF(G201&lt;I201,_xlfn.CONCAT("L144-",RIGHT(F201,LEN(F201) - FIND("-",F201))), _xlfn.CONCAT("L144-",RIGHT(H201,LEN(H201) - FIND("-",H201)))))</f>
        <v>L144-NORCAL BLACK</v>
      </c>
    </row>
    <row r="236" spans="1:15" ht="14.1" customHeight="1">
      <c r="A236" s="90" t="s">
        <v>275</v>
      </c>
      <c r="B236" s="296" t="str">
        <f>IF(G225="","W145",IF(G225&gt;I225,_xlfn.CONCAT("W145-",RIGHT(F225,LEN(F225) - FIND("-",F225))), _xlfn.CONCAT("W145-",RIGHT(H225,LEN(H225) - FIND("-",H225)))))</f>
        <v>W145-SD DONS</v>
      </c>
      <c r="C236" s="155" t="s">
        <v>275</v>
      </c>
      <c r="D236" s="296" t="str">
        <f>IF(G200="","W143",IF(G200&gt;I200,_xlfn.CONCAT("W143-",RIGHT(F200,LEN(F200) - FIND("-",F200))), _xlfn.CONCAT("W143-",RIGHT(H200,LEN(H200) - FIND("-",H200)))))</f>
        <v>W143-SHAQ</v>
      </c>
    </row>
    <row r="237" spans="1:15" ht="14.1" customHeight="1">
      <c r="A237" s="90" t="s">
        <v>311</v>
      </c>
      <c r="B237" s="296" t="str">
        <f>IF(G225="","L145",IF(G225&lt;I225,_xlfn.CONCAT("L145-",RIGHT(F225,LEN(F225) - FIND("-",F225))), _xlfn.CONCAT("L145-",RIGHT(H225,LEN(H225) - FIND("-",H225)))))</f>
        <v>L145-COMMERCE</v>
      </c>
      <c r="C237" s="155" t="s">
        <v>311</v>
      </c>
      <c r="D237" s="296" t="str">
        <f>IF(G200="","L143",IF(G200&lt;I200,_xlfn.CONCAT("L143-",RIGHT(F200,LEN(F200) - FIND("-",F200))), _xlfn.CONCAT("L143-",RIGHT(H200,LEN(H200) - FIND("-",H200)))))</f>
        <v>L143-SAN CLEMENTE BLACK</v>
      </c>
    </row>
    <row r="238" spans="1:15" ht="14.1" customHeight="1">
      <c r="A238" s="90" t="s">
        <v>272</v>
      </c>
      <c r="B238" s="296" t="str">
        <f>IF(G199="","W141",IF(G199&gt;I199,_xlfn.CONCAT("W141-",RIGHT(F199,LEN(F199) - FIND("-",F199))), _xlfn.CONCAT("W141-",RIGHT(H199,LEN(H199) - FIND("-",H199)))))</f>
        <v>W141-NEWPORT BEACH WHITE</v>
      </c>
      <c r="C238" s="155" t="s">
        <v>272</v>
      </c>
      <c r="D238" s="296" t="str">
        <f>IF(G217="","W139",IF(G217&gt;I217,_xlfn.CONCAT("W139-",RIGHT(F217,LEN(F217) - FIND("-",F217))), _xlfn.CONCAT("W139-",RIGHT(H217,LEN(H217) - FIND("-",H217)))))</f>
        <v>W139-STANFORD BLACK</v>
      </c>
    </row>
    <row r="239" spans="1:15" ht="14.1" customHeight="1">
      <c r="A239" s="90" t="s">
        <v>312</v>
      </c>
      <c r="B239" s="296" t="str">
        <f>IF(G199="","L141",IF(G199&lt;I199,_xlfn.CONCAT("L141-",RIGHT(F199,LEN(F199) - FIND("-",F199))), _xlfn.CONCAT("L141-",RIGHT(H199,LEN(H199) - FIND("-",H199)))))</f>
        <v>L141-680 RED</v>
      </c>
      <c r="C239" s="155" t="s">
        <v>312</v>
      </c>
      <c r="D239" s="296" t="str">
        <f>IF(G217="","L139",IF(G217&lt;I217,_xlfn.CONCAT("L139-",RIGHT(F217,LEN(F217) - FIND("-",F217))), _xlfn.CONCAT("L139-",RIGHT(H217,LEN(H217) - FIND("-",H217)))))</f>
        <v>L139-LAMORINDA GOLD</v>
      </c>
    </row>
    <row r="240" spans="1:15" ht="14.1" customHeight="1">
      <c r="A240" s="90" t="s">
        <v>269</v>
      </c>
      <c r="B240" s="296" t="str">
        <f>IF(G198="","W140",IF(G198&gt;I198,_xlfn.CONCAT("W140-",RIGHT(F198,LEN(F198) - FIND("-",F198))), _xlfn.CONCAT("W140-",RIGHT(H198,LEN(H198) - FIND("-",H198)))))</f>
        <v>W140-TEMPLE CITY YELLOW</v>
      </c>
      <c r="C240" s="155" t="s">
        <v>269</v>
      </c>
      <c r="D240" s="296" t="str">
        <f>IF(G218="","W140",IF(G218&gt;I218,_xlfn.CONCAT("W140-",RIGHT(F218,LEN(F218) - FIND("-",F218))), _xlfn.CONCAT("W140-",RIGHT(H218,LEN(H218) - FIND("-",H218)))))</f>
        <v>W140-LB SHORE</v>
      </c>
    </row>
    <row r="241" spans="1:4" ht="14.1" customHeight="1">
      <c r="A241" s="90" t="s">
        <v>313</v>
      </c>
      <c r="B241" s="296" t="str">
        <f>IF(G198="","L140",IF(G198&lt;I198,_xlfn.CONCAT("L140-",RIGHT(F198,LEN(F198) - FIND("-",F198))), _xlfn.CONCAT("L140-",RIGHT(H198,LEN(H198) - FIND("-",H198)))))</f>
        <v>L140-SAN CLEMENTE RED</v>
      </c>
      <c r="C241" s="155" t="s">
        <v>313</v>
      </c>
      <c r="D241" s="296" t="str">
        <f>IF(G218="","L140",IF(G218&lt;I218,_xlfn.CONCAT("L140-",RIGHT(F218,LEN(F218) - FIND("-",F218))), _xlfn.CONCAT("L140-",RIGHT(H218,LEN(H218) - FIND("-",H218)))))</f>
        <v>L140-680 WHITE</v>
      </c>
    </row>
    <row r="242" spans="1:4" ht="14.1" customHeight="1">
      <c r="A242" s="90" t="s">
        <v>281</v>
      </c>
      <c r="B242" s="296" t="str">
        <f>IF(G205="","W138",IF(G205&gt;I205,_xlfn.CONCAT("W138-",RIGHT(F205,LEN(F205) - FIND("-",F205))), _xlfn.CONCAT("W138-",RIGHT(H205,LEN(H205) - FIND("-",H205)))))</f>
        <v>W138-CC UNITED BLACK</v>
      </c>
      <c r="C242" s="155" t="s">
        <v>281</v>
      </c>
      <c r="D242" s="254" t="s">
        <v>314</v>
      </c>
    </row>
    <row r="243" spans="1:4" ht="14.1" customHeight="1">
      <c r="A243" s="90" t="s">
        <v>315</v>
      </c>
      <c r="B243" s="296" t="str">
        <f>IF(G205="","L138",IF(G205&lt;I205,_xlfn.CONCAT("L138-",RIGHT(F205,LEN(F205) - FIND("-",F205))), _xlfn.CONCAT("L138-",RIGHT(H205,LEN(H205) - FIND("-",H205)))))</f>
        <v>L138-CDM BLUE</v>
      </c>
      <c r="C243" s="155" t="s">
        <v>315</v>
      </c>
      <c r="D243" s="348" t="s">
        <v>316</v>
      </c>
    </row>
    <row r="244" spans="1:4" ht="14.1" customHeight="1">
      <c r="A244" s="90" t="s">
        <v>284</v>
      </c>
      <c r="B244" s="298" t="str">
        <f>IF(G206="","W137",IF(G206&gt;I206,_xlfn.CONCAT("W137-",RIGHT(F206,LEN(F206) - FIND("-",F206))), _xlfn.CONCAT("W137-",RIGHT(H206,LEN(H206) - FIND("-",H206)))))</f>
        <v>W137-GREENWICH BLUE</v>
      </c>
      <c r="C244" s="155" t="s">
        <v>284</v>
      </c>
      <c r="D244" s="348" t="s">
        <v>317</v>
      </c>
    </row>
    <row r="245" spans="1:4" ht="14.1" customHeight="1">
      <c r="A245" s="102" t="s">
        <v>318</v>
      </c>
      <c r="B245" s="299" t="str">
        <f>IF(G206="","L137",IF(G206&lt;I206,_xlfn.CONCAT("L137-",RIGHT(F206,LEN(F206) - FIND("-",F206))), _xlfn.CONCAT("L137-",RIGHT(H206,LEN(H206) - FIND("-",H206)))))</f>
        <v>L137-LAMORINDA BLUE</v>
      </c>
      <c r="C245" s="349"/>
      <c r="D245" s="350"/>
    </row>
    <row r="246" spans="1:4" ht="14.1" customHeight="1">
      <c r="A246" s="102" t="s">
        <v>287</v>
      </c>
      <c r="B246" s="299" t="str">
        <f>IF(G207="","W135",IF(G207&gt;I207,_xlfn.CONCAT("W135-",RIGHT(F207,LEN(F207) - FIND("-",F207))), _xlfn.CONCAT("W135-",RIGHT(H207,LEN(H207) - FIND("-",H207)))))</f>
        <v>W135-STANFORD RED</v>
      </c>
      <c r="C246" s="300"/>
      <c r="D246" s="301"/>
    </row>
    <row r="247" spans="1:4" ht="14.1" customHeight="1">
      <c r="A247" s="102" t="s">
        <v>319</v>
      </c>
      <c r="B247" s="299" t="str">
        <f>IF(G207="","L135",IF(G207&lt;I207,_xlfn.CONCAT("L135-",RIGHT(F207,LEN(F207) - FIND("-",F207))), _xlfn.CONCAT("L135-",RIGHT(H207,LEN(H207) - FIND("-",H207)))))</f>
        <v>L135-ORWP</v>
      </c>
      <c r="C247" s="300"/>
      <c r="D247" s="301"/>
    </row>
    <row r="248" spans="1:4" ht="14.1" customHeight="1">
      <c r="A248" s="102" t="s">
        <v>290</v>
      </c>
      <c r="B248" s="299" t="str">
        <f>IF(G208="","W134",IF(G208&gt;I208,_xlfn.CONCAT("W134-",RIGHT(F208,LEN(F208) - FIND("-",F208))), _xlfn.CONCAT("W134-",RIGHT(H208,LEN(H208) - FIND("-",H208)))))</f>
        <v>W134-SOCAL BLACK</v>
      </c>
      <c r="C248" s="300"/>
      <c r="D248" s="301"/>
    </row>
    <row r="249" spans="1:4" ht="14.1" customHeight="1">
      <c r="A249" s="102" t="s">
        <v>320</v>
      </c>
      <c r="B249" s="299" t="str">
        <f>IF(G208="","L134",IF(G208&lt;I208,_xlfn.CONCAT("L134-",RIGHT(F208,LEN(F208) - FIND("-",F208))), _xlfn.CONCAT("L134-",RIGHT(H208,LEN(H208) - FIND("-",H208)))))</f>
        <v>L134-CAL REPUBLIC</v>
      </c>
      <c r="C249" s="300"/>
      <c r="D249" s="301"/>
    </row>
    <row r="250" spans="1:4" ht="14.1" customHeight="1">
      <c r="A250" s="102" t="s">
        <v>293</v>
      </c>
      <c r="B250" s="299" t="str">
        <f>IF(G209="","W129",IF(G209&gt;I209,_xlfn.CONCAT("W129-",RIGHT(F209,LEN(F209) - FIND("-",F209))), _xlfn.CONCAT("W129-",RIGHT(H209,LEN(H209) - FIND("-",H209)))))</f>
        <v>W129-SD DONS B</v>
      </c>
      <c r="C250" s="300"/>
      <c r="D250" s="301"/>
    </row>
    <row r="251" spans="1:4" ht="14.1" customHeight="1">
      <c r="A251" s="102" t="s">
        <v>321</v>
      </c>
      <c r="B251" s="299" t="str">
        <f>IF(G209="","L129",IF(G209&lt;I209,_xlfn.CONCAT("L129-",RIGHT(F209,LEN(F209) - FIND("-",F209))), _xlfn.CONCAT("L129-",RIGHT(H209,LEN(H209) - FIND("-",H209)))))</f>
        <v>L129-LA JOLLA UNITED</v>
      </c>
      <c r="C251" s="300"/>
      <c r="D251" s="301"/>
    </row>
    <row r="252" spans="1:4" ht="14.1" customHeight="1">
      <c r="A252" s="302" t="s">
        <v>296</v>
      </c>
      <c r="B252" s="299" t="str">
        <f>IF(G210="","W128",IF(G210&gt;I210,_xlfn.CONCAT("W128-",RIGHT(F210,LEN(F210) - FIND("-",F210))), _xlfn.CONCAT("W128-",RIGHT(H210,LEN(H210) - FIND("-",H210)))))</f>
        <v>W128-ELITE</v>
      </c>
      <c r="C252" s="300"/>
      <c r="D252" s="301"/>
    </row>
    <row r="253" spans="1:4" ht="14.1" customHeight="1">
      <c r="A253" s="303" t="s">
        <v>322</v>
      </c>
      <c r="B253" s="304" t="str">
        <f>IF(G210="","L128",IF(G210&lt;I210,_xlfn.CONCAT("L128-",RIGHT(F210,LEN(F210) - FIND("-",F210))), _xlfn.CONCAT("L128-",RIGHT(H210,LEN(H210) - FIND("-",H210)))))</f>
        <v>L128-680 BLUE</v>
      </c>
      <c r="C253" s="300"/>
      <c r="D253" s="301"/>
    </row>
    <row r="254" spans="1:4" ht="14.1" customHeight="1">
      <c r="A254" s="274" t="s">
        <v>323</v>
      </c>
      <c r="B254" s="72" t="s">
        <v>324</v>
      </c>
      <c r="C254" s="300"/>
      <c r="D254" s="301"/>
    </row>
    <row r="255" spans="1:4" ht="14.1" customHeight="1">
      <c r="A255" s="274" t="s">
        <v>325</v>
      </c>
      <c r="B255" s="351" t="s">
        <v>326</v>
      </c>
      <c r="C255" s="300"/>
      <c r="D255" s="301"/>
    </row>
    <row r="256" spans="1:4" ht="14.1" customHeight="1">
      <c r="A256" s="275" t="s">
        <v>327</v>
      </c>
      <c r="B256" s="351" t="s">
        <v>328</v>
      </c>
      <c r="C256" s="300"/>
      <c r="D256" s="301"/>
    </row>
    <row r="257" spans="1:4" ht="14.1" customHeight="1">
      <c r="A257" s="102" t="s">
        <v>329</v>
      </c>
      <c r="B257" s="351" t="s">
        <v>330</v>
      </c>
      <c r="C257" s="300"/>
      <c r="D257" s="301"/>
    </row>
  </sheetData>
  <hyperlinks>
    <hyperlink ref="B1" r:id="rId1" xr:uid="{40F25123-F327-4578-BA65-3B9F595FC3D5}"/>
    <hyperlink ref="C1" r:id="rId2" xr:uid="{9C02C691-FB2F-4B3F-B5D1-6B8C0D47C421}"/>
    <hyperlink ref="E1" r:id="rId3" xr:uid="{225A8410-846C-4BB4-869E-5EFC0BCD15EA}"/>
  </hyperlinks>
  <pageMargins left="0.75" right="0.75" top="1" bottom="1" header="0.25" footer="0.5"/>
  <pageSetup orientation="portrait" horizontalDpi="4294967292" verticalDpi="4294967292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3D8A-23DC-4747-B3D5-DD58B5481355}">
  <sheetPr>
    <tabColor rgb="FF009933"/>
  </sheetPr>
  <dimension ref="A1:N329"/>
  <sheetViews>
    <sheetView topLeftCell="A177" zoomScale="120" zoomScaleNormal="120" workbookViewId="0">
      <selection activeCell="B191" sqref="B191"/>
    </sheetView>
  </sheetViews>
  <sheetFormatPr defaultColWidth="32.85546875" defaultRowHeight="14.1" customHeight="1"/>
  <cols>
    <col min="1" max="1" width="23.140625" style="62" customWidth="1"/>
    <col min="2" max="5" width="32.85546875" style="62"/>
    <col min="6" max="6" width="36.28515625" style="62" customWidth="1"/>
    <col min="7" max="7" width="13.5703125" style="80" customWidth="1"/>
    <col min="8" max="8" width="38" style="62" customWidth="1"/>
    <col min="9" max="9" width="14.5703125" style="62" customWidth="1"/>
    <col min="10" max="10" width="11.7109375" style="62" customWidth="1"/>
    <col min="11" max="11" width="10.140625" style="62" customWidth="1"/>
    <col min="12" max="12" width="8.5703125" style="62" customWidth="1"/>
    <col min="13" max="16384" width="32.85546875" style="62"/>
  </cols>
  <sheetData>
    <row r="1" spans="1:12" s="60" customFormat="1" ht="14.1" customHeight="1" thickTop="1" thickBot="1">
      <c r="A1" s="57" t="s">
        <v>68</v>
      </c>
      <c r="B1" s="52" t="s">
        <v>69</v>
      </c>
      <c r="C1" s="53" t="s">
        <v>70</v>
      </c>
      <c r="D1" s="58" t="s">
        <v>71</v>
      </c>
      <c r="E1" s="54" t="s">
        <v>72</v>
      </c>
      <c r="F1" s="147"/>
      <c r="G1" s="59"/>
      <c r="H1" s="59"/>
      <c r="I1" s="59"/>
      <c r="J1" s="59"/>
      <c r="K1" s="59"/>
      <c r="L1" s="59"/>
    </row>
    <row r="2" spans="1:12" ht="14.1" customHeight="1" thickTop="1" thickBot="1">
      <c r="A2" s="61">
        <v>46226</v>
      </c>
      <c r="B2" s="335"/>
      <c r="D2" s="63" t="s">
        <v>331</v>
      </c>
      <c r="F2" s="60"/>
      <c r="G2" s="64"/>
      <c r="H2" s="60"/>
      <c r="I2" s="60"/>
      <c r="J2" s="60"/>
      <c r="K2" s="60"/>
      <c r="L2" s="60"/>
    </row>
    <row r="3" spans="1:12" s="60" customFormat="1" ht="14.1" customHeight="1" thickBot="1">
      <c r="A3" s="62"/>
      <c r="D3" s="65" t="s">
        <v>74</v>
      </c>
    </row>
    <row r="4" spans="1:12" ht="14.1" customHeight="1">
      <c r="A4" s="336" t="s">
        <v>75</v>
      </c>
      <c r="B4" s="336" t="s">
        <v>76</v>
      </c>
      <c r="C4" s="336" t="s">
        <v>77</v>
      </c>
      <c r="D4" s="336" t="s">
        <v>78</v>
      </c>
      <c r="E4" s="336" t="s">
        <v>79</v>
      </c>
      <c r="F4" s="336" t="s">
        <v>80</v>
      </c>
      <c r="G4" s="64"/>
      <c r="H4" s="66" t="s">
        <v>81</v>
      </c>
    </row>
    <row r="5" spans="1:12" ht="14.1" customHeight="1">
      <c r="A5" s="67" t="s">
        <v>332</v>
      </c>
      <c r="B5" s="67" t="s">
        <v>333</v>
      </c>
      <c r="C5" s="67" t="s">
        <v>334</v>
      </c>
      <c r="D5" s="67" t="s">
        <v>335</v>
      </c>
      <c r="E5" s="67" t="s">
        <v>336</v>
      </c>
      <c r="F5" s="67" t="s">
        <v>337</v>
      </c>
      <c r="G5" s="64"/>
    </row>
    <row r="6" spans="1:12" ht="14.1" customHeight="1">
      <c r="A6" s="67" t="s">
        <v>338</v>
      </c>
      <c r="B6" s="67" t="s">
        <v>339</v>
      </c>
      <c r="C6" s="67" t="s">
        <v>340</v>
      </c>
      <c r="D6" s="67" t="s">
        <v>341</v>
      </c>
      <c r="E6" s="67" t="s">
        <v>342</v>
      </c>
      <c r="F6" s="67" t="s">
        <v>343</v>
      </c>
      <c r="G6" s="64"/>
    </row>
    <row r="7" spans="1:12" ht="14.1" customHeight="1">
      <c r="A7" s="67" t="s">
        <v>344</v>
      </c>
      <c r="B7" s="67" t="s">
        <v>345</v>
      </c>
      <c r="C7" s="67" t="s">
        <v>346</v>
      </c>
      <c r="D7" s="67" t="s">
        <v>347</v>
      </c>
      <c r="E7" s="67" t="s">
        <v>348</v>
      </c>
      <c r="F7" s="67" t="s">
        <v>349</v>
      </c>
      <c r="G7" s="64"/>
    </row>
    <row r="8" spans="1:12" ht="14.1" customHeight="1">
      <c r="A8" s="67" t="s">
        <v>350</v>
      </c>
      <c r="B8" s="67" t="s">
        <v>351</v>
      </c>
      <c r="C8" s="67" t="s">
        <v>352</v>
      </c>
      <c r="D8" s="67" t="s">
        <v>353</v>
      </c>
      <c r="E8" s="67" t="s">
        <v>354</v>
      </c>
      <c r="F8" s="67" t="s">
        <v>355</v>
      </c>
      <c r="G8" s="64"/>
    </row>
    <row r="9" spans="1:12" ht="14.1" customHeight="1">
      <c r="A9" s="60"/>
      <c r="B9" s="60"/>
      <c r="C9" s="60"/>
      <c r="D9" s="60"/>
      <c r="E9" s="60"/>
      <c r="F9" s="60"/>
      <c r="G9" s="64"/>
    </row>
    <row r="10" spans="1:12" ht="14.1" customHeight="1">
      <c r="A10" s="336" t="s">
        <v>100</v>
      </c>
      <c r="B10" s="336" t="s">
        <v>101</v>
      </c>
      <c r="C10" s="336" t="s">
        <v>102</v>
      </c>
      <c r="D10" s="336" t="s">
        <v>103</v>
      </c>
      <c r="E10" s="336" t="s">
        <v>104</v>
      </c>
      <c r="F10" s="336" t="s">
        <v>105</v>
      </c>
      <c r="G10" s="64"/>
      <c r="J10" s="60"/>
    </row>
    <row r="11" spans="1:12" ht="14.1" customHeight="1">
      <c r="A11" s="67" t="s">
        <v>356</v>
      </c>
      <c r="B11" s="67" t="s">
        <v>357</v>
      </c>
      <c r="C11" s="67" t="s">
        <v>358</v>
      </c>
      <c r="D11" s="67" t="s">
        <v>359</v>
      </c>
      <c r="E11" s="67" t="s">
        <v>360</v>
      </c>
      <c r="F11" s="67" t="s">
        <v>361</v>
      </c>
      <c r="G11" s="64"/>
      <c r="J11" s="60"/>
    </row>
    <row r="12" spans="1:12" ht="14.1" customHeight="1">
      <c r="A12" s="67" t="s">
        <v>362</v>
      </c>
      <c r="B12" s="67" t="s">
        <v>363</v>
      </c>
      <c r="C12" s="67" t="s">
        <v>364</v>
      </c>
      <c r="D12" s="67" t="s">
        <v>365</v>
      </c>
      <c r="E12" s="67" t="s">
        <v>366</v>
      </c>
      <c r="F12" s="67" t="s">
        <v>367</v>
      </c>
      <c r="G12" s="64"/>
      <c r="J12" s="60"/>
    </row>
    <row r="13" spans="1:12" ht="14.1" customHeight="1">
      <c r="A13" s="67" t="s">
        <v>368</v>
      </c>
      <c r="B13" s="67" t="s">
        <v>369</v>
      </c>
      <c r="C13" s="67" t="s">
        <v>370</v>
      </c>
      <c r="D13" s="67" t="s">
        <v>371</v>
      </c>
      <c r="E13" s="67" t="s">
        <v>372</v>
      </c>
      <c r="F13" s="67" t="s">
        <v>373</v>
      </c>
      <c r="G13" s="64"/>
      <c r="J13" s="60"/>
    </row>
    <row r="14" spans="1:12" ht="14.1" customHeight="1">
      <c r="A14" s="67" t="s">
        <v>374</v>
      </c>
      <c r="B14" s="67" t="s">
        <v>375</v>
      </c>
      <c r="C14" s="67" t="s">
        <v>376</v>
      </c>
      <c r="D14" s="67" t="s">
        <v>377</v>
      </c>
      <c r="E14" s="67" t="s">
        <v>378</v>
      </c>
      <c r="F14" s="67" t="s">
        <v>379</v>
      </c>
      <c r="G14" s="64"/>
      <c r="J14" s="60"/>
    </row>
    <row r="15" spans="1:12" ht="14.1" customHeight="1" thickBot="1">
      <c r="G15" s="62"/>
      <c r="L15" s="62" t="s">
        <v>380</v>
      </c>
    </row>
    <row r="16" spans="1:12" ht="14.1" customHeight="1" thickBot="1">
      <c r="B16" s="60"/>
      <c r="C16" s="60"/>
      <c r="D16" s="68" t="str">
        <f>'CHICLETS MASTER S2'!$L$3</f>
        <v>ALISO NIGUEL HS</v>
      </c>
      <c r="E16" s="60"/>
      <c r="F16" s="60"/>
      <c r="G16" s="64"/>
      <c r="H16" s="60"/>
      <c r="I16" s="60"/>
      <c r="J16" s="60"/>
      <c r="K16" s="60"/>
      <c r="L16" s="60"/>
    </row>
    <row r="17" spans="1:13" ht="14.1" customHeight="1">
      <c r="A17" s="337" t="s">
        <v>124</v>
      </c>
      <c r="B17" s="337" t="s">
        <v>125</v>
      </c>
      <c r="C17" s="337" t="s">
        <v>126</v>
      </c>
      <c r="D17" s="337" t="s">
        <v>127</v>
      </c>
      <c r="E17" s="337" t="s">
        <v>128</v>
      </c>
      <c r="F17" s="337" t="s">
        <v>129</v>
      </c>
      <c r="G17" s="337" t="s">
        <v>130</v>
      </c>
      <c r="H17" s="337" t="s">
        <v>131</v>
      </c>
      <c r="I17" s="337" t="s">
        <v>130</v>
      </c>
      <c r="J17" s="338" t="s">
        <v>132</v>
      </c>
      <c r="K17" s="338" t="s">
        <v>133</v>
      </c>
      <c r="L17" s="337" t="s">
        <v>134</v>
      </c>
    </row>
    <row r="18" spans="1:13" ht="14.1" customHeight="1">
      <c r="A18" s="69">
        <f t="shared" ref="A18:A29" si="0">$A$2</f>
        <v>46226</v>
      </c>
      <c r="B18" s="70">
        <f>'CHICLETS MASTER S2'!K4</f>
        <v>0.29166666666666669</v>
      </c>
      <c r="C18" s="71" t="s">
        <v>218</v>
      </c>
      <c r="D18" s="71" t="str">
        <f t="shared" ref="D18:D29" si="1">$D$16</f>
        <v>ALISO NIGUEL HS</v>
      </c>
      <c r="E18" s="71">
        <v>1</v>
      </c>
      <c r="F18" s="71" t="str">
        <f>C5</f>
        <v>3-VANGUARD</v>
      </c>
      <c r="G18" s="73">
        <v>22</v>
      </c>
      <c r="H18" s="71" t="str">
        <f>C8</f>
        <v>46-CAPITAL</v>
      </c>
      <c r="I18" s="71">
        <v>2</v>
      </c>
      <c r="J18" s="71">
        <v>25</v>
      </c>
      <c r="K18" s="71">
        <v>29</v>
      </c>
      <c r="L18" s="71" t="str">
        <f t="shared" ref="L18:L29" si="2">IF(E18="","",$L$15&amp;"-"&amp;TEXT(E18,"000"))</f>
        <v>12B-001</v>
      </c>
    </row>
    <row r="19" spans="1:13" ht="14.1" customHeight="1">
      <c r="A19" s="69">
        <f t="shared" si="0"/>
        <v>46226</v>
      </c>
      <c r="B19" s="70">
        <f>'CHICLETS MASTER S2'!K5</f>
        <v>0.3263888888888889</v>
      </c>
      <c r="C19" s="71" t="s">
        <v>218</v>
      </c>
      <c r="D19" s="71" t="str">
        <f t="shared" si="1"/>
        <v>ALISO NIGUEL HS</v>
      </c>
      <c r="E19" s="71">
        <v>5</v>
      </c>
      <c r="F19" s="71" t="str">
        <f>C6</f>
        <v>22-SHAQ BLUE</v>
      </c>
      <c r="G19" s="74">
        <v>11.7</v>
      </c>
      <c r="H19" s="71" t="str">
        <f>C7</f>
        <v>27-SD SHORES</v>
      </c>
      <c r="I19" s="71">
        <v>11.6</v>
      </c>
      <c r="J19" s="71">
        <v>25</v>
      </c>
      <c r="K19" s="71">
        <v>29</v>
      </c>
      <c r="L19" s="71" t="str">
        <f t="shared" si="2"/>
        <v>12B-005</v>
      </c>
    </row>
    <row r="20" spans="1:13" ht="14.1" customHeight="1">
      <c r="A20" s="69">
        <f t="shared" si="0"/>
        <v>46226</v>
      </c>
      <c r="B20" s="70">
        <f>'CHICLETS MASTER S2'!K6</f>
        <v>0.36111111111111099</v>
      </c>
      <c r="C20" s="71" t="s">
        <v>218</v>
      </c>
      <c r="D20" s="71" t="str">
        <f t="shared" si="1"/>
        <v>ALISO NIGUEL HS</v>
      </c>
      <c r="E20" s="71">
        <v>9</v>
      </c>
      <c r="F20" s="71" t="str">
        <f>A5</f>
        <v>1-SD DONS RED</v>
      </c>
      <c r="G20" s="73">
        <v>5</v>
      </c>
      <c r="H20" s="71" t="str">
        <f>A8</f>
        <v>48-BARCELONA LIONS</v>
      </c>
      <c r="I20" s="71">
        <v>0</v>
      </c>
      <c r="J20" s="71">
        <v>33</v>
      </c>
      <c r="K20" s="71">
        <v>37</v>
      </c>
      <c r="L20" s="71" t="str">
        <f t="shared" si="2"/>
        <v>12B-009</v>
      </c>
    </row>
    <row r="21" spans="1:13" ht="14.1" customHeight="1">
      <c r="A21" s="69">
        <f t="shared" si="0"/>
        <v>46226</v>
      </c>
      <c r="B21" s="70">
        <f>'CHICLETS MASTER S2'!K7</f>
        <v>0.39583333333333398</v>
      </c>
      <c r="C21" s="71" t="s">
        <v>218</v>
      </c>
      <c r="D21" s="71" t="str">
        <f t="shared" si="1"/>
        <v>ALISO NIGUEL HS</v>
      </c>
      <c r="E21" s="71">
        <v>13</v>
      </c>
      <c r="F21" s="71" t="str">
        <f>A6</f>
        <v>24-680 RED</v>
      </c>
      <c r="G21" s="73">
        <v>12</v>
      </c>
      <c r="H21" s="71" t="str">
        <f>A7</f>
        <v>25-COMMERCE</v>
      </c>
      <c r="I21" s="71">
        <v>2</v>
      </c>
      <c r="J21" s="71">
        <v>33</v>
      </c>
      <c r="K21" s="71">
        <v>37</v>
      </c>
      <c r="L21" s="71" t="str">
        <f t="shared" si="2"/>
        <v>12B-013</v>
      </c>
    </row>
    <row r="22" spans="1:13" ht="14.1" customHeight="1">
      <c r="A22" s="69">
        <f t="shared" si="0"/>
        <v>46226</v>
      </c>
      <c r="B22" s="70">
        <f>'CHICLETS MASTER S2'!K8</f>
        <v>0.43055555555555602</v>
      </c>
      <c r="C22" s="71" t="s">
        <v>218</v>
      </c>
      <c r="D22" s="71" t="str">
        <f t="shared" si="1"/>
        <v>ALISO NIGUEL HS</v>
      </c>
      <c r="E22" s="71">
        <v>17</v>
      </c>
      <c r="F22" s="71" t="str">
        <f>B5</f>
        <v>2-MISSION A</v>
      </c>
      <c r="G22" s="73">
        <v>26</v>
      </c>
      <c r="H22" s="71" t="str">
        <f>B8</f>
        <v>47-CHICAGO PARK</v>
      </c>
      <c r="I22" s="71">
        <v>1</v>
      </c>
      <c r="J22" s="71">
        <v>41</v>
      </c>
      <c r="K22" s="71">
        <v>45</v>
      </c>
      <c r="L22" s="71" t="str">
        <f t="shared" si="2"/>
        <v>12B-017</v>
      </c>
    </row>
    <row r="23" spans="1:13" ht="14.1" customHeight="1">
      <c r="A23" s="69">
        <f t="shared" si="0"/>
        <v>46226</v>
      </c>
      <c r="B23" s="70">
        <f>'CHICLETS MASTER S2'!K9</f>
        <v>0.46527777777777801</v>
      </c>
      <c r="C23" s="71" t="s">
        <v>218</v>
      </c>
      <c r="D23" s="71" t="str">
        <f t="shared" si="1"/>
        <v>ALISO NIGUEL HS</v>
      </c>
      <c r="E23" s="71">
        <v>21</v>
      </c>
      <c r="F23" s="71" t="str">
        <f>B6</f>
        <v>23-ORWP BLACK</v>
      </c>
      <c r="G23" s="73">
        <v>15</v>
      </c>
      <c r="H23" s="71" t="str">
        <f>B7</f>
        <v>26-PEGASUS BLUE</v>
      </c>
      <c r="I23" s="71">
        <v>11</v>
      </c>
      <c r="J23" s="71">
        <v>41</v>
      </c>
      <c r="K23" s="71">
        <v>45</v>
      </c>
      <c r="L23" s="71" t="str">
        <f t="shared" si="2"/>
        <v>12B-021</v>
      </c>
    </row>
    <row r="24" spans="1:13" ht="14.1" customHeight="1">
      <c r="A24" s="69">
        <f t="shared" si="0"/>
        <v>46226</v>
      </c>
      <c r="B24" s="70">
        <f>'CHICLETS MASTER S2'!K10</f>
        <v>0.5</v>
      </c>
      <c r="C24" s="71" t="s">
        <v>218</v>
      </c>
      <c r="D24" s="71" t="str">
        <f t="shared" si="1"/>
        <v>ALISO NIGUEL HS</v>
      </c>
      <c r="E24" s="71">
        <v>25</v>
      </c>
      <c r="F24" s="71" t="str">
        <f>IF(G18="","W1",IF(G18&gt;I18,_xlfn.CONCAT("W1-",RIGHT(F18,LEN(F18) - FIND("-",F18))), _xlfn.CONCAT("W1-",RIGHT(H18,LEN(H18) - FIND("-",H18)))))</f>
        <v>W1-VANGUARD</v>
      </c>
      <c r="G24" s="81">
        <v>16</v>
      </c>
      <c r="H24" s="71" t="str">
        <f>IF(G19="","W5",IF(G19&gt;I19,_xlfn.CONCAT("W5-",RIGHT(F19,LEN(F19) - FIND("-",F19))), _xlfn.CONCAT("W5-",RIGHT(H19,LEN(H19) - FIND("-",H19)))))</f>
        <v>W5-SHAQ BLUE</v>
      </c>
      <c r="I24" s="71">
        <v>4</v>
      </c>
      <c r="J24" s="71" t="s">
        <v>381</v>
      </c>
      <c r="K24" s="71">
        <v>50</v>
      </c>
      <c r="L24" s="71" t="str">
        <f t="shared" si="2"/>
        <v>12B-025</v>
      </c>
    </row>
    <row r="25" spans="1:13" ht="14.1" customHeight="1">
      <c r="A25" s="69">
        <f t="shared" si="0"/>
        <v>46226</v>
      </c>
      <c r="B25" s="70">
        <f>'CHICLETS MASTER S2'!K11</f>
        <v>0.53472222222222199</v>
      </c>
      <c r="C25" s="71" t="s">
        <v>218</v>
      </c>
      <c r="D25" s="71" t="str">
        <f t="shared" si="1"/>
        <v>ALISO NIGUEL HS</v>
      </c>
      <c r="E25" s="71">
        <v>29</v>
      </c>
      <c r="F25" s="71" t="str">
        <f>IF(G18="","L1",IF(G18&lt;I18,_xlfn.CONCAT("L1-",RIGHT(F18,LEN(F18) - FIND("-",F18))), _xlfn.CONCAT("L1-",RIGHT(H18,LEN(H18) - FIND("-",H18)))))</f>
        <v>L1-CAPITAL</v>
      </c>
      <c r="G25" s="81">
        <v>7</v>
      </c>
      <c r="H25" s="71" t="str">
        <f>IF(G19="","L5",IF(G19&lt;I19,_xlfn.CONCAT("L5-",RIGHT(F19,LEN(F19) - FIND("-",F19))), _xlfn.CONCAT("L5-",RIGHT(H19,LEN(H19) - FIND("-",H19)))))</f>
        <v>L5-SD SHORES</v>
      </c>
      <c r="I25" s="71">
        <v>15</v>
      </c>
      <c r="J25" s="71">
        <v>49</v>
      </c>
      <c r="K25" s="71" t="s">
        <v>382</v>
      </c>
      <c r="L25" s="71" t="str">
        <f t="shared" si="2"/>
        <v>12B-029</v>
      </c>
    </row>
    <row r="26" spans="1:13" ht="14.1" customHeight="1">
      <c r="A26" s="69">
        <f t="shared" si="0"/>
        <v>46226</v>
      </c>
      <c r="B26" s="70">
        <f>'CHICLETS MASTER S2'!K12</f>
        <v>0.56944444444444497</v>
      </c>
      <c r="C26" s="71" t="s">
        <v>218</v>
      </c>
      <c r="D26" s="71" t="str">
        <f t="shared" si="1"/>
        <v>ALISO NIGUEL HS</v>
      </c>
      <c r="E26" s="71">
        <v>33</v>
      </c>
      <c r="F26" s="71" t="str">
        <f>IF(G20="","W9",IF(G20&gt;I20,_xlfn.CONCAT("W9-",RIGHT(F20,LEN(F20) - FIND("-",F20))), _xlfn.CONCAT("W9-",RIGHT(H20,LEN(H20) - FIND("-",H20)))))</f>
        <v>W9-SD DONS RED</v>
      </c>
      <c r="G26" s="81">
        <v>13</v>
      </c>
      <c r="H26" s="71" t="str">
        <f>IF(G21="","W13",IF(G21&gt;I21,_xlfn.CONCAT("W13-",RIGHT(F21,LEN(F21) - FIND("-",F21))), _xlfn.CONCAT("W13-",RIGHT(H21,LEN(H21) - FIND("-",H21)))))</f>
        <v>W13-680 RED</v>
      </c>
      <c r="I26" s="71">
        <v>8</v>
      </c>
      <c r="J26" s="71" t="s">
        <v>383</v>
      </c>
      <c r="K26" s="71">
        <v>57</v>
      </c>
      <c r="L26" s="71" t="str">
        <f t="shared" si="2"/>
        <v>12B-033</v>
      </c>
    </row>
    <row r="27" spans="1:13" ht="14.1" customHeight="1">
      <c r="A27" s="69">
        <f t="shared" si="0"/>
        <v>46226</v>
      </c>
      <c r="B27" s="70">
        <f>'CHICLETS MASTER S2'!K13</f>
        <v>0.60416666666666696</v>
      </c>
      <c r="C27" s="71" t="s">
        <v>218</v>
      </c>
      <c r="D27" s="71" t="str">
        <f t="shared" si="1"/>
        <v>ALISO NIGUEL HS</v>
      </c>
      <c r="E27" s="71">
        <v>37</v>
      </c>
      <c r="F27" s="71" t="str">
        <f>IF(G20="","L9",IF(G20&lt;I20,_xlfn.CONCAT("L9-",RIGHT(F20,LEN(F20) - FIND("-",F20))), _xlfn.CONCAT("L9-",RIGHT(H20,LEN(H20) - FIND("-",H20)))))</f>
        <v>L9-BARCELONA LIONS</v>
      </c>
      <c r="G27" s="81">
        <v>6</v>
      </c>
      <c r="H27" s="71" t="str">
        <f>IF(G21="","L13",IF(G21&lt;I21,_xlfn.CONCAT("L13-",RIGHT(F21,LEN(F21) - FIND("-",F21))), _xlfn.CONCAT("L13-",RIGHT(H21,LEN(H21) - FIND("-",H21)))))</f>
        <v>L13-COMMERCE</v>
      </c>
      <c r="I27" s="71">
        <v>13</v>
      </c>
      <c r="J27" s="71">
        <v>53</v>
      </c>
      <c r="K27" s="71" t="s">
        <v>384</v>
      </c>
      <c r="L27" s="71" t="str">
        <f t="shared" si="2"/>
        <v>12B-037</v>
      </c>
    </row>
    <row r="28" spans="1:13" ht="14.1" customHeight="1">
      <c r="A28" s="69">
        <f t="shared" si="0"/>
        <v>46226</v>
      </c>
      <c r="B28" s="70">
        <f>'CHICLETS MASTER S2'!K14</f>
        <v>0.63888888888888895</v>
      </c>
      <c r="C28" s="71" t="s">
        <v>218</v>
      </c>
      <c r="D28" s="71" t="str">
        <f t="shared" si="1"/>
        <v>ALISO NIGUEL HS</v>
      </c>
      <c r="E28" s="71">
        <v>41</v>
      </c>
      <c r="F28" s="191" t="str">
        <f>IF(G22="","W17",IF(G22&gt;I22,_xlfn.CONCAT("W17-",RIGHT(F22,LEN(F22) - FIND("-",F22))), _xlfn.CONCAT("W17-",RIGHT(H22,LEN(H22) - FIND("-",H22)))))</f>
        <v>W17-MISSION A</v>
      </c>
      <c r="G28" s="73">
        <v>13</v>
      </c>
      <c r="H28" s="191" t="str">
        <f>IF(G23="","W21",IF(G23&gt;I23,_xlfn.CONCAT("W21-",RIGHT(F23,LEN(F23) - FIND("-",F23))), _xlfn.CONCAT("W21-",RIGHT(H23,LEN(H23) - FIND("-",H23)))))</f>
        <v>W21-ORWP BLACK</v>
      </c>
      <c r="I28" s="71">
        <v>6</v>
      </c>
      <c r="J28" s="71" t="s">
        <v>385</v>
      </c>
      <c r="K28" s="71">
        <v>53</v>
      </c>
      <c r="L28" s="71" t="str">
        <f t="shared" si="2"/>
        <v>12B-041</v>
      </c>
    </row>
    <row r="29" spans="1:13" ht="14.1" customHeight="1">
      <c r="A29" s="69">
        <f t="shared" si="0"/>
        <v>46226</v>
      </c>
      <c r="B29" s="70">
        <f>'CHICLETS MASTER S2'!K15</f>
        <v>0.67361111111111105</v>
      </c>
      <c r="C29" s="71" t="s">
        <v>218</v>
      </c>
      <c r="D29" s="71" t="str">
        <f t="shared" si="1"/>
        <v>ALISO NIGUEL HS</v>
      </c>
      <c r="E29" s="71">
        <v>45</v>
      </c>
      <c r="F29" s="182" t="str">
        <f>IF(G22="","L17",IF(G22&lt;I22,_xlfn.CONCAT("L17-",RIGHT(F22,LEN(F22) - FIND("-",F22))), _xlfn.CONCAT("L17-",RIGHT(H22,LEN(H22) - FIND("-",H22)))))</f>
        <v>L17-CHICAGO PARK</v>
      </c>
      <c r="G29" s="73">
        <v>10</v>
      </c>
      <c r="H29" s="182" t="str">
        <f>IF(G23="","L21",IF(G23&lt;I23,_xlfn.CONCAT("L21-",RIGHT(F23,LEN(F23) - FIND("-",F23))), _xlfn.CONCAT("L21-",RIGHT(H23,LEN(H23) - FIND("-",H23)))))</f>
        <v>L21-PEGASUS BLUE</v>
      </c>
      <c r="I29" s="71">
        <v>16</v>
      </c>
      <c r="J29" s="71">
        <v>57</v>
      </c>
      <c r="K29" s="71" t="s">
        <v>386</v>
      </c>
      <c r="L29" s="71" t="str">
        <f t="shared" si="2"/>
        <v>12B-045</v>
      </c>
    </row>
    <row r="30" spans="1:13" ht="14.1" customHeight="1">
      <c r="A30" s="75"/>
      <c r="B30" s="60" t="s">
        <v>139</v>
      </c>
      <c r="C30" s="60"/>
      <c r="D30" s="60"/>
      <c r="E30" s="60"/>
      <c r="F30" s="60"/>
      <c r="G30" s="64"/>
      <c r="H30" s="60"/>
      <c r="I30" s="60"/>
      <c r="J30" s="60"/>
      <c r="K30" s="60"/>
      <c r="L30" s="60"/>
      <c r="M30" s="60"/>
    </row>
    <row r="31" spans="1:13" ht="14.1" customHeight="1">
      <c r="A31" s="69">
        <f>$A$2</f>
        <v>46226</v>
      </c>
      <c r="B31" s="70">
        <f>'CHICLETS MASTER S2'!K17</f>
        <v>0.74305555555555602</v>
      </c>
      <c r="C31" s="71" t="s">
        <v>140</v>
      </c>
      <c r="D31" s="71" t="str">
        <f>$D$16</f>
        <v>ALISO NIGUEL HS</v>
      </c>
      <c r="E31" s="71">
        <v>49</v>
      </c>
      <c r="F31" s="66" t="str">
        <f>IF(G43="","L26",IF(G43&lt;I43,_xlfn.CONCAT("L26-",RIGHT(F43,LEN(F43) - FIND("-",F43))), _xlfn.CONCAT("L26-",RIGHT(H43,LEN(H43) - FIND("-",H43)))))</f>
        <v>L26-SAN JOSE EXPRESS</v>
      </c>
      <c r="G31" s="81">
        <v>16</v>
      </c>
      <c r="H31" s="71" t="str">
        <f>IF(G25="","W29",IF(G25&gt;I25,_xlfn.CONCAT("W29-",RIGHT(F25,LEN(F25) - FIND("-",F25))), _xlfn.CONCAT("W29-",RIGHT(H25,LEN(H25) - FIND("-",H25)))))</f>
        <v>W29-SD SHORES</v>
      </c>
      <c r="I31" s="71">
        <v>14</v>
      </c>
      <c r="J31" s="71" t="s">
        <v>155</v>
      </c>
      <c r="K31" s="71" t="s">
        <v>152</v>
      </c>
      <c r="L31" s="71" t="str">
        <f>IF(E31="","",$L$15&amp;"-"&amp;TEXT(E31,"000"))</f>
        <v>12B-049</v>
      </c>
    </row>
    <row r="32" spans="1:13" ht="14.1" customHeight="1">
      <c r="A32" s="69">
        <f>$A$2</f>
        <v>46226</v>
      </c>
      <c r="B32" s="70">
        <f>'CHICLETS MASTER S2'!K18</f>
        <v>0.77777777777777801</v>
      </c>
      <c r="C32" s="71" t="s">
        <v>140</v>
      </c>
      <c r="D32" s="71" t="str">
        <f>$D$16</f>
        <v>ALISO NIGUEL HS</v>
      </c>
      <c r="E32" s="71">
        <v>53</v>
      </c>
      <c r="F32" s="71" t="str">
        <f>IF(G28="","L41",IF(G28&lt;I28,_xlfn.CONCAT("L41-",RIGHT(F28,LEN(F28) - FIND("-",F28))), _xlfn.CONCAT("L41-",RIGHT(H28,LEN(H28) - FIND("-",H28)))))</f>
        <v>L41-ORWP BLACK</v>
      </c>
      <c r="G32" s="81">
        <v>10</v>
      </c>
      <c r="H32" s="71" t="str">
        <f>IF(G27="","W37",IF(G27&gt;I27,_xlfn.CONCAT("W37-",RIGHT(F27,LEN(F27) - FIND("-",F27))), _xlfn.CONCAT("W37-",RIGHT(H27,LEN(H27) - FIND("-",H27)))))</f>
        <v>W37-COMMERCE</v>
      </c>
      <c r="I32" s="71">
        <v>6</v>
      </c>
      <c r="J32" s="71" t="s">
        <v>147</v>
      </c>
      <c r="K32" s="71" t="s">
        <v>148</v>
      </c>
      <c r="L32" s="71" t="str">
        <f>IF(E32="","",$L$15&amp;"-"&amp;TEXT(E32,"000"))</f>
        <v>12B-053</v>
      </c>
    </row>
    <row r="33" spans="1:12" ht="14.1" customHeight="1">
      <c r="A33" s="69">
        <f>$A$2</f>
        <v>46226</v>
      </c>
      <c r="B33" s="70">
        <f>'CHICLETS MASTER S2'!K19</f>
        <v>0.8125</v>
      </c>
      <c r="C33" s="71" t="s">
        <v>140</v>
      </c>
      <c r="D33" s="71" t="str">
        <f>$D$16</f>
        <v>ALISO NIGUEL HS</v>
      </c>
      <c r="E33" s="71">
        <v>57</v>
      </c>
      <c r="F33" s="71" t="str">
        <f>IF(G26="","L33",IF(G26&lt;I26,_xlfn.CONCAT("L33-",RIGHT(F26,LEN(F26) - FIND("-",F26))), _xlfn.CONCAT("L33-",RIGHT(H26,LEN(H26) - FIND("-",H26)))))</f>
        <v>L33-680 RED</v>
      </c>
      <c r="G33" s="81">
        <v>11</v>
      </c>
      <c r="H33" s="71" t="str">
        <f>IF(G29="","W45",IF(G29&gt;I29,_xlfn.CONCAT("W45-",RIGHT(F29,LEN(F29) - FIND("-",F29))), _xlfn.CONCAT("W45-",RIGHT(H29,LEN(H29) - FIND("-",H29)))))</f>
        <v>W45-PEGASUS BLUE</v>
      </c>
      <c r="I33" s="71">
        <v>9</v>
      </c>
      <c r="J33" s="71" t="s">
        <v>143</v>
      </c>
      <c r="K33" s="71" t="s">
        <v>144</v>
      </c>
      <c r="L33" s="71" t="str">
        <f>IF(E33="","",$L$15&amp;"-"&amp;TEXT(E33,"000"))</f>
        <v>12B-057</v>
      </c>
    </row>
    <row r="34" spans="1:12" ht="14.1" customHeight="1" thickBot="1">
      <c r="A34" s="78"/>
      <c r="B34" s="79"/>
      <c r="C34" s="60"/>
      <c r="D34" s="60"/>
      <c r="E34" s="60"/>
      <c r="I34" s="60"/>
      <c r="J34" s="60"/>
      <c r="K34" s="60"/>
      <c r="L34" s="60"/>
    </row>
    <row r="35" spans="1:12" ht="14.1" customHeight="1" thickBot="1">
      <c r="B35" s="79"/>
      <c r="C35" s="60"/>
      <c r="D35" s="68" t="str">
        <f>'CHICLETS MASTER S2'!$M$3</f>
        <v>SAN CLEMENTE HS</v>
      </c>
      <c r="E35" s="60"/>
      <c r="I35" s="60"/>
      <c r="J35" s="60"/>
      <c r="K35" s="60"/>
      <c r="L35" s="60"/>
    </row>
    <row r="36" spans="1:12" ht="14.1" customHeight="1">
      <c r="A36" s="337" t="s">
        <v>124</v>
      </c>
      <c r="B36" s="337" t="s">
        <v>125</v>
      </c>
      <c r="C36" s="337" t="s">
        <v>126</v>
      </c>
      <c r="D36" s="337" t="s">
        <v>127</v>
      </c>
      <c r="E36" s="337" t="s">
        <v>128</v>
      </c>
      <c r="F36" s="337" t="s">
        <v>129</v>
      </c>
      <c r="G36" s="337" t="s">
        <v>130</v>
      </c>
      <c r="H36" s="337" t="s">
        <v>131</v>
      </c>
      <c r="I36" s="337" t="s">
        <v>130</v>
      </c>
      <c r="J36" s="338" t="s">
        <v>132</v>
      </c>
      <c r="K36" s="338" t="s">
        <v>133</v>
      </c>
      <c r="L36" s="337" t="s">
        <v>134</v>
      </c>
    </row>
    <row r="37" spans="1:12" ht="14.1" customHeight="1">
      <c r="A37" s="69">
        <f t="shared" ref="A37:A48" si="3">$A$2</f>
        <v>46226</v>
      </c>
      <c r="B37" s="70">
        <f>'CHICLETS MASTER S2'!K4</f>
        <v>0.29166666666666669</v>
      </c>
      <c r="C37" s="71" t="s">
        <v>218</v>
      </c>
      <c r="D37" s="71" t="str">
        <f t="shared" ref="D37:D48" si="4">$D$35</f>
        <v>SAN CLEMENTE HS</v>
      </c>
      <c r="E37" s="71">
        <v>2</v>
      </c>
      <c r="F37" s="71" t="str">
        <f>D5</f>
        <v>4-SAN JOSE EXPRESS</v>
      </c>
      <c r="G37" s="73">
        <v>20</v>
      </c>
      <c r="H37" s="71" t="str">
        <f>D8</f>
        <v>45-ASA</v>
      </c>
      <c r="I37" s="71">
        <v>2</v>
      </c>
      <c r="J37" s="71">
        <v>26</v>
      </c>
      <c r="K37" s="71">
        <v>30</v>
      </c>
      <c r="L37" s="71" t="str">
        <f t="shared" ref="L37:L48" si="5">IF(E37="","",$L$15&amp;"-"&amp;TEXT(E37,"000"))</f>
        <v>12B-002</v>
      </c>
    </row>
    <row r="38" spans="1:12" ht="14.1" customHeight="1">
      <c r="A38" s="69">
        <f t="shared" si="3"/>
        <v>46226</v>
      </c>
      <c r="B38" s="70">
        <f>'CHICLETS MASTER S2'!K5</f>
        <v>0.3263888888888889</v>
      </c>
      <c r="C38" s="71" t="s">
        <v>218</v>
      </c>
      <c r="D38" s="71" t="str">
        <f t="shared" si="4"/>
        <v>SAN CLEMENTE HS</v>
      </c>
      <c r="E38" s="71">
        <v>6</v>
      </c>
      <c r="F38" s="71" t="str">
        <f>D6</f>
        <v>21-GREENWICH BLUE</v>
      </c>
      <c r="G38" s="73">
        <v>20</v>
      </c>
      <c r="H38" s="71" t="str">
        <f>D7</f>
        <v>28-SANTA CRUZ</v>
      </c>
      <c r="I38" s="71">
        <v>2</v>
      </c>
      <c r="J38" s="71">
        <v>26</v>
      </c>
      <c r="K38" s="71">
        <v>30</v>
      </c>
      <c r="L38" s="71" t="str">
        <f t="shared" si="5"/>
        <v>12B-006</v>
      </c>
    </row>
    <row r="39" spans="1:12" ht="14.1" customHeight="1">
      <c r="A39" s="69">
        <f t="shared" si="3"/>
        <v>46226</v>
      </c>
      <c r="B39" s="70">
        <f>'CHICLETS MASTER S2'!K6</f>
        <v>0.36111111111111099</v>
      </c>
      <c r="C39" s="71" t="s">
        <v>218</v>
      </c>
      <c r="D39" s="71" t="str">
        <f t="shared" si="4"/>
        <v>SAN CLEMENTE HS</v>
      </c>
      <c r="E39" s="71">
        <v>10</v>
      </c>
      <c r="F39" s="71" t="str">
        <f>E5</f>
        <v>5-NORTH IRVINE BLACK</v>
      </c>
      <c r="G39" s="73">
        <v>26</v>
      </c>
      <c r="H39" s="71" t="str">
        <f>E8</f>
        <v>44-TOPAZ TSUNAMI</v>
      </c>
      <c r="I39" s="71">
        <v>1</v>
      </c>
      <c r="J39" s="71">
        <v>34</v>
      </c>
      <c r="K39" s="71">
        <v>38</v>
      </c>
      <c r="L39" s="71" t="str">
        <f t="shared" si="5"/>
        <v>12B-010</v>
      </c>
    </row>
    <row r="40" spans="1:12" ht="14.1" customHeight="1">
      <c r="A40" s="69">
        <f t="shared" si="3"/>
        <v>46226</v>
      </c>
      <c r="B40" s="70">
        <f>'CHICLETS MASTER S2'!K7</f>
        <v>0.39583333333333398</v>
      </c>
      <c r="C40" s="71" t="s">
        <v>218</v>
      </c>
      <c r="D40" s="71" t="str">
        <f t="shared" si="4"/>
        <v>SAN CLEMENTE HS</v>
      </c>
      <c r="E40" s="71">
        <v>14</v>
      </c>
      <c r="F40" s="71" t="str">
        <f>E6</f>
        <v>20-908 YELLOW</v>
      </c>
      <c r="G40" s="73">
        <v>14</v>
      </c>
      <c r="H40" s="71" t="str">
        <f>E7</f>
        <v>29-SOUTH COAST</v>
      </c>
      <c r="I40" s="73">
        <v>6</v>
      </c>
      <c r="J40" s="71">
        <v>34</v>
      </c>
      <c r="K40" s="71">
        <v>38</v>
      </c>
      <c r="L40" s="71" t="str">
        <f t="shared" si="5"/>
        <v>12B-014</v>
      </c>
    </row>
    <row r="41" spans="1:12" ht="14.1" customHeight="1">
      <c r="A41" s="69">
        <f t="shared" si="3"/>
        <v>46226</v>
      </c>
      <c r="B41" s="70">
        <f>'CHICLETS MASTER S2'!K8</f>
        <v>0.43055555555555602</v>
      </c>
      <c r="C41" s="71" t="s">
        <v>218</v>
      </c>
      <c r="D41" s="71" t="str">
        <f t="shared" si="4"/>
        <v>SAN CLEMENTE HS</v>
      </c>
      <c r="E41" s="71">
        <v>18</v>
      </c>
      <c r="F41" s="71" t="str">
        <f>F5</f>
        <v>6-SAN CLEMENTE RED</v>
      </c>
      <c r="G41" s="73">
        <v>29</v>
      </c>
      <c r="H41" s="71" t="str">
        <f>F8</f>
        <v>43-KERN PREMIER</v>
      </c>
      <c r="I41" s="71">
        <v>0</v>
      </c>
      <c r="J41" s="71">
        <v>42</v>
      </c>
      <c r="K41" s="71">
        <v>46</v>
      </c>
      <c r="L41" s="71" t="str">
        <f t="shared" si="5"/>
        <v>12B-018</v>
      </c>
    </row>
    <row r="42" spans="1:12" ht="14.1" customHeight="1">
      <c r="A42" s="69">
        <f t="shared" si="3"/>
        <v>46226</v>
      </c>
      <c r="B42" s="70">
        <f>'CHICLETS MASTER S2'!K9</f>
        <v>0.46527777777777801</v>
      </c>
      <c r="C42" s="71" t="s">
        <v>218</v>
      </c>
      <c r="D42" s="71" t="str">
        <f t="shared" si="4"/>
        <v>SAN CLEMENTE HS</v>
      </c>
      <c r="E42" s="71">
        <v>22</v>
      </c>
      <c r="F42" s="71" t="str">
        <f>F6</f>
        <v>19-SD DONS BLACK</v>
      </c>
      <c r="G42" s="73">
        <v>9</v>
      </c>
      <c r="H42" s="71" t="str">
        <f>F7</f>
        <v>30-SMAC BLACK</v>
      </c>
      <c r="I42" s="71">
        <v>2</v>
      </c>
      <c r="J42" s="71">
        <v>42</v>
      </c>
      <c r="K42" s="71">
        <v>46</v>
      </c>
      <c r="L42" s="71" t="str">
        <f t="shared" si="5"/>
        <v>12B-022</v>
      </c>
    </row>
    <row r="43" spans="1:12" ht="14.1" customHeight="1">
      <c r="A43" s="69">
        <f t="shared" si="3"/>
        <v>46226</v>
      </c>
      <c r="B43" s="70">
        <f>'CHICLETS MASTER S2'!K10</f>
        <v>0.5</v>
      </c>
      <c r="C43" s="71" t="s">
        <v>218</v>
      </c>
      <c r="D43" s="71" t="str">
        <f t="shared" si="4"/>
        <v>SAN CLEMENTE HS</v>
      </c>
      <c r="E43" s="71">
        <v>26</v>
      </c>
      <c r="F43" s="71" t="str">
        <f>IF(G37="","W2",IF(G37&gt;I37,_xlfn.CONCAT("W2-",RIGHT(F37,LEN(F37) - FIND("-",F37))), _xlfn.CONCAT("W2-",RIGHT(H37,LEN(H37) - FIND("-",H37)))))</f>
        <v>W2-SAN JOSE EXPRESS</v>
      </c>
      <c r="G43" s="81">
        <v>7</v>
      </c>
      <c r="H43" s="71" t="str">
        <f>IF(G38="","W6",IF(G38&gt;I38,_xlfn.CONCAT("W6-",RIGHT(F38,LEN(F38) - FIND("-",F38))), _xlfn.CONCAT("W6-",RIGHT(H38,LEN(H38) - FIND("-",H38)))))</f>
        <v>W6-GREENWICH BLUE</v>
      </c>
      <c r="I43" s="71">
        <v>16</v>
      </c>
      <c r="J43" s="71" t="s">
        <v>387</v>
      </c>
      <c r="K43" s="71">
        <v>49</v>
      </c>
      <c r="L43" s="71" t="str">
        <f t="shared" si="5"/>
        <v>12B-026</v>
      </c>
    </row>
    <row r="44" spans="1:12" ht="14.1" customHeight="1">
      <c r="A44" s="69">
        <f t="shared" si="3"/>
        <v>46226</v>
      </c>
      <c r="B44" s="70">
        <f>'CHICLETS MASTER S2'!K11</f>
        <v>0.53472222222222199</v>
      </c>
      <c r="C44" s="71" t="s">
        <v>218</v>
      </c>
      <c r="D44" s="71" t="str">
        <f t="shared" si="4"/>
        <v>SAN CLEMENTE HS</v>
      </c>
      <c r="E44" s="71">
        <v>30</v>
      </c>
      <c r="F44" s="71" t="str">
        <f>IF(G37="","L2",IF(G37&lt;I37,_xlfn.CONCAT("L2-",RIGHT(F37,LEN(F37) - FIND("-",F37))), _xlfn.CONCAT("L2-",RIGHT(H37,LEN(H37) - FIND("-",H37)))))</f>
        <v>L2-ASA</v>
      </c>
      <c r="G44" s="81">
        <v>6</v>
      </c>
      <c r="H44" s="71" t="str">
        <f>IF(G38="","L6",IF(G38&lt;I38,_xlfn.CONCAT("L6-",RIGHT(F38,LEN(F38) - FIND("-",F38))), _xlfn.CONCAT("L6-",RIGHT(H38,LEN(H38) - FIND("-",H38)))))</f>
        <v>L6-SANTA CRUZ</v>
      </c>
      <c r="I44" s="71">
        <v>20</v>
      </c>
      <c r="J44" s="71">
        <v>50</v>
      </c>
      <c r="K44" s="71" t="s">
        <v>388</v>
      </c>
      <c r="L44" s="71" t="str">
        <f t="shared" si="5"/>
        <v>12B-030</v>
      </c>
    </row>
    <row r="45" spans="1:12" ht="14.25" customHeight="1">
      <c r="A45" s="69">
        <f t="shared" si="3"/>
        <v>46226</v>
      </c>
      <c r="B45" s="70">
        <f>'CHICLETS MASTER S2'!K12</f>
        <v>0.56944444444444497</v>
      </c>
      <c r="C45" s="71" t="s">
        <v>218</v>
      </c>
      <c r="D45" s="71" t="str">
        <f t="shared" si="4"/>
        <v>SAN CLEMENTE HS</v>
      </c>
      <c r="E45" s="71">
        <v>34</v>
      </c>
      <c r="F45" s="71" t="str">
        <f>IF(G39="","W10",IF(G39&gt;I39,_xlfn.CONCAT("W10-",RIGHT(F39,LEN(F39) - FIND("-",F39))), _xlfn.CONCAT("W10-",RIGHT(H39,LEN(H39) - FIND("-",H39)))))</f>
        <v>W10-NORTH IRVINE BLACK</v>
      </c>
      <c r="G45" s="73">
        <v>14</v>
      </c>
      <c r="H45" s="71" t="str">
        <f>IF(G40="","W14",IF(G40&gt;I40,_xlfn.CONCAT("W14-",RIGHT(F40,LEN(F40) - FIND("-",F40))), _xlfn.CONCAT("W14-",RIGHT(H40,LEN(H40) - FIND("-",H40)))))</f>
        <v>W14-908 YELLOW</v>
      </c>
      <c r="I45" s="71">
        <v>8</v>
      </c>
      <c r="J45" s="71" t="s">
        <v>389</v>
      </c>
      <c r="K45" s="71">
        <v>58</v>
      </c>
      <c r="L45" s="71" t="str">
        <f t="shared" si="5"/>
        <v>12B-034</v>
      </c>
    </row>
    <row r="46" spans="1:12" ht="14.1" customHeight="1">
      <c r="A46" s="69">
        <f t="shared" si="3"/>
        <v>46226</v>
      </c>
      <c r="B46" s="70">
        <f>'CHICLETS MASTER S2'!K13</f>
        <v>0.60416666666666696</v>
      </c>
      <c r="C46" s="71" t="s">
        <v>218</v>
      </c>
      <c r="D46" s="71" t="str">
        <f t="shared" si="4"/>
        <v>SAN CLEMENTE HS</v>
      </c>
      <c r="E46" s="71">
        <v>38</v>
      </c>
      <c r="F46" s="71" t="str">
        <f>IF(G39="","L10",IF(G39&lt;I39,_xlfn.CONCAT("L10-",RIGHT(F39,LEN(F39) - FIND("-",F39))), _xlfn.CONCAT("L10-",RIGHT(H39,LEN(H39) - FIND("-",H39)))))</f>
        <v>L10-TOPAZ TSUNAMI</v>
      </c>
      <c r="G46" s="73">
        <v>4</v>
      </c>
      <c r="H46" s="71" t="str">
        <f>IF(G40="","L14",IF(G40&lt;I40,_xlfn.CONCAT("L14-",RIGHT(F40,LEN(F40) - FIND("-",F40))), _xlfn.CONCAT("L14-",RIGHT(H40,LEN(H40) - FIND("-",H40)))))</f>
        <v>L14-SOUTH COAST</v>
      </c>
      <c r="I46" s="71">
        <v>19</v>
      </c>
      <c r="J46" s="71">
        <v>54</v>
      </c>
      <c r="K46" s="71" t="s">
        <v>390</v>
      </c>
      <c r="L46" s="71" t="str">
        <f t="shared" si="5"/>
        <v>12B-038</v>
      </c>
    </row>
    <row r="47" spans="1:12" ht="14.1" customHeight="1">
      <c r="A47" s="69">
        <f t="shared" si="3"/>
        <v>46226</v>
      </c>
      <c r="B47" s="70">
        <f>'CHICLETS MASTER S2'!K14</f>
        <v>0.63888888888888895</v>
      </c>
      <c r="C47" s="71" t="s">
        <v>218</v>
      </c>
      <c r="D47" s="71" t="str">
        <f t="shared" si="4"/>
        <v>SAN CLEMENTE HS</v>
      </c>
      <c r="E47" s="71">
        <v>42</v>
      </c>
      <c r="F47" s="71" t="str">
        <f>IF(G41="","W18",IF(G41&gt;I41,_xlfn.CONCAT("W18-",RIGHT(F41,LEN(F41) - FIND("-",F41))), _xlfn.CONCAT("W18-",RIGHT(H41,LEN(H41) - FIND("-",H41)))))</f>
        <v>W18-SAN CLEMENTE RED</v>
      </c>
      <c r="G47" s="136">
        <v>8.3000000000000007</v>
      </c>
      <c r="H47" s="71" t="str">
        <f>IF(G42="","W22",IF(G42&gt;I42,_xlfn.CONCAT("W22-",RIGHT(F42,LEN(F42) - FIND("-",F42))), _xlfn.CONCAT("W22-",RIGHT(H42,LEN(H42) - FIND("-",H42)))))</f>
        <v>W22-SD DONS BLACK</v>
      </c>
      <c r="I47" s="71">
        <v>8.4</v>
      </c>
      <c r="J47" s="71" t="s">
        <v>391</v>
      </c>
      <c r="K47" s="71">
        <v>54</v>
      </c>
      <c r="L47" s="71" t="str">
        <f t="shared" si="5"/>
        <v>12B-042</v>
      </c>
    </row>
    <row r="48" spans="1:12" ht="14.1" customHeight="1">
      <c r="A48" s="69">
        <f t="shared" si="3"/>
        <v>46226</v>
      </c>
      <c r="B48" s="70">
        <f>'CHICLETS MASTER S2'!K15</f>
        <v>0.67361111111111105</v>
      </c>
      <c r="C48" s="71" t="s">
        <v>218</v>
      </c>
      <c r="D48" s="71" t="str">
        <f t="shared" si="4"/>
        <v>SAN CLEMENTE HS</v>
      </c>
      <c r="E48" s="71">
        <v>46</v>
      </c>
      <c r="F48" s="71" t="str">
        <f>IF(G41="","L18",IF(G41&lt;I41,_xlfn.CONCAT("L18-",RIGHT(F41,LEN(F41) - FIND("-",F41))), _xlfn.CONCAT("L18-",RIGHT(H41,LEN(H41) - FIND("-",H41)))))</f>
        <v>L18-KERN PREMIER</v>
      </c>
      <c r="G48" s="73">
        <v>9</v>
      </c>
      <c r="H48" s="71" t="str">
        <f>IF(G42="","L22",IF(G42&lt;I42,_xlfn.CONCAT("L22-",RIGHT(F42,LEN(F42) - FIND("-",F42))), _xlfn.CONCAT("L22-",RIGHT(H42,LEN(H42) - FIND("-",H42)))))</f>
        <v>L22-SMAC BLACK</v>
      </c>
      <c r="I48" s="71">
        <v>11</v>
      </c>
      <c r="J48" s="71">
        <v>58</v>
      </c>
      <c r="K48" s="71" t="s">
        <v>392</v>
      </c>
      <c r="L48" s="71" t="str">
        <f t="shared" si="5"/>
        <v>12B-046</v>
      </c>
    </row>
    <row r="49" spans="1:12" ht="14.1" customHeight="1">
      <c r="A49" s="75"/>
      <c r="B49" s="60" t="s">
        <v>139</v>
      </c>
      <c r="C49" s="60"/>
      <c r="D49" s="60"/>
      <c r="E49" s="60"/>
      <c r="F49" s="60"/>
      <c r="G49" s="64"/>
      <c r="H49" s="60"/>
      <c r="I49" s="60"/>
      <c r="J49" s="60"/>
      <c r="K49" s="60"/>
      <c r="L49" s="60"/>
    </row>
    <row r="50" spans="1:12" ht="14.1" customHeight="1">
      <c r="A50" s="69">
        <f>$A$2</f>
        <v>46226</v>
      </c>
      <c r="B50" s="70">
        <f>'CHICLETS MASTER S2'!K17</f>
        <v>0.74305555555555602</v>
      </c>
      <c r="C50" s="71" t="s">
        <v>140</v>
      </c>
      <c r="D50" s="71" t="str">
        <f>$D$35</f>
        <v>SAN CLEMENTE HS</v>
      </c>
      <c r="E50" s="71">
        <v>50</v>
      </c>
      <c r="F50" s="76" t="str">
        <f>IF(G24="","L25",IF(G24&lt;I24,_xlfn.CONCAT("L25-",RIGHT(F24,LEN(F24) - FIND("-",F24))), _xlfn.CONCAT("L25-",RIGHT(H24,LEN(H24) - FIND("-",H24)))))</f>
        <v>L25-SHAQ BLUE</v>
      </c>
      <c r="G50" s="81">
        <v>10</v>
      </c>
      <c r="H50" s="71" t="str">
        <f>IF(G44="","W30",IF(G44&gt;I44,_xlfn.CONCAT("W30-",RIGHT(F44,LEN(F44) - FIND("-",F44))), _xlfn.CONCAT("W30-",RIGHT(H44,LEN(H44) - FIND("-",H44)))))</f>
        <v>W30-SANTA CRUZ</v>
      </c>
      <c r="I50" s="71">
        <v>6</v>
      </c>
      <c r="J50" s="71" t="s">
        <v>151</v>
      </c>
      <c r="K50" s="71" t="s">
        <v>393</v>
      </c>
      <c r="L50" s="71" t="str">
        <f>IF(E50="","",$L$15&amp;"-"&amp;TEXT(E50,"000"))</f>
        <v>12B-050</v>
      </c>
    </row>
    <row r="51" spans="1:12" ht="14.1" customHeight="1">
      <c r="A51" s="69">
        <f>$A$2</f>
        <v>46226</v>
      </c>
      <c r="B51" s="70">
        <f>'CHICLETS MASTER S2'!K18</f>
        <v>0.77777777777777801</v>
      </c>
      <c r="C51" s="71" t="s">
        <v>140</v>
      </c>
      <c r="D51" s="71" t="str">
        <f>$D$35</f>
        <v>SAN CLEMENTE HS</v>
      </c>
      <c r="E51" s="71">
        <v>54</v>
      </c>
      <c r="F51" s="71" t="str">
        <f>IF(G47="","L42",IF(G47&lt;I47,_xlfn.CONCAT("L42-",RIGHT(F47,LEN(F47) - FIND("-",F47))), _xlfn.CONCAT("L42-",RIGHT(H47,LEN(H47) - FIND("-",H47)))))</f>
        <v>L42-SAN CLEMENTE RED</v>
      </c>
      <c r="G51" s="81">
        <v>18</v>
      </c>
      <c r="H51" s="71" t="str">
        <f>IF(G46="","W38",IF(G46&gt;I46,_xlfn.CONCAT("W38-",RIGHT(F46,LEN(F46) - FIND("-",F46))), _xlfn.CONCAT("W38-",RIGHT(H46,LEN(H46) - FIND("-",H46)))))</f>
        <v>W38-SOUTH COAST</v>
      </c>
      <c r="I51" s="71">
        <v>3</v>
      </c>
      <c r="J51" s="71" t="s">
        <v>171</v>
      </c>
      <c r="K51" s="71" t="s">
        <v>394</v>
      </c>
      <c r="L51" s="71" t="str">
        <f>IF(E51="","",$L$15&amp;"-"&amp;TEXT(E51,"000"))</f>
        <v>12B-054</v>
      </c>
    </row>
    <row r="52" spans="1:12" ht="14.1" customHeight="1">
      <c r="A52" s="69">
        <f>$A$2</f>
        <v>46226</v>
      </c>
      <c r="B52" s="70">
        <f>'CHICLETS MASTER S2'!K19</f>
        <v>0.8125</v>
      </c>
      <c r="C52" s="71" t="s">
        <v>140</v>
      </c>
      <c r="D52" s="71" t="str">
        <f>$D$35</f>
        <v>SAN CLEMENTE HS</v>
      </c>
      <c r="E52" s="71">
        <v>58</v>
      </c>
      <c r="F52" s="71" t="str">
        <f>IF(G45="","L34",IF(G45&lt;I45,_xlfn.CONCAT("L34-",RIGHT(F45,LEN(F45) - FIND("-",F45))), _xlfn.CONCAT("L34-",RIGHT(H45,LEN(H45) - FIND("-",H45)))))</f>
        <v>L34-908 YELLOW</v>
      </c>
      <c r="G52" s="81">
        <v>12</v>
      </c>
      <c r="H52" s="71" t="str">
        <f>IF(G48="","W46",IF(G48&gt;I48,_xlfn.CONCAT("W46-",RIGHT(F48,LEN(F48) - FIND("-",F48))), _xlfn.CONCAT("W46-",RIGHT(H48,LEN(H48) - FIND("-",H48)))))</f>
        <v>W46-SMAC BLACK</v>
      </c>
      <c r="I52" s="71">
        <v>1</v>
      </c>
      <c r="J52" s="71" t="s">
        <v>175</v>
      </c>
      <c r="K52" s="71" t="s">
        <v>172</v>
      </c>
      <c r="L52" s="71" t="str">
        <f>IF(E52="","",$L$15&amp;"-"&amp;TEXT(E52,"000"))</f>
        <v>12B-058</v>
      </c>
    </row>
    <row r="53" spans="1:12" ht="14.1" customHeight="1" thickBot="1"/>
    <row r="54" spans="1:12" ht="14.1" customHeight="1" thickBot="1">
      <c r="B54" s="60"/>
      <c r="C54" s="60"/>
      <c r="D54" s="68" t="str">
        <f>'CHICLETS MASTER S2'!$N$3</f>
        <v>MISSION VIEJO HS</v>
      </c>
      <c r="I54" s="60"/>
      <c r="J54" s="60"/>
      <c r="K54" s="60"/>
      <c r="L54" s="60"/>
    </row>
    <row r="55" spans="1:12" ht="14.1" customHeight="1">
      <c r="A55" s="337" t="s">
        <v>124</v>
      </c>
      <c r="B55" s="337" t="s">
        <v>125</v>
      </c>
      <c r="C55" s="337" t="s">
        <v>126</v>
      </c>
      <c r="D55" s="337" t="s">
        <v>127</v>
      </c>
      <c r="E55" s="337" t="s">
        <v>128</v>
      </c>
      <c r="F55" s="337" t="s">
        <v>129</v>
      </c>
      <c r="G55" s="337" t="s">
        <v>130</v>
      </c>
      <c r="H55" s="337" t="s">
        <v>131</v>
      </c>
      <c r="I55" s="337" t="s">
        <v>130</v>
      </c>
      <c r="J55" s="338" t="s">
        <v>132</v>
      </c>
      <c r="K55" s="338" t="s">
        <v>133</v>
      </c>
      <c r="L55" s="337" t="s">
        <v>134</v>
      </c>
    </row>
    <row r="56" spans="1:12" ht="14.1" customHeight="1">
      <c r="A56" s="69">
        <f t="shared" ref="A56:A67" si="6">$A$2</f>
        <v>46226</v>
      </c>
      <c r="B56" s="70">
        <f>'CHICLETS MASTER S2'!K4</f>
        <v>0.29166666666666669</v>
      </c>
      <c r="C56" s="71" t="s">
        <v>218</v>
      </c>
      <c r="D56" s="71" t="str">
        <f t="shared" ref="D56:D67" si="7">$D$54</f>
        <v>MISSION VIEJO HS</v>
      </c>
      <c r="E56" s="71">
        <v>3</v>
      </c>
      <c r="F56" s="71" t="str">
        <f>C11</f>
        <v>9-TEMPLE CITY</v>
      </c>
      <c r="G56" s="73">
        <v>13</v>
      </c>
      <c r="H56" s="71" t="str">
        <f>C14</f>
        <v>40-PRAETORIAN</v>
      </c>
      <c r="I56" s="71">
        <v>6</v>
      </c>
      <c r="J56" s="71">
        <v>27</v>
      </c>
      <c r="K56" s="71">
        <v>31</v>
      </c>
      <c r="L56" s="71" t="str">
        <f t="shared" ref="L56:L67" si="8">IF(E56="","",$L$15&amp;"-"&amp;TEXT(E56,"000"))</f>
        <v>12B-003</v>
      </c>
    </row>
    <row r="57" spans="1:12" ht="14.1" customHeight="1">
      <c r="A57" s="69">
        <f t="shared" si="6"/>
        <v>46226</v>
      </c>
      <c r="B57" s="70">
        <f>'CHICLETS MASTER S2'!K5</f>
        <v>0.3263888888888889</v>
      </c>
      <c r="C57" s="71" t="s">
        <v>218</v>
      </c>
      <c r="D57" s="71" t="str">
        <f t="shared" si="7"/>
        <v>MISSION VIEJO HS</v>
      </c>
      <c r="E57" s="71">
        <v>7</v>
      </c>
      <c r="F57" s="71" t="str">
        <f>C12</f>
        <v>16-CDM BLUE</v>
      </c>
      <c r="G57" s="73">
        <v>16</v>
      </c>
      <c r="H57" s="71" t="str">
        <f>C13</f>
        <v>33-680 BLUE</v>
      </c>
      <c r="I57" s="71">
        <v>3</v>
      </c>
      <c r="J57" s="71">
        <v>27</v>
      </c>
      <c r="K57" s="71">
        <v>31</v>
      </c>
      <c r="L57" s="71" t="str">
        <f t="shared" si="8"/>
        <v>12B-007</v>
      </c>
    </row>
    <row r="58" spans="1:12" ht="14.1" customHeight="1">
      <c r="A58" s="69">
        <f t="shared" si="6"/>
        <v>46226</v>
      </c>
      <c r="B58" s="70">
        <f>'CHICLETS MASTER S2'!K6</f>
        <v>0.36111111111111099</v>
      </c>
      <c r="C58" s="71" t="s">
        <v>218</v>
      </c>
      <c r="D58" s="71" t="str">
        <f t="shared" si="7"/>
        <v>MISSION VIEJO HS</v>
      </c>
      <c r="E58" s="71">
        <v>11</v>
      </c>
      <c r="F58" s="71" t="str">
        <f>A11</f>
        <v>7-NEWPORT BEACH BLUE</v>
      </c>
      <c r="G58" s="73">
        <v>16</v>
      </c>
      <c r="H58" s="71" t="str">
        <f>A14</f>
        <v>42-CAL REPUBLIC BLACK</v>
      </c>
      <c r="I58" s="71">
        <v>1</v>
      </c>
      <c r="J58" s="71">
        <v>35</v>
      </c>
      <c r="K58" s="71">
        <v>39</v>
      </c>
      <c r="L58" s="71" t="str">
        <f t="shared" si="8"/>
        <v>12B-011</v>
      </c>
    </row>
    <row r="59" spans="1:12" ht="14.1" customHeight="1">
      <c r="A59" s="69">
        <f t="shared" si="6"/>
        <v>46226</v>
      </c>
      <c r="B59" s="70">
        <f>'CHICLETS MASTER S2'!K7</f>
        <v>0.39583333333333398</v>
      </c>
      <c r="C59" s="71" t="s">
        <v>218</v>
      </c>
      <c r="D59" s="71" t="str">
        <f t="shared" si="7"/>
        <v>MISSION VIEJO HS</v>
      </c>
      <c r="E59" s="71">
        <v>15</v>
      </c>
      <c r="F59" s="71" t="str">
        <f>A12</f>
        <v>18-SOCAL</v>
      </c>
      <c r="G59" s="73">
        <v>6</v>
      </c>
      <c r="H59" s="71" t="str">
        <f>A13</f>
        <v>31-DAVIS BLUE</v>
      </c>
      <c r="I59" s="71">
        <v>4</v>
      </c>
      <c r="J59" s="71">
        <v>35</v>
      </c>
      <c r="K59" s="71">
        <v>39</v>
      </c>
      <c r="L59" s="71" t="str">
        <f t="shared" si="8"/>
        <v>12B-015</v>
      </c>
    </row>
    <row r="60" spans="1:12" ht="14.1" customHeight="1">
      <c r="A60" s="69">
        <f t="shared" si="6"/>
        <v>46226</v>
      </c>
      <c r="B60" s="70">
        <f>'CHICLETS MASTER S2'!K8</f>
        <v>0.43055555555555602</v>
      </c>
      <c r="C60" s="71" t="s">
        <v>218</v>
      </c>
      <c r="D60" s="71" t="str">
        <f t="shared" si="7"/>
        <v>MISSION VIEJO HS</v>
      </c>
      <c r="E60" s="71">
        <v>19</v>
      </c>
      <c r="F60" s="71" t="str">
        <f>B11</f>
        <v>8-TSUNAMI</v>
      </c>
      <c r="G60" s="73">
        <v>15</v>
      </c>
      <c r="H60" s="71" t="str">
        <f>B14</f>
        <v>41-LYONS AQUATICS</v>
      </c>
      <c r="I60" s="71">
        <v>6</v>
      </c>
      <c r="J60" s="71">
        <v>43</v>
      </c>
      <c r="K60" s="71">
        <v>47</v>
      </c>
      <c r="L60" s="71" t="str">
        <f t="shared" si="8"/>
        <v>12B-019</v>
      </c>
    </row>
    <row r="61" spans="1:12" ht="14.1" customHeight="1">
      <c r="A61" s="69">
        <f t="shared" si="6"/>
        <v>46226</v>
      </c>
      <c r="B61" s="70">
        <f>'CHICLETS MASTER S2'!K9</f>
        <v>0.46527777777777801</v>
      </c>
      <c r="C61" s="71" t="s">
        <v>218</v>
      </c>
      <c r="D61" s="71" t="str">
        <f t="shared" si="7"/>
        <v>MISSION VIEJO HS</v>
      </c>
      <c r="E61" s="71">
        <v>23</v>
      </c>
      <c r="F61" s="71" t="str">
        <f>B12</f>
        <v>17-LAMORINDA A</v>
      </c>
      <c r="G61" s="73">
        <v>23</v>
      </c>
      <c r="H61" s="71" t="str">
        <f>B13</f>
        <v>32-PAC</v>
      </c>
      <c r="I61" s="71">
        <v>3</v>
      </c>
      <c r="J61" s="71">
        <v>43</v>
      </c>
      <c r="K61" s="71">
        <v>47</v>
      </c>
      <c r="L61" s="71" t="str">
        <f t="shared" si="8"/>
        <v>12B-023</v>
      </c>
    </row>
    <row r="62" spans="1:12" ht="14.1" customHeight="1">
      <c r="A62" s="69">
        <f t="shared" si="6"/>
        <v>46226</v>
      </c>
      <c r="B62" s="70">
        <f>'CHICLETS MASTER S2'!K10</f>
        <v>0.5</v>
      </c>
      <c r="C62" s="71" t="s">
        <v>218</v>
      </c>
      <c r="D62" s="71" t="str">
        <f t="shared" si="7"/>
        <v>MISSION VIEJO HS</v>
      </c>
      <c r="E62" s="71">
        <v>27</v>
      </c>
      <c r="F62" s="71" t="str">
        <f>IF(G56="","W3",IF(G56&gt;I56,_xlfn.CONCAT("W3-",RIGHT(F56,LEN(F56) - FIND("-",F56))), _xlfn.CONCAT("W3-",RIGHT(H56,LEN(H56) - FIND("-",H56)))))</f>
        <v>W3-TEMPLE CITY</v>
      </c>
      <c r="G62" s="73">
        <v>5</v>
      </c>
      <c r="H62" s="71" t="str">
        <f>IF(G57="","W7",IF(G57&gt;I57,_xlfn.CONCAT("W7-",RIGHT(F57,LEN(F57) - FIND("-",F57))), _xlfn.CONCAT("W7-",RIGHT(H57,LEN(H57) - FIND("-",H57)))))</f>
        <v>W7-CDM BLUE</v>
      </c>
      <c r="I62" s="71">
        <v>7</v>
      </c>
      <c r="J62" s="71" t="s">
        <v>395</v>
      </c>
      <c r="K62" s="71">
        <v>52</v>
      </c>
      <c r="L62" s="71" t="str">
        <f t="shared" si="8"/>
        <v>12B-027</v>
      </c>
    </row>
    <row r="63" spans="1:12" ht="14.1" customHeight="1">
      <c r="A63" s="69">
        <f t="shared" si="6"/>
        <v>46226</v>
      </c>
      <c r="B63" s="70">
        <f>'CHICLETS MASTER S2'!K11</f>
        <v>0.53472222222222199</v>
      </c>
      <c r="C63" s="71" t="s">
        <v>218</v>
      </c>
      <c r="D63" s="71" t="str">
        <f t="shared" si="7"/>
        <v>MISSION VIEJO HS</v>
      </c>
      <c r="E63" s="71">
        <v>31</v>
      </c>
      <c r="F63" s="71" t="str">
        <f>IF(G56="","L3",IF(G56&lt;I56,_xlfn.CONCAT("L3-",RIGHT(F56,LEN(F56) - FIND("-",F56))), _xlfn.CONCAT("L3-",RIGHT(H56,LEN(H56) - FIND("-",H56)))))</f>
        <v>L3-PRAETORIAN</v>
      </c>
      <c r="G63" s="73">
        <v>9</v>
      </c>
      <c r="H63" s="71" t="str">
        <f>IF(G57="","L7",IF(G57&lt;I57,_xlfn.CONCAT("L7-",RIGHT(F57,LEN(F57) - FIND("-",F57))), _xlfn.CONCAT("L7-",RIGHT(H57,LEN(H57) - FIND("-",H57)))))</f>
        <v>L7-680 BLUE</v>
      </c>
      <c r="I63" s="71">
        <v>10</v>
      </c>
      <c r="J63" s="71">
        <v>51</v>
      </c>
      <c r="K63" s="71" t="s">
        <v>396</v>
      </c>
      <c r="L63" s="71" t="str">
        <f t="shared" si="8"/>
        <v>12B-031</v>
      </c>
    </row>
    <row r="64" spans="1:12" ht="14.1" customHeight="1">
      <c r="A64" s="69">
        <f t="shared" si="6"/>
        <v>46226</v>
      </c>
      <c r="B64" s="70">
        <f>'CHICLETS MASTER S2'!K12</f>
        <v>0.56944444444444497</v>
      </c>
      <c r="C64" s="71" t="s">
        <v>218</v>
      </c>
      <c r="D64" s="71" t="str">
        <f t="shared" si="7"/>
        <v>MISSION VIEJO HS</v>
      </c>
      <c r="E64" s="71">
        <v>35</v>
      </c>
      <c r="F64" s="71" t="str">
        <f>IF(G58="","W11",IF(G58&gt;I58,_xlfn.CONCAT("W11-",RIGHT(F58,LEN(F58) - FIND("-",F58))), _xlfn.CONCAT("W11-",RIGHT(H58,LEN(H58) - FIND("-",H58)))))</f>
        <v>W11-NEWPORT BEACH BLUE</v>
      </c>
      <c r="G64" s="73">
        <v>8</v>
      </c>
      <c r="H64" s="71" t="str">
        <f>IF(G59="","W15",IF(G59&gt;I59,_xlfn.CONCAT("W15-",RIGHT(F59,LEN(F59) - FIND("-",F59))), _xlfn.CONCAT("W15-",RIGHT(H59,LEN(H59) - FIND("-",H59)))))</f>
        <v>W15-SOCAL</v>
      </c>
      <c r="I64" s="71">
        <v>5</v>
      </c>
      <c r="J64" s="71" t="s">
        <v>397</v>
      </c>
      <c r="K64" s="71">
        <v>59</v>
      </c>
      <c r="L64" s="71" t="str">
        <f t="shared" si="8"/>
        <v>12B-035</v>
      </c>
    </row>
    <row r="65" spans="1:12" ht="14.1" customHeight="1">
      <c r="A65" s="69">
        <f t="shared" si="6"/>
        <v>46226</v>
      </c>
      <c r="B65" s="70">
        <f>'CHICLETS MASTER S2'!K13</f>
        <v>0.60416666666666696</v>
      </c>
      <c r="C65" s="71" t="s">
        <v>218</v>
      </c>
      <c r="D65" s="71" t="str">
        <f t="shared" si="7"/>
        <v>MISSION VIEJO HS</v>
      </c>
      <c r="E65" s="71">
        <v>39</v>
      </c>
      <c r="F65" s="71" t="str">
        <f>IF(G58="","L11",IF(G58&lt;I58,_xlfn.CONCAT("L11-",RIGHT(F58,LEN(F58) - FIND("-",F58))), _xlfn.CONCAT("L11-",RIGHT(H58,LEN(H58) - FIND("-",H58)))))</f>
        <v>L11-CAL REPUBLIC BLACK</v>
      </c>
      <c r="G65" s="73">
        <v>3</v>
      </c>
      <c r="H65" s="71" t="str">
        <f>IF(G59="","L15",IF(G59&lt;I59,_xlfn.CONCAT("L15-",RIGHT(F59,LEN(F59) - FIND("-",F59))), _xlfn.CONCAT("L15-",RIGHT(H59,LEN(H59) - FIND("-",H59)))))</f>
        <v>L15-DAVIS BLUE</v>
      </c>
      <c r="I65" s="71">
        <v>17</v>
      </c>
      <c r="J65" s="71">
        <v>55</v>
      </c>
      <c r="K65" s="71" t="s">
        <v>398</v>
      </c>
      <c r="L65" s="71" t="str">
        <f t="shared" si="8"/>
        <v>12B-039</v>
      </c>
    </row>
    <row r="66" spans="1:12" ht="14.1" customHeight="1">
      <c r="A66" s="69">
        <f t="shared" si="6"/>
        <v>46226</v>
      </c>
      <c r="B66" s="70">
        <f>'CHICLETS MASTER S2'!K14</f>
        <v>0.63888888888888895</v>
      </c>
      <c r="C66" s="71" t="s">
        <v>218</v>
      </c>
      <c r="D66" s="71" t="str">
        <f t="shared" si="7"/>
        <v>MISSION VIEJO HS</v>
      </c>
      <c r="E66" s="71">
        <v>43</v>
      </c>
      <c r="F66" s="71" t="str">
        <f>IF(G60="","W19",IF(G60&gt;I60,_xlfn.CONCAT("W19-",RIGHT(F60,LEN(F60) - FIND("-",F60))), _xlfn.CONCAT("W19-",RIGHT(H60,LEN(H60) - FIND("-",H60)))))</f>
        <v>W19-TSUNAMI</v>
      </c>
      <c r="G66" s="73">
        <v>12</v>
      </c>
      <c r="H66" s="71" t="str">
        <f>IF(G61="","W23",IF(G61&gt;I61,_xlfn.CONCAT("W23-",RIGHT(F61,LEN(F61) - FIND("-",F61))), _xlfn.CONCAT("W23-",RIGHT(H61,LEN(H61) - FIND("-",H61)))))</f>
        <v>W23-LAMORINDA A</v>
      </c>
      <c r="I66" s="71">
        <v>8</v>
      </c>
      <c r="J66" s="71" t="s">
        <v>399</v>
      </c>
      <c r="K66" s="71">
        <v>55</v>
      </c>
      <c r="L66" s="71" t="str">
        <f t="shared" si="8"/>
        <v>12B-043</v>
      </c>
    </row>
    <row r="67" spans="1:12" ht="14.1" customHeight="1">
      <c r="A67" s="69">
        <f t="shared" si="6"/>
        <v>46226</v>
      </c>
      <c r="B67" s="70">
        <f>'CHICLETS MASTER S2'!K15</f>
        <v>0.67361111111111105</v>
      </c>
      <c r="C67" s="71" t="s">
        <v>218</v>
      </c>
      <c r="D67" s="71" t="str">
        <f t="shared" si="7"/>
        <v>MISSION VIEJO HS</v>
      </c>
      <c r="E67" s="71">
        <v>47</v>
      </c>
      <c r="F67" s="71" t="str">
        <f>IF(G60="","L19",IF(G60&lt;I60,_xlfn.CONCAT("L19-",RIGHT(F60,LEN(F60) - FIND("-",F60))), _xlfn.CONCAT("L19-",RIGHT(H60,LEN(H60) - FIND("-",H60)))))</f>
        <v>L19-LYONS AQUATICS</v>
      </c>
      <c r="G67" s="73">
        <v>9</v>
      </c>
      <c r="H67" s="71" t="str">
        <f>IF(G61="","L23",IF(G61&lt;I61,_xlfn.CONCAT("L23-",RIGHT(F61,LEN(F61) - FIND("-",F61))), _xlfn.CONCAT("L23-",RIGHT(H61,LEN(H61) - FIND("-",H61)))))</f>
        <v>L23-PAC</v>
      </c>
      <c r="I67" s="71">
        <v>8</v>
      </c>
      <c r="J67" s="71">
        <v>59</v>
      </c>
      <c r="K67" s="71" t="s">
        <v>400</v>
      </c>
      <c r="L67" s="71" t="str">
        <f t="shared" si="8"/>
        <v>12B-047</v>
      </c>
    </row>
    <row r="68" spans="1:12" ht="14.1" customHeight="1">
      <c r="A68" s="75"/>
      <c r="B68" s="60" t="s">
        <v>139</v>
      </c>
      <c r="C68" s="60"/>
      <c r="D68" s="60"/>
      <c r="E68" s="60"/>
      <c r="F68" s="60"/>
      <c r="G68" s="64"/>
      <c r="H68" s="60"/>
      <c r="I68" s="60"/>
      <c r="J68" s="60"/>
      <c r="K68" s="60"/>
      <c r="L68" s="60"/>
    </row>
    <row r="69" spans="1:12" ht="14.1" customHeight="1">
      <c r="A69" s="69">
        <f>$A$2</f>
        <v>46226</v>
      </c>
      <c r="B69" s="70">
        <f>'CHICLETS MASTER S2'!K17</f>
        <v>0.74305555555555602</v>
      </c>
      <c r="C69" s="71" t="s">
        <v>140</v>
      </c>
      <c r="D69" s="71" t="str">
        <f>$D$54</f>
        <v>MISSION VIEJO HS</v>
      </c>
      <c r="E69" s="71">
        <v>51</v>
      </c>
      <c r="F69" s="76" t="str">
        <f>IF(G81="","L28",IF(G81&lt;I81,_xlfn.CONCAT("L28-",RIGHT(F81,LEN(F81) - FIND("-",F81))), _xlfn.CONCAT("L28-",RIGHT(H81,LEN(H81) - FIND("-",H81)))))</f>
        <v>L28-LA JOLLA UNITED</v>
      </c>
      <c r="G69" s="73">
        <v>19</v>
      </c>
      <c r="H69" s="77" t="str">
        <f>IF(G63="","W31",IF(G63&gt;I63,_xlfn.CONCAT("W31-",RIGHT(F63,LEN(F63) - FIND("-",F63))), _xlfn.CONCAT("W31-",RIGHT(H63,LEN(H63) - FIND("-",H63)))))</f>
        <v>W31-680 BLUE</v>
      </c>
      <c r="I69" s="73">
        <v>6</v>
      </c>
      <c r="J69" s="71" t="s">
        <v>190</v>
      </c>
      <c r="K69" s="71" t="s">
        <v>191</v>
      </c>
      <c r="L69" s="71" t="str">
        <f>IF(E69="","",$L$15&amp;"-"&amp;TEXT(E69,"000"))</f>
        <v>12B-051</v>
      </c>
    </row>
    <row r="70" spans="1:12" ht="14.1" customHeight="1">
      <c r="A70" s="69">
        <f>$A$2</f>
        <v>46226</v>
      </c>
      <c r="B70" s="70">
        <f>'CHICLETS MASTER S2'!K18</f>
        <v>0.77777777777777801</v>
      </c>
      <c r="C70" s="71" t="s">
        <v>140</v>
      </c>
      <c r="D70" s="71" t="str">
        <f>$D$54</f>
        <v>MISSION VIEJO HS</v>
      </c>
      <c r="E70" s="71">
        <v>55</v>
      </c>
      <c r="F70" s="71" t="str">
        <f>IF(G66="","L43",IF(G66&lt;I66,_xlfn.CONCAT("L43-",RIGHT(F66,LEN(F66) - FIND("-",F66))), _xlfn.CONCAT("L43-",RIGHT(H66,LEN(H66) - FIND("-",H66)))))</f>
        <v>L43-LAMORINDA A</v>
      </c>
      <c r="G70" s="73">
        <v>12</v>
      </c>
      <c r="H70" s="71" t="str">
        <f>IF(G65="","W39",IF(G65&gt;I65,_xlfn.CONCAT("W39-",RIGHT(F65,LEN(F65) - FIND("-",F65))), _xlfn.CONCAT("W39-",RIGHT(H65,LEN(H65) - FIND("-",H65)))))</f>
        <v>W39-DAVIS BLUE</v>
      </c>
      <c r="I70" s="71">
        <v>10</v>
      </c>
      <c r="J70" s="71" t="s">
        <v>163</v>
      </c>
      <c r="K70" s="71" t="s">
        <v>164</v>
      </c>
      <c r="L70" s="71" t="str">
        <f>IF(E70="","",$L$15&amp;"-"&amp;TEXT(E70,"000"))</f>
        <v>12B-055</v>
      </c>
    </row>
    <row r="71" spans="1:12" ht="14.1" customHeight="1">
      <c r="A71" s="69">
        <f>$A$2</f>
        <v>46226</v>
      </c>
      <c r="B71" s="70">
        <f>'CHICLETS MASTER S2'!K19</f>
        <v>0.8125</v>
      </c>
      <c r="C71" s="71" t="s">
        <v>140</v>
      </c>
      <c r="D71" s="71" t="str">
        <f>$D$54</f>
        <v>MISSION VIEJO HS</v>
      </c>
      <c r="E71" s="71">
        <v>59</v>
      </c>
      <c r="F71" s="71" t="str">
        <f>IF(G64="","L35",IF(G64&lt;I64,_xlfn.CONCAT("L35-",RIGHT(F64,LEN(F64) - FIND("-",F64))), _xlfn.CONCAT("L35-",RIGHT(H64,LEN(H64) - FIND("-",H64)))))</f>
        <v>L35-SOCAL</v>
      </c>
      <c r="G71" s="73">
        <v>14</v>
      </c>
      <c r="H71" s="71" t="str">
        <f>IF(G67="","W47",IF(G67&gt;I67,_xlfn.CONCAT("W47-",RIGHT(F67,LEN(F67) - FIND("-",F67))), _xlfn.CONCAT("W47-",RIGHT(H67,LEN(H67) - FIND("-",H67)))))</f>
        <v>W47-LYONS AQUATICS</v>
      </c>
      <c r="I71" s="71">
        <v>5</v>
      </c>
      <c r="J71" s="71" t="s">
        <v>167</v>
      </c>
      <c r="K71" s="71" t="s">
        <v>168</v>
      </c>
      <c r="L71" s="71" t="str">
        <f>IF(E71="","",$L$15&amp;"-"&amp;TEXT(E71,"000"))</f>
        <v>12B-059</v>
      </c>
    </row>
    <row r="72" spans="1:12" ht="14.1" customHeight="1" thickBot="1">
      <c r="A72" s="78"/>
      <c r="B72" s="79"/>
      <c r="C72" s="60"/>
      <c r="D72" s="60"/>
      <c r="E72" s="60"/>
      <c r="I72" s="60"/>
      <c r="J72" s="60"/>
      <c r="K72" s="60"/>
      <c r="L72" s="60"/>
    </row>
    <row r="73" spans="1:12" ht="14.1" customHeight="1" thickBot="1">
      <c r="A73" s="60"/>
      <c r="B73" s="60"/>
      <c r="C73" s="95"/>
      <c r="D73" s="68" t="str">
        <f>'CHICLETS MASTER S2'!$O$3</f>
        <v>LAGUNA HILLS HS</v>
      </c>
      <c r="I73" s="60"/>
      <c r="J73" s="60"/>
      <c r="K73" s="60"/>
      <c r="L73" s="60"/>
    </row>
    <row r="74" spans="1:12" ht="14.1" customHeight="1">
      <c r="A74" s="337" t="s">
        <v>124</v>
      </c>
      <c r="B74" s="337" t="s">
        <v>125</v>
      </c>
      <c r="C74" s="337" t="s">
        <v>126</v>
      </c>
      <c r="D74" s="337" t="s">
        <v>127</v>
      </c>
      <c r="E74" s="337" t="s">
        <v>128</v>
      </c>
      <c r="F74" s="337" t="s">
        <v>129</v>
      </c>
      <c r="G74" s="337" t="s">
        <v>130</v>
      </c>
      <c r="H74" s="337" t="s">
        <v>131</v>
      </c>
      <c r="I74" s="337" t="s">
        <v>130</v>
      </c>
      <c r="J74" s="338" t="s">
        <v>132</v>
      </c>
      <c r="K74" s="338" t="s">
        <v>133</v>
      </c>
      <c r="L74" s="337" t="s">
        <v>134</v>
      </c>
    </row>
    <row r="75" spans="1:12" ht="14.1" customHeight="1">
      <c r="A75" s="69">
        <f t="shared" ref="A75:A86" si="9">$A$2</f>
        <v>46226</v>
      </c>
      <c r="B75" s="70">
        <f>'CHICLETS MASTER S2'!K4</f>
        <v>0.29166666666666669</v>
      </c>
      <c r="C75" s="71" t="s">
        <v>218</v>
      </c>
      <c r="D75" s="72" t="str">
        <f t="shared" ref="D75:D86" si="10">$D$73</f>
        <v>LAGUNA HILLS HS</v>
      </c>
      <c r="E75" s="71">
        <v>4</v>
      </c>
      <c r="F75" s="71" t="str">
        <f>D11</f>
        <v>10-STANFORD RED</v>
      </c>
      <c r="G75" s="73">
        <v>19</v>
      </c>
      <c r="H75" s="71" t="str">
        <f>D14</f>
        <v>39-CT PREMIER</v>
      </c>
      <c r="I75" s="71">
        <v>1</v>
      </c>
      <c r="J75" s="71">
        <v>28</v>
      </c>
      <c r="K75" s="71">
        <v>32</v>
      </c>
      <c r="L75" s="71" t="str">
        <f t="shared" ref="L75:L86" si="11">IF(E75="","",$L$15&amp;"-"&amp;TEXT(E75,"000"))</f>
        <v>12B-004</v>
      </c>
    </row>
    <row r="76" spans="1:12" ht="14.1" customHeight="1">
      <c r="A76" s="69">
        <f t="shared" si="9"/>
        <v>46226</v>
      </c>
      <c r="B76" s="70">
        <f>'CHICLETS MASTER S2'!K5</f>
        <v>0.3263888888888889</v>
      </c>
      <c r="C76" s="71" t="s">
        <v>218</v>
      </c>
      <c r="D76" s="72" t="str">
        <f t="shared" si="10"/>
        <v>LAGUNA HILLS HS</v>
      </c>
      <c r="E76" s="71">
        <v>8</v>
      </c>
      <c r="F76" s="71" t="str">
        <f>D12</f>
        <v>15-LA JOLLA UNITED</v>
      </c>
      <c r="G76" s="73">
        <v>7</v>
      </c>
      <c r="H76" s="71" t="str">
        <f>D13</f>
        <v>34-NSD STARS</v>
      </c>
      <c r="I76" s="71">
        <v>6</v>
      </c>
      <c r="J76" s="71">
        <v>28</v>
      </c>
      <c r="K76" s="71">
        <v>32</v>
      </c>
      <c r="L76" s="71" t="str">
        <f t="shared" si="11"/>
        <v>12B-008</v>
      </c>
    </row>
    <row r="77" spans="1:12" ht="14.1" customHeight="1">
      <c r="A77" s="69">
        <f t="shared" si="9"/>
        <v>46226</v>
      </c>
      <c r="B77" s="70">
        <f>'CHICLETS MASTER S2'!K6</f>
        <v>0.36111111111111099</v>
      </c>
      <c r="C77" s="71" t="s">
        <v>218</v>
      </c>
      <c r="D77" s="72" t="str">
        <f t="shared" si="10"/>
        <v>LAGUNA HILLS HS</v>
      </c>
      <c r="E77" s="71">
        <v>12</v>
      </c>
      <c r="F77" s="71" t="str">
        <f>E11</f>
        <v>11-SANTA BARBARA WPC A</v>
      </c>
      <c r="G77" s="73">
        <v>20</v>
      </c>
      <c r="H77" s="71" t="str">
        <f>E14</f>
        <v>38-GREENWICH WHITE</v>
      </c>
      <c r="I77" s="71">
        <v>7</v>
      </c>
      <c r="J77" s="71">
        <v>36</v>
      </c>
      <c r="K77" s="71">
        <v>40</v>
      </c>
      <c r="L77" s="71" t="str">
        <f t="shared" si="11"/>
        <v>12B-012</v>
      </c>
    </row>
    <row r="78" spans="1:12" ht="14.1" customHeight="1">
      <c r="A78" s="69">
        <f t="shared" si="9"/>
        <v>46226</v>
      </c>
      <c r="B78" s="70">
        <f>'CHICLETS MASTER S2'!K7</f>
        <v>0.39583333333333398</v>
      </c>
      <c r="C78" s="71" t="s">
        <v>218</v>
      </c>
      <c r="D78" s="72" t="str">
        <f t="shared" si="10"/>
        <v>LAGUNA HILLS HS</v>
      </c>
      <c r="E78" s="71">
        <v>16</v>
      </c>
      <c r="F78" s="71" t="str">
        <f>E12</f>
        <v>14-ROSE BOWL RED</v>
      </c>
      <c r="G78" s="73">
        <v>11</v>
      </c>
      <c r="H78" s="71" t="str">
        <f>E13</f>
        <v>35-STANFORD BLACK</v>
      </c>
      <c r="I78" s="71">
        <v>3</v>
      </c>
      <c r="J78" s="71">
        <v>36</v>
      </c>
      <c r="K78" s="71">
        <v>40</v>
      </c>
      <c r="L78" s="71" t="str">
        <f t="shared" si="11"/>
        <v>12B-016</v>
      </c>
    </row>
    <row r="79" spans="1:12" ht="14.1" customHeight="1">
      <c r="A79" s="69">
        <f t="shared" si="9"/>
        <v>46226</v>
      </c>
      <c r="B79" s="70">
        <f>'CHICLETS MASTER S2'!K8</f>
        <v>0.43055555555555602</v>
      </c>
      <c r="C79" s="71" t="s">
        <v>218</v>
      </c>
      <c r="D79" s="72" t="str">
        <f t="shared" si="10"/>
        <v>LAGUNA HILLS HS</v>
      </c>
      <c r="E79" s="71">
        <v>20</v>
      </c>
      <c r="F79" s="71" t="str">
        <f>F11</f>
        <v>12-CC UNITED BLACK</v>
      </c>
      <c r="G79" s="73">
        <v>18</v>
      </c>
      <c r="H79" s="71" t="str">
        <f>F14</f>
        <v>37-CENTRAL COAST</v>
      </c>
      <c r="I79" s="71">
        <v>2</v>
      </c>
      <c r="J79" s="71">
        <v>44</v>
      </c>
      <c r="K79" s="71">
        <v>48</v>
      </c>
      <c r="L79" s="71" t="str">
        <f t="shared" si="11"/>
        <v>12B-020</v>
      </c>
    </row>
    <row r="80" spans="1:12" ht="14.1" customHeight="1">
      <c r="A80" s="69">
        <f t="shared" si="9"/>
        <v>46226</v>
      </c>
      <c r="B80" s="70">
        <f>'CHICLETS MASTER S2'!K9</f>
        <v>0.46527777777777801</v>
      </c>
      <c r="C80" s="71" t="s">
        <v>218</v>
      </c>
      <c r="D80" s="72" t="str">
        <f t="shared" si="10"/>
        <v>LAGUNA HILLS HS</v>
      </c>
      <c r="E80" s="71">
        <v>24</v>
      </c>
      <c r="F80" s="71" t="str">
        <f>F12</f>
        <v>13-LA PREMIER BLACK</v>
      </c>
      <c r="G80" s="73">
        <v>14</v>
      </c>
      <c r="H80" s="71" t="str">
        <f>F13</f>
        <v>36-YPRO</v>
      </c>
      <c r="I80" s="71">
        <v>5</v>
      </c>
      <c r="J80" s="71">
        <v>44</v>
      </c>
      <c r="K80" s="71">
        <v>48</v>
      </c>
      <c r="L80" s="71" t="str">
        <f t="shared" si="11"/>
        <v>12B-024</v>
      </c>
    </row>
    <row r="81" spans="1:12" ht="14.1" customHeight="1">
      <c r="A81" s="69">
        <f t="shared" si="9"/>
        <v>46226</v>
      </c>
      <c r="B81" s="70">
        <f>'CHICLETS MASTER S2'!K10</f>
        <v>0.5</v>
      </c>
      <c r="C81" s="71" t="s">
        <v>218</v>
      </c>
      <c r="D81" s="72" t="str">
        <f t="shared" si="10"/>
        <v>LAGUNA HILLS HS</v>
      </c>
      <c r="E81" s="71">
        <v>28</v>
      </c>
      <c r="F81" s="191" t="str">
        <f>IF(G75="","W4",IF(G75&gt;I75,_xlfn.CONCAT("W4-",RIGHT(F75,LEN(F75) - FIND("-",F75))), _xlfn.CONCAT("W4-",RIGHT(H75,LEN(H75) - FIND("-",H75)))))</f>
        <v>W4-STANFORD RED</v>
      </c>
      <c r="G81" s="73">
        <v>19</v>
      </c>
      <c r="H81" s="191" t="str">
        <f>IF(G76="","W8",IF(G76&gt;I76,_xlfn.CONCAT("W8-",RIGHT(F76,LEN(F76) - FIND("-",F76))), _xlfn.CONCAT("W8-",RIGHT(H76,LEN(H76) - FIND("-",H76)))))</f>
        <v>W8-LA JOLLA UNITED</v>
      </c>
      <c r="I81" s="71">
        <v>3</v>
      </c>
      <c r="J81" s="71" t="s">
        <v>401</v>
      </c>
      <c r="K81" s="71">
        <v>51</v>
      </c>
      <c r="L81" s="71" t="str">
        <f t="shared" si="11"/>
        <v>12B-028</v>
      </c>
    </row>
    <row r="82" spans="1:12" ht="14.1" customHeight="1">
      <c r="A82" s="69">
        <f t="shared" si="9"/>
        <v>46226</v>
      </c>
      <c r="B82" s="70">
        <f>'CHICLETS MASTER S2'!K11</f>
        <v>0.53472222222222199</v>
      </c>
      <c r="C82" s="71" t="s">
        <v>218</v>
      </c>
      <c r="D82" s="72" t="str">
        <f t="shared" si="10"/>
        <v>LAGUNA HILLS HS</v>
      </c>
      <c r="E82" s="71">
        <v>32</v>
      </c>
      <c r="F82" s="182" t="str">
        <f>IF(G75="","L4",IF(G75&lt;I75,_xlfn.CONCAT("L4-",RIGHT(F75,LEN(F75) - FIND("-",F75))), _xlfn.CONCAT("L4-",RIGHT(H75,LEN(H75) - FIND("-",H75)))))</f>
        <v>L4-CT PREMIER</v>
      </c>
      <c r="G82" s="73">
        <v>6</v>
      </c>
      <c r="H82" s="182" t="str">
        <f>IF(G76="","L8",IF(G76&lt;I76,_xlfn.CONCAT("L8-",RIGHT(F76,LEN(F76) - FIND("-",F76))), _xlfn.CONCAT("L8-",RIGHT(H76,LEN(H76) - FIND("-",H76)))))</f>
        <v>L8-NSD STARS</v>
      </c>
      <c r="I82" s="71">
        <v>19</v>
      </c>
      <c r="J82" s="71">
        <v>52</v>
      </c>
      <c r="K82" s="71" t="s">
        <v>402</v>
      </c>
      <c r="L82" s="71" t="str">
        <f t="shared" si="11"/>
        <v>12B-032</v>
      </c>
    </row>
    <row r="83" spans="1:12" ht="14.1" customHeight="1">
      <c r="A83" s="69">
        <f t="shared" si="9"/>
        <v>46226</v>
      </c>
      <c r="B83" s="70">
        <f>'CHICLETS MASTER S2'!K12</f>
        <v>0.56944444444444497</v>
      </c>
      <c r="C83" s="71" t="s">
        <v>218</v>
      </c>
      <c r="D83" s="72" t="str">
        <f t="shared" si="10"/>
        <v>LAGUNA HILLS HS</v>
      </c>
      <c r="E83" s="71">
        <v>36</v>
      </c>
      <c r="F83" s="71" t="str">
        <f>IF(G77="","W12",IF(G77&gt;I77,_xlfn.CONCAT("W12-",RIGHT(F77,LEN(F77) - FIND("-",F77))), _xlfn.CONCAT("W12-",RIGHT(H77,LEN(H77) - FIND("-",H77)))))</f>
        <v>W12-SANTA BARBARA WPC A</v>
      </c>
      <c r="G83" s="73">
        <v>7</v>
      </c>
      <c r="H83" s="71" t="str">
        <f>IF(G78="","W16",IF(G78&gt;I78,_xlfn.CONCAT("W16-",RIGHT(F78,LEN(F78) - FIND("-",F78))), _xlfn.CONCAT("W16-",RIGHT(H78,LEN(H78) - FIND("-",H78)))))</f>
        <v>W16-ROSE BOWL RED</v>
      </c>
      <c r="I83" s="71">
        <v>11</v>
      </c>
      <c r="J83" s="71" t="s">
        <v>182</v>
      </c>
      <c r="K83" s="71">
        <v>60</v>
      </c>
      <c r="L83" s="71" t="str">
        <f t="shared" si="11"/>
        <v>12B-036</v>
      </c>
    </row>
    <row r="84" spans="1:12" ht="14.1" customHeight="1">
      <c r="A84" s="69">
        <f t="shared" si="9"/>
        <v>46226</v>
      </c>
      <c r="B84" s="70">
        <f>'CHICLETS MASTER S2'!K13</f>
        <v>0.60416666666666696</v>
      </c>
      <c r="C84" s="71" t="s">
        <v>218</v>
      </c>
      <c r="D84" s="72" t="str">
        <f t="shared" si="10"/>
        <v>LAGUNA HILLS HS</v>
      </c>
      <c r="E84" s="71">
        <v>40</v>
      </c>
      <c r="F84" s="71" t="str">
        <f>IF(G77="","L12",IF(G77&lt;I77,_xlfn.CONCAT("L12-",RIGHT(F77,LEN(F77) - FIND("-",F77))), _xlfn.CONCAT("L12-",RIGHT(H77,LEN(H77) - FIND("-",H77)))))</f>
        <v>L12-GREENWICH WHITE</v>
      </c>
      <c r="G84" s="73">
        <v>12</v>
      </c>
      <c r="H84" s="71" t="str">
        <f>IF(G78="","L16",IF(G78&lt;I78,_xlfn.CONCAT("L16-",RIGHT(F78,LEN(F78) - FIND("-",F78))), _xlfn.CONCAT("L16-",RIGHT(H78,LEN(H78) - FIND("-",H78)))))</f>
        <v>L16-STANFORD BLACK</v>
      </c>
      <c r="I84" s="71">
        <v>8</v>
      </c>
      <c r="J84" s="71">
        <v>56</v>
      </c>
      <c r="K84" s="71" t="s">
        <v>403</v>
      </c>
      <c r="L84" s="71" t="str">
        <f t="shared" si="11"/>
        <v>12B-040</v>
      </c>
    </row>
    <row r="85" spans="1:12" ht="14.1" customHeight="1">
      <c r="A85" s="69">
        <f t="shared" si="9"/>
        <v>46226</v>
      </c>
      <c r="B85" s="70">
        <f>'CHICLETS MASTER S2'!K14</f>
        <v>0.63888888888888895</v>
      </c>
      <c r="C85" s="71" t="s">
        <v>218</v>
      </c>
      <c r="D85" s="72" t="str">
        <f t="shared" si="10"/>
        <v>LAGUNA HILLS HS</v>
      </c>
      <c r="E85" s="71">
        <v>44</v>
      </c>
      <c r="F85" s="71" t="str">
        <f>IF(G79="","W20",IF(G79&gt;I79,_xlfn.CONCAT("W20-",RIGHT(F79,LEN(F79) - FIND("-",F79))), _xlfn.CONCAT("W20-",RIGHT(H79,LEN(H79) - FIND("-",H79)))))</f>
        <v>W20-CC UNITED BLACK</v>
      </c>
      <c r="G85" s="73">
        <v>18</v>
      </c>
      <c r="H85" s="71" t="str">
        <f>IF(G80="","W24",IF(G80&gt;I80,_xlfn.CONCAT("W24-",RIGHT(F80,LEN(F80) - FIND("-",F80))), _xlfn.CONCAT("W24-",RIGHT(H80,LEN(H80) - FIND("-",H80)))))</f>
        <v>W24-LA PREMIER BLACK</v>
      </c>
      <c r="I85" s="71">
        <v>9</v>
      </c>
      <c r="J85" s="71" t="s">
        <v>404</v>
      </c>
      <c r="K85" s="71">
        <v>56</v>
      </c>
      <c r="L85" s="71" t="str">
        <f t="shared" si="11"/>
        <v>12B-044</v>
      </c>
    </row>
    <row r="86" spans="1:12" ht="14.1" customHeight="1">
      <c r="A86" s="69">
        <f t="shared" si="9"/>
        <v>46226</v>
      </c>
      <c r="B86" s="70">
        <f>'CHICLETS MASTER S2'!K15</f>
        <v>0.67361111111111105</v>
      </c>
      <c r="C86" s="71" t="s">
        <v>218</v>
      </c>
      <c r="D86" s="72" t="str">
        <f t="shared" si="10"/>
        <v>LAGUNA HILLS HS</v>
      </c>
      <c r="E86" s="71">
        <v>48</v>
      </c>
      <c r="F86" s="71" t="str">
        <f>IF(G79="","L20",IF(G79&lt;I79,_xlfn.CONCAT("L20-",RIGHT(F79,LEN(F79) - FIND("-",F79))), _xlfn.CONCAT("L20-",RIGHT(H79,LEN(H79) - FIND("-",H79)))))</f>
        <v>L20-CENTRAL COAST</v>
      </c>
      <c r="G86" s="73">
        <v>8</v>
      </c>
      <c r="H86" s="71" t="str">
        <f>IF(G80="","L24",IF(G80&lt;I80,_xlfn.CONCAT("L24-",RIGHT(F80,LEN(F80) - FIND("-",F80))), _xlfn.CONCAT("L24-",RIGHT(H80,LEN(H80) - FIND("-",H80)))))</f>
        <v>L24-YPRO</v>
      </c>
      <c r="I86" s="71">
        <v>9</v>
      </c>
      <c r="J86" s="71">
        <v>60</v>
      </c>
      <c r="K86" s="71" t="s">
        <v>405</v>
      </c>
      <c r="L86" s="71" t="str">
        <f t="shared" si="11"/>
        <v>12B-048</v>
      </c>
    </row>
    <row r="87" spans="1:12" ht="14.1" customHeight="1">
      <c r="B87" s="60" t="s">
        <v>139</v>
      </c>
    </row>
    <row r="88" spans="1:12" ht="14.1" customHeight="1">
      <c r="A88" s="69">
        <f>$A$2</f>
        <v>46226</v>
      </c>
      <c r="B88" s="70">
        <f>'CHICLETS MASTER S2'!K17</f>
        <v>0.74305555555555602</v>
      </c>
      <c r="C88" s="71" t="s">
        <v>140</v>
      </c>
      <c r="D88" s="72" t="str">
        <f>$D$73</f>
        <v>LAGUNA HILLS HS</v>
      </c>
      <c r="E88" s="71">
        <v>52</v>
      </c>
      <c r="F88" s="76" t="str">
        <f>IF(G62="","L27",IF(G62&lt;I62,_xlfn.CONCAT("L27-",RIGHT(F62,LEN(F62) - FIND("-",F62))), _xlfn.CONCAT("L27-",RIGHT(H62,LEN(H62) - FIND("-",H62)))))</f>
        <v>L27-TEMPLE CITY</v>
      </c>
      <c r="G88" s="73">
        <v>10</v>
      </c>
      <c r="H88" s="77" t="str">
        <f>IF(G82="","W32",IF(G82&gt;I82,_xlfn.CONCAT("W32-",RIGHT(F82,LEN(F82) - FIND("-",F82))), _xlfn.CONCAT("W32-",RIGHT(H82,LEN(H82) - FIND("-",H82)))))</f>
        <v>W32-NSD STARS</v>
      </c>
      <c r="I88" s="71">
        <v>11</v>
      </c>
      <c r="J88" s="71" t="s">
        <v>186</v>
      </c>
      <c r="K88" s="71" t="s">
        <v>187</v>
      </c>
      <c r="L88" s="71" t="str">
        <f>IF(E88="","",$L$15&amp;"-"&amp;TEXT(E88,"000"))</f>
        <v>12B-052</v>
      </c>
    </row>
    <row r="89" spans="1:12" ht="14.1" customHeight="1">
      <c r="A89" s="69">
        <f>$A$2</f>
        <v>46226</v>
      </c>
      <c r="B89" s="70">
        <f>'CHICLETS MASTER S2'!K18</f>
        <v>0.77777777777777801</v>
      </c>
      <c r="C89" s="71" t="s">
        <v>140</v>
      </c>
      <c r="D89" s="72" t="str">
        <f>$D$73</f>
        <v>LAGUNA HILLS HS</v>
      </c>
      <c r="E89" s="71">
        <v>56</v>
      </c>
      <c r="F89" s="71" t="str">
        <f>IF(G85="","L44",IF(G85&lt;I85,_xlfn.CONCAT("L44-",RIGHT(F85,LEN(F85) - FIND("-",F85))), _xlfn.CONCAT("L44-",RIGHT(H85,LEN(H85) - FIND("-",H85)))))</f>
        <v>L44-LA PREMIER BLACK</v>
      </c>
      <c r="G89" s="73">
        <v>14</v>
      </c>
      <c r="H89" s="71" t="str">
        <f>IF(G84="","W40",IF(G84&gt;I84,_xlfn.CONCAT("W40-",RIGHT(F84,LEN(F84) - FIND("-",F84))), _xlfn.CONCAT("W40-",RIGHT(H84,LEN(H84) - FIND("-",H84)))))</f>
        <v>W40-GREENWICH WHITE</v>
      </c>
      <c r="I89" s="71">
        <v>6</v>
      </c>
      <c r="J89" s="71" t="s">
        <v>406</v>
      </c>
      <c r="K89" s="71" t="s">
        <v>194</v>
      </c>
      <c r="L89" s="71" t="str">
        <f>IF(E89="","",$L$15&amp;"-"&amp;TEXT(E89,"000"))</f>
        <v>12B-056</v>
      </c>
    </row>
    <row r="90" spans="1:12" ht="14.1" customHeight="1">
      <c r="A90" s="69">
        <f>$A$2</f>
        <v>46226</v>
      </c>
      <c r="B90" s="70">
        <f>'CHICLETS MASTER S2'!K19</f>
        <v>0.8125</v>
      </c>
      <c r="C90" s="71" t="s">
        <v>140</v>
      </c>
      <c r="D90" s="72" t="str">
        <f>$D$73</f>
        <v>LAGUNA HILLS HS</v>
      </c>
      <c r="E90" s="71">
        <v>60</v>
      </c>
      <c r="F90" s="71" t="str">
        <f>IF(G83="","L36",IF(G83&lt;I83,_xlfn.CONCAT("L36-",RIGHT(F83,LEN(F83) - FIND("-",F83))), _xlfn.CONCAT("L36-",RIGHT(H83,LEN(H83) - FIND("-",H83)))))</f>
        <v>L36-SANTA BARBARA WPC A</v>
      </c>
      <c r="G90" s="73">
        <v>18</v>
      </c>
      <c r="H90" s="71" t="str">
        <f>IF(G86="","W48",IF(G86&gt;I86,_xlfn.CONCAT("W48-",RIGHT(F86,LEN(F86) - FIND("-",F86))), _xlfn.CONCAT("W48-",RIGHT(H86,LEN(H86) - FIND("-",H86)))))</f>
        <v>W48-YPRO</v>
      </c>
      <c r="I90" s="71">
        <v>13</v>
      </c>
      <c r="J90" s="71" t="s">
        <v>193</v>
      </c>
      <c r="K90" s="71" t="s">
        <v>407</v>
      </c>
      <c r="L90" s="71" t="str">
        <f>IF(E90="","",$L$15&amp;"-"&amp;TEXT(E90,"000"))</f>
        <v>12B-060</v>
      </c>
    </row>
    <row r="91" spans="1:12" ht="14.1" customHeight="1" thickBot="1"/>
    <row r="92" spans="1:12" ht="14.1" customHeight="1" thickTop="1" thickBot="1">
      <c r="A92" s="68" t="s">
        <v>196</v>
      </c>
      <c r="B92" s="82"/>
      <c r="C92" s="82"/>
      <c r="D92" s="82"/>
      <c r="E92" s="82"/>
      <c r="F92" s="82"/>
      <c r="G92" s="83"/>
      <c r="H92" s="82"/>
      <c r="I92" s="82"/>
      <c r="J92" s="82"/>
      <c r="K92" s="82"/>
      <c r="L92" s="82"/>
    </row>
    <row r="93" spans="1:12" s="60" customFormat="1" ht="14.1" customHeight="1">
      <c r="A93" s="61">
        <v>46227</v>
      </c>
    </row>
    <row r="94" spans="1:12" ht="14.1" customHeight="1">
      <c r="B94" s="84" t="s">
        <v>197</v>
      </c>
      <c r="C94" s="60"/>
      <c r="D94" s="60"/>
      <c r="E94" s="60"/>
    </row>
    <row r="95" spans="1:12" ht="14.1" customHeight="1">
      <c r="A95" s="60"/>
      <c r="B95" s="85" t="s">
        <v>198</v>
      </c>
      <c r="C95" s="85" t="s">
        <v>199</v>
      </c>
      <c r="D95" s="85" t="s">
        <v>200</v>
      </c>
      <c r="E95" s="85" t="s">
        <v>201</v>
      </c>
    </row>
    <row r="96" spans="1:12" ht="14.1" customHeight="1">
      <c r="A96" s="60">
        <v>1</v>
      </c>
      <c r="B96" s="86" t="str">
        <f>IF(G26="","pt_M1(W33)",IF(G26&gt;I26,_xlfn.CONCAT("pt_M1(W33)-",RIGHT(F26,LEN(F26) - FIND("-",F26))), _xlfn.CONCAT("pt_M1(W33)-",RIGHT(H26,LEN(H26) - FIND("-",H26)))))</f>
        <v>pt_M1(W33)-SD DONS RED</v>
      </c>
      <c r="C96" s="87" t="str">
        <f>IF(G28="","pt_N1(W41)",IF(G28&gt;I28,_xlfn.CONCAT("pt_N1(W41)-",RIGHT(F28,LEN(F28) - FIND("-",F28))), _xlfn.CONCAT("pt_N1(W41)-",RIGHT(H28,LEN(H28) - FIND("-",H28)))))</f>
        <v>pt_N1(W41)-MISSION A</v>
      </c>
      <c r="D96" s="87" t="str">
        <f>IF(G24="","pt_O1(W25)",IF(G24&gt;I24,_xlfn.CONCAT("pt_O1(W25)-",RIGHT(F24,LEN(F24) - FIND("-",F24))), _xlfn.CONCAT("pt_O1(W25)-",RIGHT(H24,LEN(H24) - FIND("-",H24)))))</f>
        <v>pt_O1(W25)-VANGUARD</v>
      </c>
      <c r="E96" s="86" t="str">
        <f>IF(G43="","pt_P1(W26)",IF(G43&gt;I43,_xlfn.CONCAT("pt_P1(W26)-",RIGHT(F43,LEN(F43) - FIND("-",F43))), _xlfn.CONCAT("pt_P1(W26)-",RIGHT(H43,LEN(H43) - FIND("-",H43)))))</f>
        <v>pt_P1(W26)-GREENWICH BLUE</v>
      </c>
    </row>
    <row r="97" spans="1:5" ht="14.1" customHeight="1">
      <c r="A97" s="60">
        <v>2</v>
      </c>
      <c r="B97" s="87" t="str">
        <f>IF(G66="","pt_M2(W43)",IF(G66&gt;I66,_xlfn.CONCAT("pt_M2(W43)-",RIGHT(F66,LEN(F66) - FIND("-",F66))), _xlfn.CONCAT("pt_M2(W43)-",RIGHT(H66,LEN(H66) - FIND("-",H66)))))</f>
        <v>pt_M2(W43)-TSUNAMI</v>
      </c>
      <c r="C97" s="86" t="str">
        <f>IF(G64="","pt_N2(W35)",IF(G64&gt;I64,_xlfn.CONCAT("pt_N2(W35)-",RIGHT(F64,LEN(F64) - FIND("-",F64))), _xlfn.CONCAT("pt_N2(W35)-",RIGHT(H64,LEN(H64) - FIND("-",H64)))))</f>
        <v>pt_N2(W35)-NEWPORT BEACH BLUE</v>
      </c>
      <c r="D97" s="87" t="str">
        <f>IF(G47="","pt_O2(W42)",IF(G47&gt;I47,_xlfn.CONCAT("pt_O2(W42)-",RIGHT(F47,LEN(F47) - FIND("-",F47))), _xlfn.CONCAT("pt_O2(W42)-",RIGHT(H47,LEN(H47) - FIND("-",H47)))))</f>
        <v>pt_O2(W42)-SD DONS BLACK</v>
      </c>
      <c r="E97" s="87" t="str">
        <f>IF(G45="","pt_P2(W34)",IF(G45&gt;I45,_xlfn.CONCAT("pt_P2(W34)-",RIGHT(F45,LEN(F45) - FIND("-",F45))), _xlfn.CONCAT("pt_P2(W34)-",RIGHT(H45,LEN(H45) - FIND("-",H45)))))</f>
        <v>pt_P2(W34)-NORTH IRVINE BLACK</v>
      </c>
    </row>
    <row r="98" spans="1:5" ht="14.1" customHeight="1">
      <c r="A98" s="60">
        <v>3</v>
      </c>
      <c r="B98" s="87" t="str">
        <f>IF(G62="","pt_M3(W27)",IF(G62&gt;I62,_xlfn.CONCAT("pt_M3(W27)-",RIGHT(F62,LEN(F62) - FIND("-",F62))), _xlfn.CONCAT("pt_M3(W27)-",RIGHT(H62,LEN(H62) - FIND("-",H62)))))</f>
        <v>pt_M3(W27)-CDM BLUE</v>
      </c>
      <c r="C98" s="87" t="str">
        <f>IF(G81="","pt_N3(W28)",IF(G81&gt;I81,_xlfn.CONCAT("pt_N3(W28)-",RIGHT(F81,LEN(F81) - FIND("-",F81))), _xlfn.CONCAT("pt_N3(W28)-",RIGHT(H81,LEN(H81) - FIND("-",H81)))))</f>
        <v>pt_N3(W28)-STANFORD RED</v>
      </c>
      <c r="D98" s="87" t="str">
        <f>IF(G83="","pt_O3(W36)",IF(G83&gt;I83,_xlfn.CONCAT("pt_O3(W36)-",RIGHT(F83,LEN(F83) - FIND("-",F83))), _xlfn.CONCAT("pt_O3(W36)-",RIGHT(H83,LEN(H83) - FIND("-",H83)))))</f>
        <v>pt_O3(W36)-ROSE BOWL RED</v>
      </c>
      <c r="E98" s="87" t="str">
        <f>IF(G85="","pt_P3(W44)",IF(G85&gt;I85,_xlfn.CONCAT("pt_P3(W44)-",RIGHT(F85,LEN(F85) - FIND("-",F85))), _xlfn.CONCAT("pt_P3(W44)-",RIGHT(H85,LEN(H85) - FIND("-",H85)))))</f>
        <v>pt_P3(W44)-CC UNITED BLACK</v>
      </c>
    </row>
    <row r="100" spans="1:5" ht="14.1" customHeight="1">
      <c r="B100" s="85" t="s">
        <v>213</v>
      </c>
      <c r="C100" s="85" t="s">
        <v>214</v>
      </c>
      <c r="D100" s="85" t="s">
        <v>215</v>
      </c>
      <c r="E100" s="85" t="s">
        <v>216</v>
      </c>
    </row>
    <row r="101" spans="1:5" ht="14.1" customHeight="1">
      <c r="A101" s="60">
        <v>1</v>
      </c>
      <c r="B101" s="87" t="str">
        <f>IF(G89="","pt_R1(W56)",IF(G89&gt;I89,_xlfn.CONCAT("pt_R1(W56)-",RIGHT(F89,LEN(F89) - FIND("-",F89))), _xlfn.CONCAT("pt_R1(W56)-",RIGHT(H89,LEN(H89) - FIND("-",H89)))))</f>
        <v>pt_R1(W56)-LA PREMIER BLACK</v>
      </c>
      <c r="C101" s="87" t="str">
        <f>IF(G90="","pt_S1(W60)",IF(G90&gt;I90,_xlfn.CONCAT("pt_S1(W60)-",RIGHT(F90,LEN(F90) - FIND("-",F90))), _xlfn.CONCAT("pt_S1(W60)-",RIGHT(H90,LEN(H90) - FIND("-",H90)))))</f>
        <v>pt_S1(W60)-SANTA BARBARA WPC A</v>
      </c>
      <c r="D101" s="87" t="str">
        <f>IF(G69="","pt_T1(W51)",IF(G69&gt;I69,_xlfn.CONCAT("pt_T1(W51)-",RIGHT(F69,LEN(F69) - FIND("-",F69))), _xlfn.CONCAT("pt_T1(W51)-",RIGHT(H69,LEN(H69) - FIND("-",H69)))))</f>
        <v>pt_T1(W51)-LA JOLLA UNITED</v>
      </c>
      <c r="E101" s="86" t="str">
        <f>IF(G88="","pt_U1(W52)",IF(G88&gt;I88,_xlfn.CONCAT("pt_U1(W52)-",RIGHT(F88,LEN(F88) - FIND("-",F88))), _xlfn.CONCAT("pt_U1(W52)-",RIGHT(H88,LEN(H88) - FIND("-",H88)))))</f>
        <v>pt_U1(W52)-NSD STARS</v>
      </c>
    </row>
    <row r="102" spans="1:5" ht="14.1" customHeight="1">
      <c r="A102" s="60">
        <v>2</v>
      </c>
      <c r="B102" s="87" t="str">
        <f>IF(G52="","pt_R2(W58)",IF(G52&gt;I52,_xlfn.CONCAT("pt_R2(W58)-",RIGHT(F52,LEN(F52) - FIND("-",F52))), _xlfn.CONCAT("pt_R2(W58)-",RIGHT(H52,LEN(H52) - FIND("-",H52)))))</f>
        <v>pt_R2(W58)-908 YELLOW</v>
      </c>
      <c r="C102" s="87" t="str">
        <f>IF(G51="","pt_S2(W54)",IF(G51&gt;I51,_xlfn.CONCAT("pt_S2(W54)-",RIGHT(F51,LEN(F51) - FIND("-",F51))), _xlfn.CONCAT("pt_S2(W54)-",RIGHT(H51,LEN(H51) - FIND("-",H51)))))</f>
        <v>pt_S2(W54)-SAN CLEMENTE RED</v>
      </c>
      <c r="D102" s="86" t="str">
        <f>IF(G71="","pt_T2(W59)",IF(G71&gt;I71,_xlfn.CONCAT("pt_T2(W59)-",RIGHT(F71,LEN(F71) - FIND("-",F71))), _xlfn.CONCAT("pt_T2(W59)-",RIGHT(H71,LEN(H71) - FIND("-",H71)))))</f>
        <v>pt_T2(W59)-SOCAL</v>
      </c>
      <c r="E102" s="86" t="str">
        <f>IF(G70="","pt_U2(W55)",IF(G70&gt;I70,_xlfn.CONCAT("pt_U2(W55)-",RIGHT(F70,LEN(F70) - FIND("-",F70))), _xlfn.CONCAT("pt_U2(W55)-",RIGHT(H70,LEN(H70) - FIND("-",H70)))))</f>
        <v>pt_U2(W55)-LAMORINDA A</v>
      </c>
    </row>
    <row r="103" spans="1:5" ht="14.1" customHeight="1">
      <c r="A103" s="60">
        <v>3</v>
      </c>
      <c r="B103" s="87" t="str">
        <f>IF(G31="","pt_R3(W49)",IF(G31&gt;I31,_xlfn.CONCAT("pt_R3(W49)-",RIGHT(F31,LEN(F31) - FIND("-",F31))), _xlfn.CONCAT("pt_R3(W49)-",RIGHT(H31,LEN(H31) - FIND("-",H31)))))</f>
        <v>pt_R3(W49)-SAN JOSE EXPRESS</v>
      </c>
      <c r="C103" s="87" t="str">
        <f>IF(G50="","pt_S3(W50)",IF(G50&gt;I50,_xlfn.CONCAT("pt_S3(W50)-",RIGHT(F50,LEN(F50) - FIND("-",F50))), _xlfn.CONCAT("pt_S3(W50)-",RIGHT(H50,LEN(H50) - FIND("-",H50)))))</f>
        <v>pt_S3(W50)-SHAQ BLUE</v>
      </c>
      <c r="D103" s="87" t="str">
        <f>IF(G32="","pt_T3(W53)",IF(G32&gt;I32,_xlfn.CONCAT("pt_T3(W53)-",RIGHT(F32,LEN(F32) - FIND("-",F32))), _xlfn.CONCAT("pt_T3(W53)-",RIGHT(H32,LEN(H32) - FIND("-",H32)))))</f>
        <v>pt_T3(W53)-ORWP BLACK</v>
      </c>
      <c r="E103" s="87" t="str">
        <f>IF(G33="","pt_U3(W57)",IF(G33&gt;I33,_xlfn.CONCAT("pt_U3(W57)-",RIGHT(F33,LEN(F33) - FIND("-",F33))), _xlfn.CONCAT("pt_U3(W57)-",RIGHT(H33,LEN(H33) - FIND("-",H33)))))</f>
        <v>pt_U3(W57)-680 RED</v>
      </c>
    </row>
    <row r="105" spans="1:5" ht="14.1" customHeight="1">
      <c r="A105" s="60"/>
      <c r="B105" s="84" t="s">
        <v>408</v>
      </c>
      <c r="C105" s="60"/>
      <c r="D105" s="60"/>
      <c r="E105" s="60"/>
    </row>
    <row r="106" spans="1:5" ht="14.1" customHeight="1">
      <c r="A106" s="60"/>
      <c r="B106" s="153" t="s">
        <v>229</v>
      </c>
      <c r="C106" s="153" t="s">
        <v>230</v>
      </c>
      <c r="D106" s="153" t="s">
        <v>231</v>
      </c>
      <c r="E106" s="153" t="s">
        <v>409</v>
      </c>
    </row>
    <row r="107" spans="1:5" ht="14.1" customHeight="1">
      <c r="A107" s="60">
        <v>1</v>
      </c>
      <c r="B107" s="87" t="str">
        <f>IF(G32="","au_M1(L53)",IF(G32&lt;I32,_xlfn.CONCAT("au_M1(L53)-",RIGHT(F32,LEN(F32) - FIND("-",F32))), _xlfn.CONCAT("au_M1(L53)-",RIGHT(H32,LEN(H32) - FIND("-",H32)))))</f>
        <v>au_M1(L53)-COMMERCE</v>
      </c>
      <c r="C107" s="87" t="str">
        <f>IF(G33="","au_N1(L57)",IF(G33&lt;I33,_xlfn.CONCAT("au_N1(L57)-",RIGHT(F33,LEN(F33) - FIND("-",F33))), _xlfn.CONCAT("au_N1(L57)-",RIGHT(H33,LEN(H33) - FIND("-",H33)))))</f>
        <v>au_N1(L57)-PEGASUS BLUE</v>
      </c>
      <c r="D107" s="87" t="str">
        <f>IF(G31="","au_O1(L49)",IF(G31&lt;I31,_xlfn.CONCAT("au_O1(L49)-",RIGHT(F31,LEN(F31) - FIND("-",F31))), _xlfn.CONCAT("au_O1(L49)-",RIGHT(H31,LEN(H31) - FIND("-",H31)))))</f>
        <v>au_O1(L49)-SD SHORES</v>
      </c>
      <c r="E107" s="87" t="str">
        <f>IF(G50="","au_P1(L50)",IF(G50&lt;I50,_xlfn.CONCAT("au_P1(L50)-",RIGHT(F50,LEN(F50) - FIND("-",F50))), _xlfn.CONCAT("au_P1(L50)-",RIGHT(H50,LEN(H50) - FIND("-",H50)))))</f>
        <v>au_P1(L50)-SANTA CRUZ</v>
      </c>
    </row>
    <row r="108" spans="1:5" ht="14.1" customHeight="1">
      <c r="A108" s="60">
        <v>2</v>
      </c>
      <c r="B108" s="86" t="str">
        <f>IF(G71="","au_M2(L59)",IF(G71&lt;I71,_xlfn.CONCAT("au_M2(L59)-",RIGHT(F71,LEN(F71) - FIND("-",F71))), _xlfn.CONCAT("au_M2(L59)-",RIGHT(H71,LEN(H71) - FIND("-",H71)))))</f>
        <v>au_M2(L59)-LYONS AQUATICS</v>
      </c>
      <c r="C108" s="86" t="str">
        <f>IF(G70="","au_N2(L55)",IF(G70&lt;I70,_xlfn.CONCAT("au_N2(L55)-",RIGHT(F70,LEN(F70) - FIND("-",F70))), _xlfn.CONCAT("au_N2(L55)-",RIGHT(H70,LEN(H70) - FIND("-",H70)))))</f>
        <v>au_N2(L55)-DAVIS BLUE</v>
      </c>
      <c r="D108" s="87" t="str">
        <f>IF(G52="","au_O2(L58)",IF(G52&lt;I52,_xlfn.CONCAT("au_O2(L58)-",RIGHT(F52,LEN(F52) - FIND("-",F52))), _xlfn.CONCAT("au_O2(L58)-",RIGHT(H52,LEN(H52) - FIND("-",H52)))))</f>
        <v>au_O2(L58)-SMAC BLACK</v>
      </c>
      <c r="E108" s="87" t="str">
        <f>IF(G51="","au_P2(L54)",IF(G51&lt;I51,_xlfn.CONCAT("au_P2(L54)-",RIGHT(F51,LEN(F51) - FIND("-",F51))), _xlfn.CONCAT("au_P2(L54)-",RIGHT(H51,LEN(H51) - FIND("-",H51)))))</f>
        <v>au_P2(L54)-SOUTH COAST</v>
      </c>
    </row>
    <row r="109" spans="1:5" ht="14.1" customHeight="1">
      <c r="A109" s="60">
        <v>3</v>
      </c>
      <c r="B109" s="86" t="str">
        <f>IF(G69="","au_M3(L51)",IF(G69&lt;I69,_xlfn.CONCAT("au_M3(L51)-",RIGHT(F69,LEN(F69) - FIND("-",F69))), _xlfn.CONCAT("au_M3(L51)-",RIGHT(H69,LEN(H69) - FIND("-",H69)))))</f>
        <v>au_M3(L51)-680 BLUE</v>
      </c>
      <c r="C109" s="86" t="str">
        <f>IF(G88="","au_N3(L52)",IF(G88&lt;I88,_xlfn.CONCAT("au_N3(L52)-",RIGHT(F88,LEN(F88) - FIND("-",F88))), _xlfn.CONCAT("au_N3(L52)-",RIGHT(H88,LEN(H88) - FIND("-",H88)))))</f>
        <v>au_N3(L52)-TEMPLE CITY</v>
      </c>
      <c r="D109" s="87" t="str">
        <f>IF(G89="","au_O3(L56)",IF(G89&lt;I89,_xlfn.CONCAT("au_O3(L56)-",RIGHT(F89,LEN(F89) - FIND("-",F89))), _xlfn.CONCAT("au_O3(L56)-",RIGHT(H89,LEN(H89) - FIND("-",H89)))))</f>
        <v>au_O3(L56)-GREENWICH WHITE</v>
      </c>
      <c r="E109" s="87" t="str">
        <f>IF(G90="","au_P3(L60)",IF(G90&lt;I90,_xlfn.CONCAT("au_P3(L60)-",RIGHT(F90,LEN(F90) - FIND("-",F90))), _xlfn.CONCAT("au_P3(L60)-",RIGHT(H90,LEN(H90) - FIND("-",H90)))))</f>
        <v>au_P3(L60)-YPRO</v>
      </c>
    </row>
    <row r="110" spans="1:5" ht="14.1" customHeight="1">
      <c r="B110" s="60"/>
      <c r="C110" s="60"/>
      <c r="D110" s="60"/>
      <c r="E110" s="60"/>
    </row>
    <row r="111" spans="1:5" ht="14.1" customHeight="1">
      <c r="B111" s="153" t="s">
        <v>410</v>
      </c>
      <c r="C111" s="153" t="s">
        <v>411</v>
      </c>
      <c r="D111" s="153" t="s">
        <v>412</v>
      </c>
      <c r="E111" s="153" t="s">
        <v>413</v>
      </c>
    </row>
    <row r="112" spans="1:5" ht="14.1" customHeight="1">
      <c r="A112" s="60">
        <v>1</v>
      </c>
      <c r="B112" s="87" t="str">
        <f>IF(G86="","au_R1(L48)",IF(G86&lt;I86,_xlfn.CONCAT("au_R1(L48)-",RIGHT(F86,LEN(F86) - FIND("-",F86))), _xlfn.CONCAT("au_R1(L48)-",RIGHT(H86,LEN(H86) - FIND("-",H86)))))</f>
        <v>au_R1(L48)-CENTRAL COAST</v>
      </c>
      <c r="C112" s="87" t="str">
        <f>IF(G84="","au_S1(L40)",IF(G84&lt;I84,_xlfn.CONCAT("au_S1(L40)-",RIGHT(F84,LEN(F84) - FIND("-",F84))), _xlfn.CONCAT("au_S1(L40)-",RIGHT(H84,LEN(H84) - FIND("-",H84)))))</f>
        <v>au_S1(L40)-STANFORD BLACK</v>
      </c>
      <c r="D112" s="87" t="str">
        <f>IF(G82="","au_T1(L32)",IF(G82&lt;I82,_xlfn.CONCAT("au_T1(L32)-",RIGHT(F82,LEN(F82) - FIND("-",F82))), _xlfn.CONCAT("au_T1(L32)-",RIGHT(H82,LEN(H82) - FIND("-",H82)))))</f>
        <v>au_T1(L32)-CT PREMIER</v>
      </c>
      <c r="E112" s="86" t="str">
        <f>IF(G63="","au_U1(L31)",IF(G63&lt;I63,_xlfn.CONCAT("au_U1(L31)-",RIGHT(F63,LEN(F63) - FIND("-",F63))), _xlfn.CONCAT("au_U1(L31)-",RIGHT(H63,LEN(H63) - FIND("-",H63)))))</f>
        <v>au_U1(L31)-PRAETORIAN</v>
      </c>
    </row>
    <row r="113" spans="1:14" ht="14.1" customHeight="1">
      <c r="A113" s="60">
        <v>2</v>
      </c>
      <c r="B113" s="87" t="str">
        <f>IF(G46="","au_R2(L38)",IF(G46&lt;I46,_xlfn.CONCAT("au_R2(L38)-",RIGHT(F46,LEN(F46) - FIND("-",F46))), _xlfn.CONCAT("au_R2(L38)-",RIGHT(H46,LEN(H46) - FIND("-",H46)))))</f>
        <v>au_R2(L38)-TOPAZ TSUNAMI</v>
      </c>
      <c r="C113" s="87" t="str">
        <f>IF(G48="","au_S2(L46)",IF(G48&lt;I48,_xlfn.CONCAT("au_S2(L46)-",RIGHT(F48,LEN(F48) - FIND("-",F48))), _xlfn.CONCAT("au_S2(L46)-",RIGHT(H48,LEN(H48) - FIND("-",H48)))))</f>
        <v>au_S2(L46)-KERN PREMIER</v>
      </c>
      <c r="D113" s="86" t="str">
        <f>IF(G65="","au_T2(L39)",IF(G65&lt;I65,_xlfn.CONCAT("au_T2(L39)-",RIGHT(F65,LEN(F65) - FIND("-",F65))), _xlfn.CONCAT("au_T2(L39)-",RIGHT(H65,LEN(H65) - FIND("-",H65)))))</f>
        <v>au_T2(L39)-CAL REPUBLIC BLACK</v>
      </c>
      <c r="E113" s="86" t="str">
        <f>IF(G67="","au_U2(L47)",IF(G67&lt;I67,_xlfn.CONCAT("au_U2(L47)-",RIGHT(F67,LEN(F67) - FIND("-",F67))), _xlfn.CONCAT("au_U2(L47)-",RIGHT(H67,LEN(H67) - FIND("-",H67)))))</f>
        <v>au_U2(L47)-PAC</v>
      </c>
    </row>
    <row r="114" spans="1:14" ht="14.1" customHeight="1">
      <c r="A114" s="60">
        <v>3</v>
      </c>
      <c r="B114" s="86" t="str">
        <f>IF(G44="","au_R3(L30)",IF(G44&lt;I44,_xlfn.CONCAT("au_R3(L30)-",RIGHT(F44,LEN(F44) - FIND("-",F44))), _xlfn.CONCAT("au_R3(L30)-",RIGHT(H44,LEN(H44) - FIND("-",H44)))))</f>
        <v>au_R3(L30)-ASA</v>
      </c>
      <c r="C114" s="87" t="str">
        <f>IF(G25="","au_S3(L29)",IF(G25&lt;I25,_xlfn.CONCAT("au_S3(L29)-",RIGHT(F25,LEN(F25) - FIND("-",F25))), _xlfn.CONCAT("au_S3(L29)-",RIGHT(H25,LEN(H25) - FIND("-",H25)))))</f>
        <v>au_S3(L29)-CAPITAL</v>
      </c>
      <c r="D114" s="87" t="str">
        <f>IF(G29="","au_T3(L45)",IF(G29&lt;I29,_xlfn.CONCAT("au_T3(L45)-",RIGHT(F29,LEN(F29) - FIND("-",F29))), _xlfn.CONCAT("au_T3(L45)-",RIGHT(H29,LEN(H29) - FIND("-",H29)))))</f>
        <v>au_T3(L45)-CHICAGO PARK</v>
      </c>
      <c r="E114" s="86" t="str">
        <f>IF(G27="","au_U3(L37)",IF(G27&lt;I27,_xlfn.CONCAT("au_U3(L37)-",RIGHT(F27,LEN(F27) - FIND("-",F27))), _xlfn.CONCAT("au_U3(L37)-",RIGHT(H27,LEN(H27) - FIND("-",H27)))))</f>
        <v>au_U3(L37)-BARCELONA LIONS</v>
      </c>
    </row>
    <row r="115" spans="1:14" ht="14.1" customHeight="1" thickBot="1">
      <c r="B115" s="60"/>
      <c r="C115" s="60"/>
      <c r="D115" s="60"/>
      <c r="E115" s="60"/>
      <c r="F115" s="60"/>
      <c r="G115" s="64"/>
      <c r="H115" s="60"/>
      <c r="I115" s="60"/>
      <c r="J115" s="60"/>
      <c r="K115" s="60"/>
      <c r="L115" s="60"/>
    </row>
    <row r="116" spans="1:14" ht="14.1" customHeight="1" thickBot="1">
      <c r="B116" s="60"/>
      <c r="C116" s="60"/>
      <c r="D116" s="68" t="str">
        <f>'CHICLETS MASTER S2'!$L$27</f>
        <v>ALISO NIGUEL HS</v>
      </c>
      <c r="E116" s="60"/>
      <c r="F116" s="60"/>
      <c r="G116" s="64"/>
      <c r="H116" s="60"/>
      <c r="I116" s="60"/>
      <c r="J116" s="60"/>
      <c r="K116" s="60"/>
      <c r="L116" s="60"/>
    </row>
    <row r="117" spans="1:14" ht="14.1" customHeight="1">
      <c r="A117" s="337" t="s">
        <v>124</v>
      </c>
      <c r="B117" s="337" t="s">
        <v>125</v>
      </c>
      <c r="C117" s="337" t="s">
        <v>126</v>
      </c>
      <c r="D117" s="337" t="s">
        <v>127</v>
      </c>
      <c r="E117" s="337" t="s">
        <v>128</v>
      </c>
      <c r="F117" s="337" t="s">
        <v>129</v>
      </c>
      <c r="G117" s="337" t="s">
        <v>130</v>
      </c>
      <c r="H117" s="337" t="s">
        <v>131</v>
      </c>
      <c r="I117" s="337" t="s">
        <v>130</v>
      </c>
      <c r="J117" s="338" t="s">
        <v>132</v>
      </c>
      <c r="K117" s="338" t="s">
        <v>133</v>
      </c>
      <c r="L117" s="337" t="s">
        <v>134</v>
      </c>
    </row>
    <row r="118" spans="1:14" ht="14.1" customHeight="1">
      <c r="A118" s="89">
        <f t="shared" ref="A118:A129" si="12">$A$93</f>
        <v>46227</v>
      </c>
      <c r="B118" s="70">
        <f>'CHICLETS MASTER S2'!K28</f>
        <v>0.29166666666666669</v>
      </c>
      <c r="C118" s="71" t="s">
        <v>218</v>
      </c>
      <c r="D118" s="71" t="str">
        <f t="shared" ref="D118:D129" si="13">$D$116</f>
        <v>ALISO NIGUEL HS</v>
      </c>
      <c r="E118" s="71">
        <v>61</v>
      </c>
      <c r="F118" s="90" t="str">
        <f>B97</f>
        <v>pt_M2(W43)-TSUNAMI</v>
      </c>
      <c r="G118" s="90">
        <v>11</v>
      </c>
      <c r="H118" s="90" t="str">
        <f>B98</f>
        <v>pt_M3(W27)-CDM BLUE</v>
      </c>
      <c r="I118" s="90">
        <v>7</v>
      </c>
      <c r="J118" s="90"/>
      <c r="K118" s="90"/>
      <c r="L118" s="90" t="str">
        <f t="shared" ref="L118:L129" si="14">IF(E118="","",$L$15&amp;"-"&amp;TEXT(E118,"000"))</f>
        <v>12B-061</v>
      </c>
      <c r="N118" s="62" t="str">
        <f t="shared" ref="N118:N129" si="15">$K$255&amp;C118</f>
        <v>pt_Group</v>
      </c>
    </row>
    <row r="119" spans="1:14" ht="14.1" customHeight="1">
      <c r="A119" s="89">
        <f t="shared" si="12"/>
        <v>46227</v>
      </c>
      <c r="B119" s="70">
        <f>'CHICLETS MASTER S2'!K29</f>
        <v>0.3263888888888889</v>
      </c>
      <c r="C119" s="71" t="s">
        <v>218</v>
      </c>
      <c r="D119" s="71" t="str">
        <f t="shared" si="13"/>
        <v>ALISO NIGUEL HS</v>
      </c>
      <c r="E119" s="71">
        <v>65</v>
      </c>
      <c r="F119" s="90" t="str">
        <f>C97</f>
        <v>pt_N2(W35)-NEWPORT BEACH BLUE</v>
      </c>
      <c r="G119" s="90">
        <v>11.4</v>
      </c>
      <c r="H119" s="90" t="str">
        <f>C98</f>
        <v>pt_N3(W28)-STANFORD RED</v>
      </c>
      <c r="I119" s="90">
        <v>11.5</v>
      </c>
      <c r="J119" s="90"/>
      <c r="K119" s="90"/>
      <c r="L119" s="90" t="str">
        <f t="shared" si="14"/>
        <v>12B-065</v>
      </c>
      <c r="N119" s="62" t="str">
        <f t="shared" si="15"/>
        <v>pt_Group</v>
      </c>
    </row>
    <row r="120" spans="1:14" ht="14.1" customHeight="1">
      <c r="A120" s="89">
        <f t="shared" si="12"/>
        <v>46227</v>
      </c>
      <c r="B120" s="70">
        <f>'CHICLETS MASTER S2'!K30</f>
        <v>0.36111111111111099</v>
      </c>
      <c r="C120" s="71" t="s">
        <v>218</v>
      </c>
      <c r="D120" s="71" t="str">
        <f t="shared" si="13"/>
        <v>ALISO NIGUEL HS</v>
      </c>
      <c r="E120" s="71">
        <v>69</v>
      </c>
      <c r="F120" s="90" t="str">
        <f>C101</f>
        <v>pt_S1(W60)-SANTA BARBARA WPC A</v>
      </c>
      <c r="G120" s="90">
        <v>8</v>
      </c>
      <c r="H120" s="90" t="str">
        <f>C102</f>
        <v>pt_S2(W54)-SAN CLEMENTE RED</v>
      </c>
      <c r="I120" s="90">
        <v>10</v>
      </c>
      <c r="J120" s="90"/>
      <c r="K120" s="90"/>
      <c r="L120" s="90" t="str">
        <f t="shared" si="14"/>
        <v>12B-069</v>
      </c>
      <c r="N120" s="62" t="str">
        <f t="shared" si="15"/>
        <v>pt_Group</v>
      </c>
    </row>
    <row r="121" spans="1:14" ht="14.1" customHeight="1">
      <c r="A121" s="89">
        <f t="shared" si="12"/>
        <v>46227</v>
      </c>
      <c r="B121" s="70">
        <f>'CHICLETS MASTER S2'!K31</f>
        <v>0.39583333333333398</v>
      </c>
      <c r="C121" s="71" t="s">
        <v>218</v>
      </c>
      <c r="D121" s="71" t="str">
        <f t="shared" si="13"/>
        <v>ALISO NIGUEL HS</v>
      </c>
      <c r="E121" s="71">
        <v>73</v>
      </c>
      <c r="F121" s="90" t="str">
        <f>B101</f>
        <v>pt_R1(W56)-LA PREMIER BLACK</v>
      </c>
      <c r="G121" s="90">
        <v>10</v>
      </c>
      <c r="H121" s="90" t="str">
        <f>B102</f>
        <v>pt_R2(W58)-908 YELLOW</v>
      </c>
      <c r="I121" s="90">
        <v>9</v>
      </c>
      <c r="J121" s="90"/>
      <c r="K121" s="90"/>
      <c r="L121" s="90" t="str">
        <f t="shared" si="14"/>
        <v>12B-073</v>
      </c>
      <c r="N121" s="62" t="str">
        <f t="shared" si="15"/>
        <v>pt_Group</v>
      </c>
    </row>
    <row r="122" spans="1:14" ht="14.1" customHeight="1">
      <c r="A122" s="89">
        <f t="shared" si="12"/>
        <v>46227</v>
      </c>
      <c r="B122" s="70">
        <f>'CHICLETS MASTER S2'!K32</f>
        <v>0.43055555555555602</v>
      </c>
      <c r="C122" s="71" t="s">
        <v>218</v>
      </c>
      <c r="D122" s="71" t="str">
        <f t="shared" si="13"/>
        <v>ALISO NIGUEL HS</v>
      </c>
      <c r="E122" s="71">
        <v>77</v>
      </c>
      <c r="F122" s="90" t="str">
        <f>B96</f>
        <v>pt_M1(W33)-SD DONS RED</v>
      </c>
      <c r="G122" s="90">
        <v>12</v>
      </c>
      <c r="H122" s="90" t="str">
        <f>B98</f>
        <v>pt_M3(W27)-CDM BLUE</v>
      </c>
      <c r="I122" s="90">
        <v>6</v>
      </c>
      <c r="J122" s="90"/>
      <c r="K122" s="90"/>
      <c r="L122" s="90" t="str">
        <f t="shared" si="14"/>
        <v>12B-077</v>
      </c>
      <c r="N122" s="62" t="str">
        <f t="shared" si="15"/>
        <v>pt_Group</v>
      </c>
    </row>
    <row r="123" spans="1:14" ht="14.1" customHeight="1">
      <c r="A123" s="89">
        <f t="shared" si="12"/>
        <v>46227</v>
      </c>
      <c r="B123" s="70">
        <f>'CHICLETS MASTER S2'!K33</f>
        <v>0.46527777777777801</v>
      </c>
      <c r="C123" s="71" t="s">
        <v>218</v>
      </c>
      <c r="D123" s="71" t="str">
        <f t="shared" si="13"/>
        <v>ALISO NIGUEL HS</v>
      </c>
      <c r="E123" s="71">
        <v>81</v>
      </c>
      <c r="F123" s="90" t="str">
        <f>C96</f>
        <v>pt_N1(W41)-MISSION A</v>
      </c>
      <c r="G123" s="90">
        <v>9</v>
      </c>
      <c r="H123" s="90" t="str">
        <f>C98</f>
        <v>pt_N3(W28)-STANFORD RED</v>
      </c>
      <c r="I123" s="90">
        <v>10</v>
      </c>
      <c r="J123" s="90"/>
      <c r="K123" s="90"/>
      <c r="L123" s="90" t="str">
        <f t="shared" si="14"/>
        <v>12B-081</v>
      </c>
      <c r="N123" s="62" t="str">
        <f t="shared" si="15"/>
        <v>pt_Group</v>
      </c>
    </row>
    <row r="124" spans="1:14" ht="14.1" customHeight="1">
      <c r="A124" s="89">
        <f t="shared" si="12"/>
        <v>46227</v>
      </c>
      <c r="B124" s="70">
        <f>'CHICLETS MASTER S2'!K34</f>
        <v>0.5</v>
      </c>
      <c r="C124" s="71" t="s">
        <v>218</v>
      </c>
      <c r="D124" s="71" t="str">
        <f t="shared" si="13"/>
        <v>ALISO NIGUEL HS</v>
      </c>
      <c r="E124" s="71">
        <v>85</v>
      </c>
      <c r="F124" s="90" t="str">
        <f>C101</f>
        <v>pt_S1(W60)-SANTA BARBARA WPC A</v>
      </c>
      <c r="G124" s="90">
        <v>7.4</v>
      </c>
      <c r="H124" s="90" t="str">
        <f>C103</f>
        <v>pt_S3(W50)-SHAQ BLUE</v>
      </c>
      <c r="I124" s="90">
        <v>7.3</v>
      </c>
      <c r="J124" s="90"/>
      <c r="K124" s="90"/>
      <c r="L124" s="90" t="str">
        <f t="shared" si="14"/>
        <v>12B-085</v>
      </c>
      <c r="N124" s="62" t="str">
        <f t="shared" si="15"/>
        <v>pt_Group</v>
      </c>
    </row>
    <row r="125" spans="1:14" ht="14.1" customHeight="1">
      <c r="A125" s="89">
        <f t="shared" si="12"/>
        <v>46227</v>
      </c>
      <c r="B125" s="70">
        <f>'CHICLETS MASTER S2'!K35</f>
        <v>0.53472222222222199</v>
      </c>
      <c r="C125" s="71" t="s">
        <v>218</v>
      </c>
      <c r="D125" s="71" t="str">
        <f t="shared" si="13"/>
        <v>ALISO NIGUEL HS</v>
      </c>
      <c r="E125" s="71">
        <v>89</v>
      </c>
      <c r="F125" s="90" t="str">
        <f>B101</f>
        <v>pt_R1(W56)-LA PREMIER BLACK</v>
      </c>
      <c r="G125" s="90">
        <v>7</v>
      </c>
      <c r="H125" s="90" t="str">
        <f>B103</f>
        <v>pt_R3(W49)-SAN JOSE EXPRESS</v>
      </c>
      <c r="I125" s="90">
        <v>11</v>
      </c>
      <c r="J125" s="90"/>
      <c r="K125" s="90"/>
      <c r="L125" s="90" t="str">
        <f t="shared" si="14"/>
        <v>12B-089</v>
      </c>
      <c r="N125" s="62" t="str">
        <f t="shared" si="15"/>
        <v>pt_Group</v>
      </c>
    </row>
    <row r="126" spans="1:14" ht="14.1" customHeight="1">
      <c r="A126" s="89">
        <f t="shared" si="12"/>
        <v>46227</v>
      </c>
      <c r="B126" s="70">
        <f>'CHICLETS MASTER S2'!K36</f>
        <v>0.56944444444444497</v>
      </c>
      <c r="C126" s="71" t="s">
        <v>218</v>
      </c>
      <c r="D126" s="71" t="str">
        <f t="shared" si="13"/>
        <v>ALISO NIGUEL HS</v>
      </c>
      <c r="E126" s="71">
        <v>93</v>
      </c>
      <c r="F126" s="90" t="str">
        <f>B96</f>
        <v>pt_M1(W33)-SD DONS RED</v>
      </c>
      <c r="G126" s="90">
        <v>11</v>
      </c>
      <c r="H126" s="90" t="str">
        <f>B97</f>
        <v>pt_M2(W43)-TSUNAMI</v>
      </c>
      <c r="I126" s="90">
        <v>7</v>
      </c>
      <c r="J126" s="90"/>
      <c r="K126" s="90"/>
      <c r="L126" s="90" t="str">
        <f t="shared" si="14"/>
        <v>12B-093</v>
      </c>
      <c r="N126" s="62" t="str">
        <f t="shared" si="15"/>
        <v>pt_Group</v>
      </c>
    </row>
    <row r="127" spans="1:14" ht="14.1" customHeight="1">
      <c r="A127" s="89">
        <f t="shared" si="12"/>
        <v>46227</v>
      </c>
      <c r="B127" s="70">
        <f>'CHICLETS MASTER S2'!K37</f>
        <v>0.60416666666666696</v>
      </c>
      <c r="C127" s="71" t="s">
        <v>218</v>
      </c>
      <c r="D127" s="71" t="str">
        <f t="shared" si="13"/>
        <v>ALISO NIGUEL HS</v>
      </c>
      <c r="E127" s="71">
        <v>97</v>
      </c>
      <c r="F127" s="90" t="str">
        <f>C96</f>
        <v>pt_N1(W41)-MISSION A</v>
      </c>
      <c r="G127" s="90">
        <v>13</v>
      </c>
      <c r="H127" s="90" t="str">
        <f>C97</f>
        <v>pt_N2(W35)-NEWPORT BEACH BLUE</v>
      </c>
      <c r="I127" s="90">
        <v>5</v>
      </c>
      <c r="J127" s="90"/>
      <c r="K127" s="90"/>
      <c r="L127" s="90" t="str">
        <f t="shared" si="14"/>
        <v>12B-097</v>
      </c>
      <c r="N127" s="62" t="str">
        <f t="shared" si="15"/>
        <v>pt_Group</v>
      </c>
    </row>
    <row r="128" spans="1:14" ht="14.1" customHeight="1">
      <c r="A128" s="89">
        <f t="shared" si="12"/>
        <v>46227</v>
      </c>
      <c r="B128" s="70">
        <f>'CHICLETS MASTER S2'!K38</f>
        <v>0.63888888888888895</v>
      </c>
      <c r="C128" s="71" t="s">
        <v>218</v>
      </c>
      <c r="D128" s="71" t="str">
        <f t="shared" si="13"/>
        <v>ALISO NIGUEL HS</v>
      </c>
      <c r="E128" s="71">
        <v>101</v>
      </c>
      <c r="F128" s="90" t="str">
        <f>C102</f>
        <v>pt_S2(W54)-SAN CLEMENTE RED</v>
      </c>
      <c r="G128" s="90">
        <v>10</v>
      </c>
      <c r="H128" s="90" t="str">
        <f>C103</f>
        <v>pt_S3(W50)-SHAQ BLUE</v>
      </c>
      <c r="I128" s="90">
        <v>6</v>
      </c>
      <c r="J128" s="90"/>
      <c r="K128" s="90"/>
      <c r="L128" s="90" t="str">
        <f t="shared" si="14"/>
        <v>12B-101</v>
      </c>
      <c r="N128" s="62" t="str">
        <f t="shared" si="15"/>
        <v>pt_Group</v>
      </c>
    </row>
    <row r="129" spans="1:14" ht="14.1" customHeight="1">
      <c r="A129" s="89">
        <f t="shared" si="12"/>
        <v>46227</v>
      </c>
      <c r="B129" s="70">
        <f>'CHICLETS MASTER S2'!K39</f>
        <v>0.67361111111111105</v>
      </c>
      <c r="C129" s="71" t="s">
        <v>218</v>
      </c>
      <c r="D129" s="71" t="str">
        <f t="shared" si="13"/>
        <v>ALISO NIGUEL HS</v>
      </c>
      <c r="E129" s="71">
        <v>105</v>
      </c>
      <c r="F129" s="90" t="str">
        <f>B102</f>
        <v>pt_R2(W58)-908 YELLOW</v>
      </c>
      <c r="G129" s="90">
        <v>8</v>
      </c>
      <c r="H129" s="90" t="str">
        <f>B103</f>
        <v>pt_R3(W49)-SAN JOSE EXPRESS</v>
      </c>
      <c r="I129" s="90">
        <v>11</v>
      </c>
      <c r="J129" s="90"/>
      <c r="K129" s="90"/>
      <c r="L129" s="90" t="str">
        <f t="shared" si="14"/>
        <v>12B-105</v>
      </c>
      <c r="N129" s="62" t="str">
        <f t="shared" si="15"/>
        <v>pt_Group</v>
      </c>
    </row>
    <row r="130" spans="1:14" ht="14.1" customHeight="1">
      <c r="A130" s="75"/>
      <c r="B130" s="60" t="s">
        <v>139</v>
      </c>
      <c r="C130" s="60"/>
      <c r="D130" s="60"/>
      <c r="E130" s="60"/>
      <c r="F130" s="60"/>
      <c r="G130" s="64"/>
      <c r="H130" s="60"/>
      <c r="I130" s="60"/>
      <c r="J130" s="60"/>
      <c r="K130" s="60"/>
      <c r="L130" s="60"/>
    </row>
    <row r="131" spans="1:14" ht="14.1" customHeight="1">
      <c r="A131" s="75"/>
      <c r="B131" s="60" t="s">
        <v>139</v>
      </c>
      <c r="C131" s="60"/>
      <c r="D131" s="60"/>
      <c r="E131" s="60"/>
      <c r="F131" s="60"/>
      <c r="G131" s="64"/>
      <c r="H131" s="60"/>
      <c r="I131" s="60"/>
      <c r="J131" s="60"/>
      <c r="K131" s="60"/>
      <c r="L131" s="60"/>
    </row>
    <row r="132" spans="1:14" ht="14.1" customHeight="1">
      <c r="A132" s="89">
        <f>$A$93</f>
        <v>46227</v>
      </c>
      <c r="B132" s="70">
        <f>'CHICLETS MASTER S2'!K42</f>
        <v>0.77777777777777801</v>
      </c>
      <c r="C132" s="71" t="s">
        <v>219</v>
      </c>
      <c r="D132" s="71" t="str">
        <f>$D$116</f>
        <v>ALISO NIGUEL HS</v>
      </c>
      <c r="E132" s="71">
        <v>109</v>
      </c>
      <c r="F132" s="90" t="s">
        <v>414</v>
      </c>
      <c r="G132" s="90">
        <v>6</v>
      </c>
      <c r="H132" s="90" t="s">
        <v>415</v>
      </c>
      <c r="I132" s="90">
        <v>11</v>
      </c>
      <c r="J132" s="90">
        <v>129</v>
      </c>
      <c r="K132" s="90">
        <v>134</v>
      </c>
      <c r="L132" s="90" t="str">
        <f>IF(E132="","",$L$15&amp;"-"&amp;TEXT(E132,"000"))</f>
        <v>12B-109</v>
      </c>
      <c r="N132" s="62" t="str">
        <f>$K$255&amp;C132</f>
        <v>pt_Play-in</v>
      </c>
    </row>
    <row r="133" spans="1:14" ht="14.1" customHeight="1">
      <c r="A133" s="89">
        <f>$A$93</f>
        <v>46227</v>
      </c>
      <c r="B133" s="70">
        <f>'CHICLETS MASTER S2'!K43</f>
        <v>0.8125</v>
      </c>
      <c r="C133" s="71" t="s">
        <v>219</v>
      </c>
      <c r="D133" s="71" t="str">
        <f>$D$116</f>
        <v>ALISO NIGUEL HS</v>
      </c>
      <c r="E133" s="71">
        <v>113</v>
      </c>
      <c r="F133" s="90" t="s">
        <v>416</v>
      </c>
      <c r="G133" s="90">
        <v>9</v>
      </c>
      <c r="H133" s="90" t="s">
        <v>417</v>
      </c>
      <c r="I133" s="90">
        <v>7</v>
      </c>
      <c r="J133" s="90">
        <v>121</v>
      </c>
      <c r="K133" s="90">
        <v>126</v>
      </c>
      <c r="L133" s="90" t="str">
        <f>IF(E133="","",$L$15&amp;"-"&amp;TEXT(E133,"000"))</f>
        <v>12B-113</v>
      </c>
      <c r="N133" s="62" t="str">
        <f>$K$255&amp;C133</f>
        <v>pt_Play-in</v>
      </c>
    </row>
    <row r="134" spans="1:14" ht="14.1" customHeight="1" thickBot="1">
      <c r="A134" s="78"/>
      <c r="B134" s="79"/>
      <c r="C134" s="60"/>
      <c r="D134" s="60"/>
      <c r="E134" s="60"/>
      <c r="F134" s="60" t="s">
        <v>418</v>
      </c>
      <c r="G134" s="64" t="s">
        <v>418</v>
      </c>
      <c r="H134" s="60" t="s">
        <v>418</v>
      </c>
      <c r="I134" s="60"/>
      <c r="J134" s="60"/>
      <c r="K134" s="60"/>
      <c r="L134" s="60"/>
    </row>
    <row r="135" spans="1:14" ht="14.1" customHeight="1" thickBot="1">
      <c r="A135" s="78"/>
      <c r="B135" s="79"/>
      <c r="C135" s="60"/>
      <c r="D135" s="68" t="str">
        <f>'CHICLETS MASTER S2'!$U$27</f>
        <v>PORTOLA HS 2</v>
      </c>
      <c r="E135" s="60"/>
      <c r="F135" s="60"/>
      <c r="G135" s="64"/>
      <c r="H135" s="60"/>
      <c r="I135" s="60"/>
      <c r="J135" s="60"/>
      <c r="K135" s="60"/>
      <c r="L135" s="60"/>
    </row>
    <row r="136" spans="1:14" ht="14.1" customHeight="1">
      <c r="A136" s="337" t="s">
        <v>124</v>
      </c>
      <c r="B136" s="337" t="s">
        <v>125</v>
      </c>
      <c r="C136" s="337" t="s">
        <v>126</v>
      </c>
      <c r="D136" s="337" t="s">
        <v>127</v>
      </c>
      <c r="E136" s="337" t="s">
        <v>128</v>
      </c>
      <c r="F136" s="337" t="s">
        <v>129</v>
      </c>
      <c r="G136" s="337" t="s">
        <v>130</v>
      </c>
      <c r="H136" s="337" t="s">
        <v>131</v>
      </c>
      <c r="I136" s="337"/>
      <c r="J136" s="338" t="s">
        <v>132</v>
      </c>
      <c r="K136" s="338" t="s">
        <v>133</v>
      </c>
      <c r="L136" s="337" t="s">
        <v>134</v>
      </c>
    </row>
    <row r="137" spans="1:14" ht="14.1" customHeight="1">
      <c r="A137" s="89">
        <f t="shared" ref="A137:A148" si="16">$A$93</f>
        <v>46227</v>
      </c>
      <c r="B137" s="70">
        <f>'CHICLETS MASTER S2'!I28</f>
        <v>0.29166666666666669</v>
      </c>
      <c r="C137" s="71" t="s">
        <v>218</v>
      </c>
      <c r="D137" s="71" t="str">
        <f t="shared" ref="D137:D148" si="17">$D$135</f>
        <v>PORTOLA HS 2</v>
      </c>
      <c r="E137" s="71">
        <v>62</v>
      </c>
      <c r="F137" s="90" t="str">
        <f>D97</f>
        <v>pt_O2(W42)-SD DONS BLACK</v>
      </c>
      <c r="G137" s="90">
        <v>6</v>
      </c>
      <c r="H137" s="90" t="str">
        <f>D98</f>
        <v>pt_O3(W36)-ROSE BOWL RED</v>
      </c>
      <c r="I137" s="90">
        <v>5</v>
      </c>
      <c r="J137" s="90"/>
      <c r="K137" s="90"/>
      <c r="L137" s="90" t="str">
        <f t="shared" ref="L137:L148" si="18">IF(E137="","",$L$15&amp;"-"&amp;TEXT(E137,"000"))</f>
        <v>12B-062</v>
      </c>
      <c r="N137" s="62" t="str">
        <f t="shared" ref="N137:N148" si="19">$K$255&amp;C137</f>
        <v>pt_Group</v>
      </c>
    </row>
    <row r="138" spans="1:14" ht="14.1" customHeight="1">
      <c r="A138" s="89">
        <f t="shared" si="16"/>
        <v>46227</v>
      </c>
      <c r="B138" s="70">
        <f>'CHICLETS MASTER S2'!I29</f>
        <v>0.3263888888888889</v>
      </c>
      <c r="C138" s="71" t="s">
        <v>218</v>
      </c>
      <c r="D138" s="71" t="str">
        <f t="shared" si="17"/>
        <v>PORTOLA HS 2</v>
      </c>
      <c r="E138" s="71">
        <v>66</v>
      </c>
      <c r="F138" s="90" t="str">
        <f>E97</f>
        <v>pt_P2(W34)-NORTH IRVINE BLACK</v>
      </c>
      <c r="G138" s="90">
        <v>16</v>
      </c>
      <c r="H138" s="90" t="str">
        <f>E98</f>
        <v>pt_P3(W44)-CC UNITED BLACK</v>
      </c>
      <c r="I138" s="90">
        <v>15</v>
      </c>
      <c r="J138" s="90"/>
      <c r="K138" s="90"/>
      <c r="L138" s="90" t="str">
        <f t="shared" si="18"/>
        <v>12B-066</v>
      </c>
      <c r="N138" s="62" t="str">
        <f t="shared" si="19"/>
        <v>pt_Group</v>
      </c>
    </row>
    <row r="139" spans="1:14" ht="14.1" customHeight="1">
      <c r="A139" s="89">
        <f t="shared" si="16"/>
        <v>46227</v>
      </c>
      <c r="B139" s="70">
        <f>'CHICLETS MASTER S2'!I30</f>
        <v>0.36111111111111099</v>
      </c>
      <c r="C139" s="71" t="s">
        <v>218</v>
      </c>
      <c r="D139" s="71" t="str">
        <f t="shared" si="17"/>
        <v>PORTOLA HS 2</v>
      </c>
      <c r="E139" s="71">
        <v>70</v>
      </c>
      <c r="F139" s="90" t="str">
        <f>E101</f>
        <v>pt_U1(W52)-NSD STARS</v>
      </c>
      <c r="G139" s="90">
        <v>18</v>
      </c>
      <c r="H139" s="90" t="str">
        <f>E102</f>
        <v>pt_U2(W55)-LAMORINDA A</v>
      </c>
      <c r="I139" s="90">
        <v>10</v>
      </c>
      <c r="J139" s="90"/>
      <c r="K139" s="90"/>
      <c r="L139" s="90" t="str">
        <f t="shared" si="18"/>
        <v>12B-070</v>
      </c>
      <c r="N139" s="62" t="str">
        <f t="shared" si="19"/>
        <v>pt_Group</v>
      </c>
    </row>
    <row r="140" spans="1:14" ht="14.1" customHeight="1">
      <c r="A140" s="89">
        <f t="shared" si="16"/>
        <v>46227</v>
      </c>
      <c r="B140" s="70">
        <f>'CHICLETS MASTER S2'!I31</f>
        <v>0.39583333333333398</v>
      </c>
      <c r="C140" s="71" t="s">
        <v>218</v>
      </c>
      <c r="D140" s="71" t="str">
        <f t="shared" si="17"/>
        <v>PORTOLA HS 2</v>
      </c>
      <c r="E140" s="71">
        <v>74</v>
      </c>
      <c r="F140" s="90" t="str">
        <f>D101</f>
        <v>pt_T1(W51)-LA JOLLA UNITED</v>
      </c>
      <c r="G140" s="90">
        <v>11</v>
      </c>
      <c r="H140" s="90" t="str">
        <f>D102</f>
        <v>pt_T2(W59)-SOCAL</v>
      </c>
      <c r="I140" s="90">
        <v>5</v>
      </c>
      <c r="J140" s="90"/>
      <c r="K140" s="90"/>
      <c r="L140" s="90" t="str">
        <f t="shared" si="18"/>
        <v>12B-074</v>
      </c>
      <c r="N140" s="62" t="str">
        <f t="shared" si="19"/>
        <v>pt_Group</v>
      </c>
    </row>
    <row r="141" spans="1:14" ht="14.1" customHeight="1">
      <c r="A141" s="89">
        <f t="shared" si="16"/>
        <v>46227</v>
      </c>
      <c r="B141" s="70">
        <f>'CHICLETS MASTER S2'!I32</f>
        <v>0.43055555555555602</v>
      </c>
      <c r="C141" s="71" t="s">
        <v>218</v>
      </c>
      <c r="D141" s="71" t="str">
        <f t="shared" si="17"/>
        <v>PORTOLA HS 2</v>
      </c>
      <c r="E141" s="71">
        <v>78</v>
      </c>
      <c r="F141" s="90" t="str">
        <f>D96</f>
        <v>pt_O1(W25)-VANGUARD</v>
      </c>
      <c r="G141" s="90">
        <v>16</v>
      </c>
      <c r="H141" s="90" t="str">
        <f>D98</f>
        <v>pt_O3(W36)-ROSE BOWL RED</v>
      </c>
      <c r="I141" s="90">
        <v>5</v>
      </c>
      <c r="J141" s="90"/>
      <c r="K141" s="90"/>
      <c r="L141" s="90" t="str">
        <f t="shared" si="18"/>
        <v>12B-078</v>
      </c>
      <c r="N141" s="62" t="str">
        <f t="shared" si="19"/>
        <v>pt_Group</v>
      </c>
    </row>
    <row r="142" spans="1:14" ht="14.1" customHeight="1">
      <c r="A142" s="89">
        <f t="shared" si="16"/>
        <v>46227</v>
      </c>
      <c r="B142" s="70">
        <f>'CHICLETS MASTER S2'!I33</f>
        <v>0.46527777777777801</v>
      </c>
      <c r="C142" s="71" t="s">
        <v>218</v>
      </c>
      <c r="D142" s="71" t="str">
        <f t="shared" si="17"/>
        <v>PORTOLA HS 2</v>
      </c>
      <c r="E142" s="71">
        <v>82</v>
      </c>
      <c r="F142" s="90" t="str">
        <f>E96</f>
        <v>pt_P1(W26)-GREENWICH BLUE</v>
      </c>
      <c r="G142" s="90">
        <v>13</v>
      </c>
      <c r="H142" s="90" t="str">
        <f>E98</f>
        <v>pt_P3(W44)-CC UNITED BLACK</v>
      </c>
      <c r="I142" s="90">
        <v>8</v>
      </c>
      <c r="J142" s="90"/>
      <c r="K142" s="90"/>
      <c r="L142" s="90" t="str">
        <f t="shared" si="18"/>
        <v>12B-082</v>
      </c>
      <c r="N142" s="62" t="str">
        <f t="shared" si="19"/>
        <v>pt_Group</v>
      </c>
    </row>
    <row r="143" spans="1:14" ht="14.1" customHeight="1">
      <c r="A143" s="89">
        <f t="shared" si="16"/>
        <v>46227</v>
      </c>
      <c r="B143" s="70">
        <f>'CHICLETS MASTER S2'!I34</f>
        <v>0.5</v>
      </c>
      <c r="C143" s="71" t="s">
        <v>218</v>
      </c>
      <c r="D143" s="71" t="str">
        <f t="shared" si="17"/>
        <v>PORTOLA HS 2</v>
      </c>
      <c r="E143" s="71">
        <v>86</v>
      </c>
      <c r="F143" s="90" t="str">
        <f>E101</f>
        <v>pt_U1(W52)-NSD STARS</v>
      </c>
      <c r="G143" s="90">
        <v>2</v>
      </c>
      <c r="H143" s="90" t="str">
        <f>E103</f>
        <v>pt_U3(W57)-680 RED</v>
      </c>
      <c r="I143" s="90">
        <v>14</v>
      </c>
      <c r="J143" s="90"/>
      <c r="K143" s="90"/>
      <c r="L143" s="90" t="str">
        <f t="shared" si="18"/>
        <v>12B-086</v>
      </c>
      <c r="N143" s="62" t="str">
        <f t="shared" si="19"/>
        <v>pt_Group</v>
      </c>
    </row>
    <row r="144" spans="1:14" ht="14.1" customHeight="1">
      <c r="A144" s="89">
        <f t="shared" si="16"/>
        <v>46227</v>
      </c>
      <c r="B144" s="70">
        <f>'CHICLETS MASTER S2'!I35</f>
        <v>0.53472222222222199</v>
      </c>
      <c r="C144" s="71" t="s">
        <v>218</v>
      </c>
      <c r="D144" s="71" t="str">
        <f t="shared" si="17"/>
        <v>PORTOLA HS 2</v>
      </c>
      <c r="E144" s="71">
        <v>90</v>
      </c>
      <c r="F144" s="90" t="str">
        <f>D101</f>
        <v>pt_T1(W51)-LA JOLLA UNITED</v>
      </c>
      <c r="G144" s="90">
        <v>8</v>
      </c>
      <c r="H144" s="90" t="str">
        <f>D103</f>
        <v>pt_T3(W53)-ORWP BLACK</v>
      </c>
      <c r="I144" s="90">
        <v>9</v>
      </c>
      <c r="J144" s="90"/>
      <c r="K144" s="90"/>
      <c r="L144" s="90" t="str">
        <f t="shared" si="18"/>
        <v>12B-090</v>
      </c>
      <c r="N144" s="62" t="str">
        <f t="shared" si="19"/>
        <v>pt_Group</v>
      </c>
    </row>
    <row r="145" spans="1:14" ht="14.1" customHeight="1">
      <c r="A145" s="89">
        <f t="shared" si="16"/>
        <v>46227</v>
      </c>
      <c r="B145" s="70">
        <f>'CHICLETS MASTER S2'!I36</f>
        <v>0.56944444444444497</v>
      </c>
      <c r="C145" s="71" t="s">
        <v>218</v>
      </c>
      <c r="D145" s="71" t="str">
        <f t="shared" si="17"/>
        <v>PORTOLA HS 2</v>
      </c>
      <c r="E145" s="71">
        <v>94</v>
      </c>
      <c r="F145" s="90" t="str">
        <f>D96</f>
        <v>pt_O1(W25)-VANGUARD</v>
      </c>
      <c r="G145" s="90">
        <v>10</v>
      </c>
      <c r="H145" s="90" t="str">
        <f>D97</f>
        <v>pt_O2(W42)-SD DONS BLACK</v>
      </c>
      <c r="I145" s="90">
        <v>4</v>
      </c>
      <c r="J145" s="90"/>
      <c r="K145" s="90"/>
      <c r="L145" s="90" t="str">
        <f t="shared" si="18"/>
        <v>12B-094</v>
      </c>
      <c r="N145" s="62" t="str">
        <f t="shared" si="19"/>
        <v>pt_Group</v>
      </c>
    </row>
    <row r="146" spans="1:14" ht="14.1" customHeight="1">
      <c r="A146" s="89">
        <f t="shared" si="16"/>
        <v>46227</v>
      </c>
      <c r="B146" s="70">
        <f>'CHICLETS MASTER S2'!I37</f>
        <v>0.60416666666666696</v>
      </c>
      <c r="C146" s="71" t="s">
        <v>218</v>
      </c>
      <c r="D146" s="71" t="str">
        <f t="shared" si="17"/>
        <v>PORTOLA HS 2</v>
      </c>
      <c r="E146" s="71">
        <v>98</v>
      </c>
      <c r="F146" s="90" t="str">
        <f>E96</f>
        <v>pt_P1(W26)-GREENWICH BLUE</v>
      </c>
      <c r="G146" s="90">
        <v>12</v>
      </c>
      <c r="H146" s="90" t="str">
        <f>E97</f>
        <v>pt_P2(W34)-NORTH IRVINE BLACK</v>
      </c>
      <c r="I146" s="90">
        <v>5</v>
      </c>
      <c r="J146" s="90"/>
      <c r="K146" s="90"/>
      <c r="L146" s="90" t="str">
        <f t="shared" si="18"/>
        <v>12B-098</v>
      </c>
      <c r="N146" s="62" t="str">
        <f t="shared" si="19"/>
        <v>pt_Group</v>
      </c>
    </row>
    <row r="147" spans="1:14" ht="14.1" customHeight="1">
      <c r="A147" s="89">
        <f t="shared" si="16"/>
        <v>46227</v>
      </c>
      <c r="B147" s="70">
        <f>'CHICLETS MASTER S2'!I38</f>
        <v>0.63888888888888895</v>
      </c>
      <c r="C147" s="71" t="s">
        <v>218</v>
      </c>
      <c r="D147" s="71" t="str">
        <f t="shared" si="17"/>
        <v>PORTOLA HS 2</v>
      </c>
      <c r="E147" s="71">
        <v>102</v>
      </c>
      <c r="F147" s="90" t="str">
        <f>E102</f>
        <v>pt_U2(W55)-LAMORINDA A</v>
      </c>
      <c r="G147" s="90">
        <v>9</v>
      </c>
      <c r="H147" s="90" t="str">
        <f>E103</f>
        <v>pt_U3(W57)-680 RED</v>
      </c>
      <c r="I147" s="90">
        <v>11</v>
      </c>
      <c r="J147" s="90"/>
      <c r="K147" s="90"/>
      <c r="L147" s="90" t="str">
        <f t="shared" si="18"/>
        <v>12B-102</v>
      </c>
      <c r="N147" s="62" t="str">
        <f t="shared" si="19"/>
        <v>pt_Group</v>
      </c>
    </row>
    <row r="148" spans="1:14" ht="14.1" customHeight="1">
      <c r="A148" s="89">
        <f t="shared" si="16"/>
        <v>46227</v>
      </c>
      <c r="B148" s="70">
        <f>'CHICLETS MASTER S2'!I39</f>
        <v>0.67361111111111105</v>
      </c>
      <c r="C148" s="71" t="s">
        <v>218</v>
      </c>
      <c r="D148" s="71" t="str">
        <f t="shared" si="17"/>
        <v>PORTOLA HS 2</v>
      </c>
      <c r="E148" s="71">
        <v>106</v>
      </c>
      <c r="F148" s="90" t="str">
        <f>D102</f>
        <v>pt_T2(W59)-SOCAL</v>
      </c>
      <c r="G148" s="90">
        <v>10</v>
      </c>
      <c r="H148" s="90" t="str">
        <f>D103</f>
        <v>pt_T3(W53)-ORWP BLACK</v>
      </c>
      <c r="I148" s="90">
        <v>13</v>
      </c>
      <c r="J148" s="90"/>
      <c r="K148" s="90"/>
      <c r="L148" s="90" t="str">
        <f t="shared" si="18"/>
        <v>12B-106</v>
      </c>
      <c r="N148" s="62" t="str">
        <f t="shared" si="19"/>
        <v>pt_Group</v>
      </c>
    </row>
    <row r="149" spans="1:14" ht="14.1" customHeight="1">
      <c r="A149" s="75"/>
      <c r="B149" s="60" t="s">
        <v>139</v>
      </c>
      <c r="C149" s="60"/>
      <c r="D149" s="60"/>
      <c r="E149" s="60"/>
      <c r="F149" s="60"/>
      <c r="G149" s="64"/>
      <c r="H149" s="60"/>
      <c r="I149" s="60"/>
      <c r="J149" s="60"/>
      <c r="K149" s="60"/>
      <c r="L149" s="60"/>
    </row>
    <row r="150" spans="1:14" ht="14.1" customHeight="1">
      <c r="A150" s="75"/>
      <c r="B150" s="60" t="s">
        <v>139</v>
      </c>
      <c r="C150" s="60"/>
      <c r="D150" s="60"/>
      <c r="E150" s="60"/>
      <c r="F150" s="60"/>
      <c r="G150" s="64"/>
      <c r="H150" s="60"/>
      <c r="I150" s="60"/>
      <c r="J150" s="60"/>
      <c r="K150" s="60"/>
      <c r="L150" s="60"/>
    </row>
    <row r="151" spans="1:14" ht="14.1" customHeight="1">
      <c r="A151" s="89">
        <f>$A$93</f>
        <v>46227</v>
      </c>
      <c r="B151" s="70">
        <f>'CHICLETS MASTER S2'!I42</f>
        <v>0.77777777777777801</v>
      </c>
      <c r="C151" s="71" t="s">
        <v>219</v>
      </c>
      <c r="D151" s="71" t="str">
        <f>$D$135</f>
        <v>PORTOLA HS 2</v>
      </c>
      <c r="E151" s="71">
        <v>110</v>
      </c>
      <c r="F151" s="90" t="s">
        <v>419</v>
      </c>
      <c r="G151" s="90">
        <v>4</v>
      </c>
      <c r="H151" s="90" t="s">
        <v>420</v>
      </c>
      <c r="I151" s="90">
        <v>6</v>
      </c>
      <c r="J151" s="90">
        <v>117</v>
      </c>
      <c r="K151" s="90">
        <v>138</v>
      </c>
      <c r="L151" s="90" t="str">
        <f>IF(E151="","",$L$15&amp;"-"&amp;TEXT(E151,"000"))</f>
        <v>12B-110</v>
      </c>
      <c r="N151" s="62" t="str">
        <f>$K$255&amp;C151</f>
        <v>pt_Play-in</v>
      </c>
    </row>
    <row r="152" spans="1:14" ht="14.1" customHeight="1">
      <c r="A152" s="89">
        <f>$A$93</f>
        <v>46227</v>
      </c>
      <c r="B152" s="70">
        <f>'CHICLETS MASTER S2'!I43</f>
        <v>0.8125</v>
      </c>
      <c r="C152" s="71" t="s">
        <v>219</v>
      </c>
      <c r="D152" s="71" t="str">
        <f>$D$135</f>
        <v>PORTOLA HS 2</v>
      </c>
      <c r="E152" s="71">
        <v>114</v>
      </c>
      <c r="F152" s="90" t="s">
        <v>421</v>
      </c>
      <c r="G152" s="90">
        <v>16</v>
      </c>
      <c r="H152" s="90" t="s">
        <v>422</v>
      </c>
      <c r="I152" s="90">
        <v>8</v>
      </c>
      <c r="J152" s="90">
        <v>125</v>
      </c>
      <c r="K152" s="90">
        <v>130</v>
      </c>
      <c r="L152" s="90" t="str">
        <f>IF(E152="","",$L$15&amp;"-"&amp;TEXT(E152,"000"))</f>
        <v>12B-114</v>
      </c>
      <c r="N152" s="62" t="str">
        <f>$K$255&amp;C152</f>
        <v>pt_Play-in</v>
      </c>
    </row>
    <row r="153" spans="1:14" ht="14.1" customHeight="1" thickBot="1">
      <c r="A153" s="78"/>
      <c r="B153" s="60"/>
      <c r="C153" s="60"/>
      <c r="D153" s="60"/>
      <c r="E153" s="60"/>
      <c r="F153" s="60" t="s">
        <v>418</v>
      </c>
      <c r="G153" s="64" t="s">
        <v>418</v>
      </c>
      <c r="H153" s="60" t="s">
        <v>418</v>
      </c>
      <c r="I153" s="60"/>
      <c r="J153" s="60"/>
      <c r="K153" s="60"/>
      <c r="L153" s="60"/>
    </row>
    <row r="154" spans="1:14" ht="14.1" customHeight="1" thickBot="1">
      <c r="B154" s="60"/>
      <c r="C154" s="60"/>
      <c r="D154" s="68" t="str">
        <f>'CHICLETS MASTER S2'!$N$27</f>
        <v>MISSION VIEJO HS</v>
      </c>
      <c r="F154" s="60"/>
      <c r="G154" s="64"/>
      <c r="H154" s="60"/>
      <c r="I154" s="60"/>
      <c r="J154" s="60"/>
      <c r="K154" s="60"/>
      <c r="L154" s="60"/>
    </row>
    <row r="155" spans="1:14" ht="14.1" customHeight="1">
      <c r="A155" s="337" t="s">
        <v>124</v>
      </c>
      <c r="B155" s="337" t="s">
        <v>125</v>
      </c>
      <c r="C155" s="337" t="s">
        <v>126</v>
      </c>
      <c r="D155" s="337" t="s">
        <v>127</v>
      </c>
      <c r="E155" s="337" t="s">
        <v>128</v>
      </c>
      <c r="F155" s="337" t="s">
        <v>129</v>
      </c>
      <c r="G155" s="337" t="s">
        <v>130</v>
      </c>
      <c r="H155" s="337" t="s">
        <v>131</v>
      </c>
      <c r="I155" s="337" t="s">
        <v>130</v>
      </c>
      <c r="J155" s="338" t="s">
        <v>132</v>
      </c>
      <c r="K155" s="338" t="s">
        <v>133</v>
      </c>
      <c r="L155" s="337" t="s">
        <v>134</v>
      </c>
    </row>
    <row r="156" spans="1:14" ht="14.1" customHeight="1">
      <c r="A156" s="89">
        <f t="shared" ref="A156:A167" si="20">$A$93</f>
        <v>46227</v>
      </c>
      <c r="B156" s="70">
        <f>'CHICLETS MASTER S2'!K28</f>
        <v>0.29166666666666669</v>
      </c>
      <c r="C156" s="71" t="s">
        <v>218</v>
      </c>
      <c r="D156" s="71" t="str">
        <f t="shared" ref="D156:D167" si="21">$D$154</f>
        <v>MISSION VIEJO HS</v>
      </c>
      <c r="E156" s="71">
        <v>63</v>
      </c>
      <c r="F156" s="155" t="str">
        <f>C112</f>
        <v>au_S1(L40)-STANFORD BLACK</v>
      </c>
      <c r="G156" s="155">
        <v>8</v>
      </c>
      <c r="H156" s="155" t="str">
        <f>C113</f>
        <v>au_S2(L46)-KERN PREMIER</v>
      </c>
      <c r="I156" s="155">
        <v>5</v>
      </c>
      <c r="J156" s="155"/>
      <c r="K156" s="155"/>
      <c r="L156" s="155" t="str">
        <f t="shared" ref="L156:L167" si="22">IF(E156="","",$L$15&amp;"-"&amp;TEXT(E156,"000"))</f>
        <v>12B-063</v>
      </c>
      <c r="N156" s="62" t="str">
        <f t="shared" ref="N156:N167" si="23">$L$255&amp;C156</f>
        <v>au_Group</v>
      </c>
    </row>
    <row r="157" spans="1:14" ht="14.1" customHeight="1">
      <c r="A157" s="89">
        <f t="shared" si="20"/>
        <v>46227</v>
      </c>
      <c r="B157" s="70">
        <f>'CHICLETS MASTER S2'!K29</f>
        <v>0.3263888888888889</v>
      </c>
      <c r="C157" s="71" t="s">
        <v>218</v>
      </c>
      <c r="D157" s="71" t="str">
        <f t="shared" si="21"/>
        <v>MISSION VIEJO HS</v>
      </c>
      <c r="E157" s="71">
        <v>67</v>
      </c>
      <c r="F157" s="155" t="str">
        <f>B112</f>
        <v>au_R1(L48)-CENTRAL COAST</v>
      </c>
      <c r="G157" s="155">
        <v>15</v>
      </c>
      <c r="H157" s="155" t="str">
        <f>B113</f>
        <v>au_R2(L38)-TOPAZ TSUNAMI</v>
      </c>
      <c r="I157" s="156">
        <v>3</v>
      </c>
      <c r="J157" s="155"/>
      <c r="K157" s="155"/>
      <c r="L157" s="155" t="str">
        <f t="shared" si="22"/>
        <v>12B-067</v>
      </c>
      <c r="N157" s="62" t="str">
        <f t="shared" si="23"/>
        <v>au_Group</v>
      </c>
    </row>
    <row r="158" spans="1:14" ht="14.1" customHeight="1">
      <c r="A158" s="89">
        <f t="shared" si="20"/>
        <v>46227</v>
      </c>
      <c r="B158" s="70">
        <f>'CHICLETS MASTER S2'!K30</f>
        <v>0.36111111111111099</v>
      </c>
      <c r="C158" s="71" t="s">
        <v>218</v>
      </c>
      <c r="D158" s="71" t="str">
        <f t="shared" si="21"/>
        <v>MISSION VIEJO HS</v>
      </c>
      <c r="E158" s="71">
        <v>71</v>
      </c>
      <c r="F158" s="155" t="str">
        <f>B108</f>
        <v>au_M2(L59)-LYONS AQUATICS</v>
      </c>
      <c r="G158" s="155">
        <v>7</v>
      </c>
      <c r="H158" s="155" t="str">
        <f>B109</f>
        <v>au_M3(L51)-680 BLUE</v>
      </c>
      <c r="I158" s="155">
        <v>8</v>
      </c>
      <c r="J158" s="155"/>
      <c r="K158" s="155"/>
      <c r="L158" s="155" t="str">
        <f t="shared" si="22"/>
        <v>12B-071</v>
      </c>
      <c r="N158" s="62" t="str">
        <f t="shared" si="23"/>
        <v>au_Group</v>
      </c>
    </row>
    <row r="159" spans="1:14" ht="14.1" customHeight="1">
      <c r="A159" s="89">
        <f t="shared" si="20"/>
        <v>46227</v>
      </c>
      <c r="B159" s="70">
        <f>'CHICLETS MASTER S2'!K31</f>
        <v>0.39583333333333398</v>
      </c>
      <c r="C159" s="71" t="s">
        <v>218</v>
      </c>
      <c r="D159" s="71" t="str">
        <f t="shared" si="21"/>
        <v>MISSION VIEJO HS</v>
      </c>
      <c r="E159" s="71">
        <v>75</v>
      </c>
      <c r="F159" s="155" t="str">
        <f>C108</f>
        <v>au_N2(L55)-DAVIS BLUE</v>
      </c>
      <c r="G159" s="155">
        <v>7.5</v>
      </c>
      <c r="H159" s="155" t="str">
        <f>C109</f>
        <v>au_N3(L52)-TEMPLE CITY</v>
      </c>
      <c r="I159" s="155">
        <v>7.4</v>
      </c>
      <c r="J159" s="155"/>
      <c r="K159" s="155"/>
      <c r="L159" s="155" t="str">
        <f t="shared" si="22"/>
        <v>12B-075</v>
      </c>
      <c r="N159" s="62" t="str">
        <f t="shared" si="23"/>
        <v>au_Group</v>
      </c>
    </row>
    <row r="160" spans="1:14" ht="14.1" customHeight="1">
      <c r="A160" s="89">
        <f t="shared" si="20"/>
        <v>46227</v>
      </c>
      <c r="B160" s="70">
        <f>'CHICLETS MASTER S2'!K32</f>
        <v>0.43055555555555602</v>
      </c>
      <c r="C160" s="71" t="s">
        <v>218</v>
      </c>
      <c r="D160" s="71" t="str">
        <f t="shared" si="21"/>
        <v>MISSION VIEJO HS</v>
      </c>
      <c r="E160" s="71">
        <v>79</v>
      </c>
      <c r="F160" s="155" t="str">
        <f>C112</f>
        <v>au_S1(L40)-STANFORD BLACK</v>
      </c>
      <c r="G160" s="155">
        <v>23</v>
      </c>
      <c r="H160" s="155" t="str">
        <f>C114</f>
        <v>au_S3(L29)-CAPITAL</v>
      </c>
      <c r="I160" s="155">
        <v>3</v>
      </c>
      <c r="J160" s="155"/>
      <c r="K160" s="155"/>
      <c r="L160" s="155" t="str">
        <f t="shared" si="22"/>
        <v>12B-079</v>
      </c>
      <c r="N160" s="62" t="str">
        <f t="shared" si="23"/>
        <v>au_Group</v>
      </c>
    </row>
    <row r="161" spans="1:14" ht="14.1" customHeight="1">
      <c r="A161" s="89">
        <f t="shared" si="20"/>
        <v>46227</v>
      </c>
      <c r="B161" s="70">
        <f>'CHICLETS MASTER S2'!K33</f>
        <v>0.46527777777777801</v>
      </c>
      <c r="C161" s="71" t="s">
        <v>218</v>
      </c>
      <c r="D161" s="71" t="str">
        <f t="shared" si="21"/>
        <v>MISSION VIEJO HS</v>
      </c>
      <c r="E161" s="71">
        <v>83</v>
      </c>
      <c r="F161" s="155" t="str">
        <f>B112</f>
        <v>au_R1(L48)-CENTRAL COAST</v>
      </c>
      <c r="G161" s="155">
        <v>18</v>
      </c>
      <c r="H161" s="155" t="str">
        <f>B114</f>
        <v>au_R3(L30)-ASA</v>
      </c>
      <c r="I161" s="155">
        <v>1</v>
      </c>
      <c r="J161" s="155"/>
      <c r="K161" s="155"/>
      <c r="L161" s="155" t="str">
        <f t="shared" si="22"/>
        <v>12B-083</v>
      </c>
      <c r="N161" s="62" t="str">
        <f t="shared" si="23"/>
        <v>au_Group</v>
      </c>
    </row>
    <row r="162" spans="1:14" ht="14.1" customHeight="1">
      <c r="A162" s="89">
        <f t="shared" si="20"/>
        <v>46227</v>
      </c>
      <c r="B162" s="70">
        <f>'CHICLETS MASTER S2'!K34</f>
        <v>0.5</v>
      </c>
      <c r="C162" s="71" t="s">
        <v>218</v>
      </c>
      <c r="D162" s="71" t="str">
        <f t="shared" si="21"/>
        <v>MISSION VIEJO HS</v>
      </c>
      <c r="E162" s="71">
        <v>87</v>
      </c>
      <c r="F162" s="155" t="str">
        <f>B107</f>
        <v>au_M1(L53)-COMMERCE</v>
      </c>
      <c r="G162" s="155">
        <v>3</v>
      </c>
      <c r="H162" s="155" t="str">
        <f>B109</f>
        <v>au_M3(L51)-680 BLUE</v>
      </c>
      <c r="I162" s="155">
        <v>2</v>
      </c>
      <c r="J162" s="155"/>
      <c r="K162" s="155"/>
      <c r="L162" s="155" t="str">
        <f t="shared" si="22"/>
        <v>12B-087</v>
      </c>
      <c r="N162" s="62" t="str">
        <f t="shared" si="23"/>
        <v>au_Group</v>
      </c>
    </row>
    <row r="163" spans="1:14" ht="14.1" customHeight="1">
      <c r="A163" s="89">
        <f t="shared" si="20"/>
        <v>46227</v>
      </c>
      <c r="B163" s="70">
        <f>'CHICLETS MASTER S2'!K35</f>
        <v>0.53472222222222199</v>
      </c>
      <c r="C163" s="71" t="s">
        <v>218</v>
      </c>
      <c r="D163" s="71" t="str">
        <f t="shared" si="21"/>
        <v>MISSION VIEJO HS</v>
      </c>
      <c r="E163" s="71">
        <v>91</v>
      </c>
      <c r="F163" s="155" t="str">
        <f>C107</f>
        <v>au_N1(L57)-PEGASUS BLUE</v>
      </c>
      <c r="G163" s="155">
        <v>6</v>
      </c>
      <c r="H163" s="155" t="str">
        <f>C109</f>
        <v>au_N3(L52)-TEMPLE CITY</v>
      </c>
      <c r="I163" s="155">
        <v>7</v>
      </c>
      <c r="J163" s="155"/>
      <c r="K163" s="155"/>
      <c r="L163" s="155" t="str">
        <f t="shared" si="22"/>
        <v>12B-091</v>
      </c>
      <c r="N163" s="62" t="str">
        <f t="shared" si="23"/>
        <v>au_Group</v>
      </c>
    </row>
    <row r="164" spans="1:14" ht="14.1" customHeight="1">
      <c r="A164" s="89">
        <f t="shared" si="20"/>
        <v>46227</v>
      </c>
      <c r="B164" s="70">
        <f>'CHICLETS MASTER S2'!K36</f>
        <v>0.56944444444444497</v>
      </c>
      <c r="C164" s="71" t="s">
        <v>218</v>
      </c>
      <c r="D164" s="71" t="str">
        <f t="shared" si="21"/>
        <v>MISSION VIEJO HS</v>
      </c>
      <c r="E164" s="71">
        <v>95</v>
      </c>
      <c r="F164" s="155" t="str">
        <f>C113</f>
        <v>au_S2(L46)-KERN PREMIER</v>
      </c>
      <c r="G164" s="155">
        <v>19</v>
      </c>
      <c r="H164" s="155" t="str">
        <f>C114</f>
        <v>au_S3(L29)-CAPITAL</v>
      </c>
      <c r="I164" s="155">
        <v>12</v>
      </c>
      <c r="J164" s="155"/>
      <c r="K164" s="155"/>
      <c r="L164" s="155" t="str">
        <f t="shared" si="22"/>
        <v>12B-095</v>
      </c>
      <c r="N164" s="62" t="str">
        <f t="shared" si="23"/>
        <v>au_Group</v>
      </c>
    </row>
    <row r="165" spans="1:14" ht="14.1" customHeight="1">
      <c r="A165" s="89">
        <f t="shared" si="20"/>
        <v>46227</v>
      </c>
      <c r="B165" s="70">
        <f>'CHICLETS MASTER S2'!K37</f>
        <v>0.60416666666666696</v>
      </c>
      <c r="C165" s="71" t="s">
        <v>218</v>
      </c>
      <c r="D165" s="71" t="str">
        <f t="shared" si="21"/>
        <v>MISSION VIEJO HS</v>
      </c>
      <c r="E165" s="71">
        <v>99</v>
      </c>
      <c r="F165" s="155" t="str">
        <f>B113</f>
        <v>au_R2(L38)-TOPAZ TSUNAMI</v>
      </c>
      <c r="G165" s="155">
        <v>14</v>
      </c>
      <c r="H165" s="155" t="str">
        <f>B114</f>
        <v>au_R3(L30)-ASA</v>
      </c>
      <c r="I165" s="155">
        <v>7</v>
      </c>
      <c r="J165" s="155"/>
      <c r="K165" s="155"/>
      <c r="L165" s="155" t="str">
        <f t="shared" si="22"/>
        <v>12B-099</v>
      </c>
      <c r="N165" s="62" t="str">
        <f t="shared" si="23"/>
        <v>au_Group</v>
      </c>
    </row>
    <row r="166" spans="1:14" ht="14.1" customHeight="1">
      <c r="A166" s="89">
        <f t="shared" si="20"/>
        <v>46227</v>
      </c>
      <c r="B166" s="70">
        <f>'CHICLETS MASTER S2'!K38</f>
        <v>0.63888888888888895</v>
      </c>
      <c r="C166" s="71" t="s">
        <v>218</v>
      </c>
      <c r="D166" s="71" t="str">
        <f t="shared" si="21"/>
        <v>MISSION VIEJO HS</v>
      </c>
      <c r="E166" s="71">
        <v>103</v>
      </c>
      <c r="F166" s="155" t="str">
        <f>B107</f>
        <v>au_M1(L53)-COMMERCE</v>
      </c>
      <c r="G166" s="155">
        <v>8</v>
      </c>
      <c r="H166" s="155" t="str">
        <f>B108</f>
        <v>au_M2(L59)-LYONS AQUATICS</v>
      </c>
      <c r="I166" s="155">
        <v>6</v>
      </c>
      <c r="J166" s="155"/>
      <c r="K166" s="155"/>
      <c r="L166" s="155" t="str">
        <f t="shared" si="22"/>
        <v>12B-103</v>
      </c>
      <c r="N166" s="62" t="str">
        <f t="shared" si="23"/>
        <v>au_Group</v>
      </c>
    </row>
    <row r="167" spans="1:14" ht="14.1" customHeight="1">
      <c r="A167" s="89">
        <f t="shared" si="20"/>
        <v>46227</v>
      </c>
      <c r="B167" s="70">
        <f>'CHICLETS MASTER S2'!K39</f>
        <v>0.67361111111111105</v>
      </c>
      <c r="C167" s="71" t="s">
        <v>218</v>
      </c>
      <c r="D167" s="71" t="str">
        <f t="shared" si="21"/>
        <v>MISSION VIEJO HS</v>
      </c>
      <c r="E167" s="71">
        <v>107</v>
      </c>
      <c r="F167" s="155" t="str">
        <f>C107</f>
        <v>au_N1(L57)-PEGASUS BLUE</v>
      </c>
      <c r="G167" s="155">
        <v>8</v>
      </c>
      <c r="H167" s="155" t="str">
        <f>C108</f>
        <v>au_N2(L55)-DAVIS BLUE</v>
      </c>
      <c r="I167" s="155">
        <v>5</v>
      </c>
      <c r="J167" s="155"/>
      <c r="K167" s="155"/>
      <c r="L167" s="155" t="str">
        <f t="shared" si="22"/>
        <v>12B-107</v>
      </c>
      <c r="N167" s="62" t="str">
        <f t="shared" si="23"/>
        <v>au_Group</v>
      </c>
    </row>
    <row r="168" spans="1:14" ht="14.1" customHeight="1">
      <c r="A168" s="75"/>
      <c r="B168" s="60" t="s">
        <v>139</v>
      </c>
      <c r="C168" s="60"/>
      <c r="D168" s="60"/>
      <c r="E168" s="60"/>
      <c r="F168" s="60"/>
      <c r="G168" s="64"/>
      <c r="H168" s="60"/>
      <c r="I168" s="60"/>
      <c r="J168" s="60"/>
      <c r="K168" s="60"/>
      <c r="L168" s="60"/>
    </row>
    <row r="169" spans="1:14" ht="14.1" customHeight="1">
      <c r="A169" s="75"/>
      <c r="B169" s="60" t="s">
        <v>139</v>
      </c>
      <c r="C169" s="60"/>
      <c r="D169" s="60"/>
      <c r="E169" s="60"/>
      <c r="F169" s="60"/>
      <c r="G169" s="64"/>
      <c r="H169" s="60"/>
      <c r="I169" s="60"/>
      <c r="J169" s="60"/>
      <c r="K169" s="60"/>
      <c r="L169" s="60"/>
    </row>
    <row r="170" spans="1:14" ht="14.1" customHeight="1">
      <c r="A170" s="89">
        <f>$A$93</f>
        <v>46227</v>
      </c>
      <c r="B170" s="70">
        <f>'CHICLETS MASTER S2'!K42</f>
        <v>0.77777777777777801</v>
      </c>
      <c r="C170" s="71" t="s">
        <v>219</v>
      </c>
      <c r="D170" s="71" t="str">
        <f>$D$154</f>
        <v>MISSION VIEJO HS</v>
      </c>
      <c r="E170" s="71">
        <v>111</v>
      </c>
      <c r="F170" s="155" t="s">
        <v>423</v>
      </c>
      <c r="G170" s="155">
        <v>6</v>
      </c>
      <c r="H170" s="155" t="s">
        <v>424</v>
      </c>
      <c r="I170" s="155">
        <v>14</v>
      </c>
      <c r="J170" s="155">
        <v>131</v>
      </c>
      <c r="K170" s="155">
        <v>136</v>
      </c>
      <c r="L170" s="155" t="str">
        <f>IF(E170="","",$L$15&amp;"-"&amp;TEXT(E170,"000"))</f>
        <v>12B-111</v>
      </c>
      <c r="N170" s="62" t="str">
        <f>$L$255&amp;C170</f>
        <v>au_Play-in</v>
      </c>
    </row>
    <row r="171" spans="1:14" ht="14.1" customHeight="1">
      <c r="A171" s="89">
        <f>$A$93</f>
        <v>46227</v>
      </c>
      <c r="B171" s="70">
        <f>'CHICLETS MASTER S2'!K43</f>
        <v>0.8125</v>
      </c>
      <c r="C171" s="71" t="s">
        <v>219</v>
      </c>
      <c r="D171" s="71" t="str">
        <f>$D$154</f>
        <v>MISSION VIEJO HS</v>
      </c>
      <c r="E171" s="71">
        <v>115</v>
      </c>
      <c r="F171" s="155" t="s">
        <v>425</v>
      </c>
      <c r="G171" s="155">
        <v>12</v>
      </c>
      <c r="H171" s="155" t="s">
        <v>426</v>
      </c>
      <c r="I171" s="155">
        <v>3</v>
      </c>
      <c r="J171" s="155">
        <v>123</v>
      </c>
      <c r="K171" s="155">
        <v>128</v>
      </c>
      <c r="L171" s="155" t="str">
        <f>IF(E171="","",$L$15&amp;"-"&amp;TEXT(E171,"000"))</f>
        <v>12B-115</v>
      </c>
      <c r="N171" s="62" t="str">
        <f>$L$255&amp;C171</f>
        <v>au_Play-in</v>
      </c>
    </row>
    <row r="172" spans="1:14" ht="14.1" customHeight="1" thickBot="1">
      <c r="A172" s="78"/>
      <c r="B172" s="79"/>
      <c r="C172" s="60"/>
      <c r="D172" s="60"/>
      <c r="E172" s="60"/>
      <c r="F172" s="60" t="s">
        <v>418</v>
      </c>
      <c r="G172" s="64" t="s">
        <v>418</v>
      </c>
      <c r="H172" s="60" t="s">
        <v>418</v>
      </c>
      <c r="I172" s="60"/>
      <c r="J172" s="60"/>
      <c r="K172" s="60"/>
      <c r="L172" s="60"/>
    </row>
    <row r="173" spans="1:14" ht="14.1" customHeight="1" thickBot="1">
      <c r="A173" s="60"/>
      <c r="B173" s="60"/>
      <c r="C173" s="60"/>
      <c r="D173" s="328" t="str">
        <f>'CHICLETS MASTER S2'!$O$27</f>
        <v>LAGUNA HILLS HS</v>
      </c>
      <c r="F173" s="60"/>
      <c r="G173" s="64"/>
      <c r="H173" s="60"/>
      <c r="I173" s="60"/>
    </row>
    <row r="174" spans="1:14" ht="14.1" customHeight="1">
      <c r="A174" s="337" t="s">
        <v>124</v>
      </c>
      <c r="B174" s="337" t="s">
        <v>125</v>
      </c>
      <c r="C174" s="337" t="s">
        <v>126</v>
      </c>
      <c r="D174" s="337" t="s">
        <v>127</v>
      </c>
      <c r="E174" s="337" t="s">
        <v>128</v>
      </c>
      <c r="F174" s="337" t="s">
        <v>129</v>
      </c>
      <c r="G174" s="337" t="s">
        <v>130</v>
      </c>
      <c r="H174" s="337" t="s">
        <v>131</v>
      </c>
      <c r="I174" s="337" t="s">
        <v>130</v>
      </c>
      <c r="J174" s="338" t="s">
        <v>132</v>
      </c>
      <c r="K174" s="338" t="s">
        <v>133</v>
      </c>
      <c r="L174" s="337" t="s">
        <v>134</v>
      </c>
    </row>
    <row r="175" spans="1:14" ht="14.1" customHeight="1">
      <c r="A175" s="89">
        <f t="shared" ref="A175:A186" si="24">$A$93</f>
        <v>46227</v>
      </c>
      <c r="B175" s="70">
        <f>'CHICLETS MASTER S2'!K28</f>
        <v>0.29166666666666669</v>
      </c>
      <c r="C175" s="71" t="s">
        <v>218</v>
      </c>
      <c r="D175" s="71" t="str">
        <f t="shared" ref="D175:D186" si="25">$D$173</f>
        <v>LAGUNA HILLS HS</v>
      </c>
      <c r="E175" s="71">
        <v>64</v>
      </c>
      <c r="F175" s="155" t="str">
        <f>E112</f>
        <v>au_U1(L31)-PRAETORIAN</v>
      </c>
      <c r="G175" s="155">
        <v>8</v>
      </c>
      <c r="H175" s="155" t="str">
        <f>E113</f>
        <v>au_U2(L47)-PAC</v>
      </c>
      <c r="I175" s="155">
        <v>14</v>
      </c>
      <c r="J175" s="155"/>
      <c r="K175" s="155"/>
      <c r="L175" s="155" t="str">
        <f t="shared" ref="L175:L186" si="26">IF(E175="","",$L$15&amp;"-"&amp;TEXT(E175,"000"))</f>
        <v>12B-064</v>
      </c>
      <c r="N175" s="62" t="str">
        <f t="shared" ref="N175:N186" si="27">$L$255&amp;C175</f>
        <v>au_Group</v>
      </c>
    </row>
    <row r="176" spans="1:14" ht="14.1" customHeight="1">
      <c r="A176" s="89">
        <f t="shared" si="24"/>
        <v>46227</v>
      </c>
      <c r="B176" s="70">
        <f>'CHICLETS MASTER S2'!K29</f>
        <v>0.3263888888888889</v>
      </c>
      <c r="C176" s="71" t="s">
        <v>218</v>
      </c>
      <c r="D176" s="71" t="str">
        <f t="shared" si="25"/>
        <v>LAGUNA HILLS HS</v>
      </c>
      <c r="E176" s="71">
        <v>68</v>
      </c>
      <c r="F176" s="155" t="str">
        <f>D112</f>
        <v>au_T1(L32)-CT PREMIER</v>
      </c>
      <c r="G176" s="155">
        <v>6</v>
      </c>
      <c r="H176" s="155" t="str">
        <f>D113</f>
        <v>au_T2(L39)-CAL REPUBLIC BLACK</v>
      </c>
      <c r="I176" s="155">
        <v>9</v>
      </c>
      <c r="J176" s="155"/>
      <c r="K176" s="155"/>
      <c r="L176" s="155" t="str">
        <f t="shared" si="26"/>
        <v>12B-068</v>
      </c>
      <c r="N176" s="62" t="str">
        <f t="shared" si="27"/>
        <v>au_Group</v>
      </c>
    </row>
    <row r="177" spans="1:14" ht="14.1" customHeight="1">
      <c r="A177" s="89">
        <f t="shared" si="24"/>
        <v>46227</v>
      </c>
      <c r="B177" s="70">
        <f>'CHICLETS MASTER S2'!K30</f>
        <v>0.36111111111111099</v>
      </c>
      <c r="C177" s="71" t="s">
        <v>218</v>
      </c>
      <c r="D177" s="71" t="str">
        <f t="shared" si="25"/>
        <v>LAGUNA HILLS HS</v>
      </c>
      <c r="E177" s="71">
        <v>72</v>
      </c>
      <c r="F177" s="155" t="str">
        <f>D108</f>
        <v>au_O2(L58)-SMAC BLACK</v>
      </c>
      <c r="G177" s="155">
        <v>12</v>
      </c>
      <c r="H177" s="155" t="str">
        <f>D109</f>
        <v>au_O3(L56)-GREENWICH WHITE</v>
      </c>
      <c r="I177" s="155">
        <v>10</v>
      </c>
      <c r="J177" s="155"/>
      <c r="K177" s="155"/>
      <c r="L177" s="155" t="str">
        <f t="shared" si="26"/>
        <v>12B-072</v>
      </c>
      <c r="N177" s="62" t="str">
        <f t="shared" si="27"/>
        <v>au_Group</v>
      </c>
    </row>
    <row r="178" spans="1:14" ht="14.1" customHeight="1">
      <c r="A178" s="89">
        <f t="shared" si="24"/>
        <v>46227</v>
      </c>
      <c r="B178" s="70">
        <f>'CHICLETS MASTER S2'!K31</f>
        <v>0.39583333333333398</v>
      </c>
      <c r="C178" s="71" t="s">
        <v>218</v>
      </c>
      <c r="D178" s="71" t="str">
        <f t="shared" si="25"/>
        <v>LAGUNA HILLS HS</v>
      </c>
      <c r="E178" s="71">
        <v>76</v>
      </c>
      <c r="F178" s="155" t="str">
        <f>E108</f>
        <v>au_P2(L54)-SOUTH COAST</v>
      </c>
      <c r="G178" s="155">
        <v>8</v>
      </c>
      <c r="H178" s="155" t="str">
        <f>E109</f>
        <v>au_P3(L60)-YPRO</v>
      </c>
      <c r="I178" s="155">
        <v>12</v>
      </c>
      <c r="J178" s="155"/>
      <c r="K178" s="155"/>
      <c r="L178" s="155" t="str">
        <f t="shared" si="26"/>
        <v>12B-076</v>
      </c>
      <c r="N178" s="62" t="str">
        <f t="shared" si="27"/>
        <v>au_Group</v>
      </c>
    </row>
    <row r="179" spans="1:14" ht="14.1" customHeight="1">
      <c r="A179" s="89">
        <f t="shared" si="24"/>
        <v>46227</v>
      </c>
      <c r="B179" s="70">
        <f>'CHICLETS MASTER S2'!K32</f>
        <v>0.43055555555555602</v>
      </c>
      <c r="C179" s="71" t="s">
        <v>218</v>
      </c>
      <c r="D179" s="71" t="str">
        <f t="shared" si="25"/>
        <v>LAGUNA HILLS HS</v>
      </c>
      <c r="E179" s="71">
        <v>80</v>
      </c>
      <c r="F179" s="155" t="str">
        <f>E112</f>
        <v>au_U1(L31)-PRAETORIAN</v>
      </c>
      <c r="G179" s="155">
        <v>9</v>
      </c>
      <c r="H179" s="155" t="str">
        <f>E114</f>
        <v>au_U3(L37)-BARCELONA LIONS</v>
      </c>
      <c r="I179" s="155">
        <v>10</v>
      </c>
      <c r="J179" s="155"/>
      <c r="K179" s="155"/>
      <c r="L179" s="155" t="str">
        <f t="shared" si="26"/>
        <v>12B-080</v>
      </c>
      <c r="N179" s="62" t="str">
        <f t="shared" si="27"/>
        <v>au_Group</v>
      </c>
    </row>
    <row r="180" spans="1:14" ht="14.1" customHeight="1">
      <c r="A180" s="89">
        <f t="shared" si="24"/>
        <v>46227</v>
      </c>
      <c r="B180" s="70">
        <f>'CHICLETS MASTER S2'!K33</f>
        <v>0.46527777777777801</v>
      </c>
      <c r="C180" s="71" t="s">
        <v>218</v>
      </c>
      <c r="D180" s="71" t="str">
        <f t="shared" si="25"/>
        <v>LAGUNA HILLS HS</v>
      </c>
      <c r="E180" s="71">
        <v>84</v>
      </c>
      <c r="F180" s="155" t="str">
        <f>D112</f>
        <v>au_T1(L32)-CT PREMIER</v>
      </c>
      <c r="G180" s="155">
        <v>8</v>
      </c>
      <c r="H180" s="155" t="str">
        <f>D114</f>
        <v>au_T3(L45)-CHICAGO PARK</v>
      </c>
      <c r="I180" s="155">
        <v>20</v>
      </c>
      <c r="J180" s="155"/>
      <c r="K180" s="155"/>
      <c r="L180" s="155" t="str">
        <f t="shared" si="26"/>
        <v>12B-084</v>
      </c>
      <c r="N180" s="62" t="str">
        <f t="shared" si="27"/>
        <v>au_Group</v>
      </c>
    </row>
    <row r="181" spans="1:14" ht="14.1" customHeight="1">
      <c r="A181" s="89">
        <f t="shared" si="24"/>
        <v>46227</v>
      </c>
      <c r="B181" s="70">
        <f>'CHICLETS MASTER S2'!K34</f>
        <v>0.5</v>
      </c>
      <c r="C181" s="71" t="s">
        <v>218</v>
      </c>
      <c r="D181" s="71" t="str">
        <f t="shared" si="25"/>
        <v>LAGUNA HILLS HS</v>
      </c>
      <c r="E181" s="71">
        <v>88</v>
      </c>
      <c r="F181" s="155" t="str">
        <f>D107</f>
        <v>au_O1(L49)-SD SHORES</v>
      </c>
      <c r="G181" s="155">
        <v>17</v>
      </c>
      <c r="H181" s="155" t="str">
        <f>D109</f>
        <v>au_O3(L56)-GREENWICH WHITE</v>
      </c>
      <c r="I181" s="155">
        <v>11</v>
      </c>
      <c r="J181" s="155"/>
      <c r="K181" s="155"/>
      <c r="L181" s="155" t="str">
        <f t="shared" si="26"/>
        <v>12B-088</v>
      </c>
      <c r="N181" s="62" t="str">
        <f t="shared" si="27"/>
        <v>au_Group</v>
      </c>
    </row>
    <row r="182" spans="1:14" ht="14.1" customHeight="1">
      <c r="A182" s="89">
        <f t="shared" si="24"/>
        <v>46227</v>
      </c>
      <c r="B182" s="70">
        <f>'CHICLETS MASTER S2'!K35</f>
        <v>0.53472222222222199</v>
      </c>
      <c r="C182" s="71" t="s">
        <v>218</v>
      </c>
      <c r="D182" s="71" t="str">
        <f t="shared" si="25"/>
        <v>LAGUNA HILLS HS</v>
      </c>
      <c r="E182" s="71">
        <v>92</v>
      </c>
      <c r="F182" s="155" t="str">
        <f>E107</f>
        <v>au_P1(L50)-SANTA CRUZ</v>
      </c>
      <c r="G182" s="155">
        <v>11</v>
      </c>
      <c r="H182" s="155" t="str">
        <f>E109</f>
        <v>au_P3(L60)-YPRO</v>
      </c>
      <c r="I182" s="155">
        <v>10</v>
      </c>
      <c r="J182" s="155"/>
      <c r="K182" s="155"/>
      <c r="L182" s="155" t="str">
        <f t="shared" si="26"/>
        <v>12B-092</v>
      </c>
      <c r="N182" s="62" t="str">
        <f t="shared" si="27"/>
        <v>au_Group</v>
      </c>
    </row>
    <row r="183" spans="1:14" ht="14.1" customHeight="1">
      <c r="A183" s="89">
        <f t="shared" si="24"/>
        <v>46227</v>
      </c>
      <c r="B183" s="70">
        <f>'CHICLETS MASTER S2'!K36</f>
        <v>0.56944444444444497</v>
      </c>
      <c r="C183" s="71" t="s">
        <v>218</v>
      </c>
      <c r="D183" s="71" t="str">
        <f t="shared" si="25"/>
        <v>LAGUNA HILLS HS</v>
      </c>
      <c r="E183" s="71">
        <v>96</v>
      </c>
      <c r="F183" s="155" t="str">
        <f>E113</f>
        <v>au_U2(L47)-PAC</v>
      </c>
      <c r="G183" s="155">
        <v>20</v>
      </c>
      <c r="H183" s="155" t="str">
        <f>E114</f>
        <v>au_U3(L37)-BARCELONA LIONS</v>
      </c>
      <c r="I183" s="155">
        <v>6</v>
      </c>
      <c r="J183" s="155"/>
      <c r="K183" s="155"/>
      <c r="L183" s="155" t="str">
        <f t="shared" si="26"/>
        <v>12B-096</v>
      </c>
      <c r="N183" s="62" t="str">
        <f t="shared" si="27"/>
        <v>au_Group</v>
      </c>
    </row>
    <row r="184" spans="1:14" ht="14.1" customHeight="1">
      <c r="A184" s="89">
        <f t="shared" si="24"/>
        <v>46227</v>
      </c>
      <c r="B184" s="70">
        <f>'CHICLETS MASTER S2'!K37</f>
        <v>0.60416666666666696</v>
      </c>
      <c r="C184" s="71" t="s">
        <v>218</v>
      </c>
      <c r="D184" s="71" t="str">
        <f t="shared" si="25"/>
        <v>LAGUNA HILLS HS</v>
      </c>
      <c r="E184" s="71">
        <v>100</v>
      </c>
      <c r="F184" s="155" t="str">
        <f>D113</f>
        <v>au_T2(L39)-CAL REPUBLIC BLACK</v>
      </c>
      <c r="G184" s="155">
        <v>5</v>
      </c>
      <c r="H184" s="155" t="str">
        <f>D114</f>
        <v>au_T3(L45)-CHICAGO PARK</v>
      </c>
      <c r="I184" s="155">
        <v>13</v>
      </c>
      <c r="J184" s="155"/>
      <c r="K184" s="155"/>
      <c r="L184" s="155" t="str">
        <f t="shared" si="26"/>
        <v>12B-100</v>
      </c>
      <c r="N184" s="62" t="str">
        <f t="shared" si="27"/>
        <v>au_Group</v>
      </c>
    </row>
    <row r="185" spans="1:14" ht="14.1" customHeight="1">
      <c r="A185" s="89">
        <f t="shared" si="24"/>
        <v>46227</v>
      </c>
      <c r="B185" s="70">
        <f>'CHICLETS MASTER S2'!K38</f>
        <v>0.63888888888888895</v>
      </c>
      <c r="C185" s="71" t="s">
        <v>218</v>
      </c>
      <c r="D185" s="71" t="str">
        <f t="shared" si="25"/>
        <v>LAGUNA HILLS HS</v>
      </c>
      <c r="E185" s="71">
        <v>104</v>
      </c>
      <c r="F185" s="155" t="str">
        <f>D107</f>
        <v>au_O1(L49)-SD SHORES</v>
      </c>
      <c r="G185" s="155">
        <v>14</v>
      </c>
      <c r="H185" s="155" t="str">
        <f>D108</f>
        <v>au_O2(L58)-SMAC BLACK</v>
      </c>
      <c r="I185" s="155">
        <v>3</v>
      </c>
      <c r="J185" s="155"/>
      <c r="K185" s="155"/>
      <c r="L185" s="155" t="str">
        <f t="shared" si="26"/>
        <v>12B-104</v>
      </c>
      <c r="N185" s="62" t="str">
        <f t="shared" si="27"/>
        <v>au_Group</v>
      </c>
    </row>
    <row r="186" spans="1:14" ht="14.1" customHeight="1">
      <c r="A186" s="89">
        <f t="shared" si="24"/>
        <v>46227</v>
      </c>
      <c r="B186" s="70">
        <f>'CHICLETS MASTER S2'!K39</f>
        <v>0.67361111111111105</v>
      </c>
      <c r="C186" s="71" t="s">
        <v>218</v>
      </c>
      <c r="D186" s="71" t="str">
        <f t="shared" si="25"/>
        <v>LAGUNA HILLS HS</v>
      </c>
      <c r="E186" s="71">
        <v>108</v>
      </c>
      <c r="F186" s="155" t="str">
        <f>E107</f>
        <v>au_P1(L50)-SANTA CRUZ</v>
      </c>
      <c r="G186" s="155">
        <v>15</v>
      </c>
      <c r="H186" s="155" t="str">
        <f>E108</f>
        <v>au_P2(L54)-SOUTH COAST</v>
      </c>
      <c r="I186" s="155">
        <v>4</v>
      </c>
      <c r="J186" s="155"/>
      <c r="K186" s="155"/>
      <c r="L186" s="155" t="str">
        <f t="shared" si="26"/>
        <v>12B-108</v>
      </c>
      <c r="N186" s="62" t="str">
        <f t="shared" si="27"/>
        <v>au_Group</v>
      </c>
    </row>
    <row r="187" spans="1:14" ht="14.1" customHeight="1">
      <c r="A187" s="75"/>
      <c r="B187" s="60" t="s">
        <v>139</v>
      </c>
      <c r="C187" s="60"/>
      <c r="D187" s="60"/>
      <c r="E187" s="60"/>
      <c r="F187" s="60"/>
      <c r="G187" s="64"/>
      <c r="H187" s="60"/>
      <c r="I187" s="60"/>
      <c r="J187" s="60"/>
      <c r="K187" s="60"/>
      <c r="L187" s="60"/>
    </row>
    <row r="188" spans="1:14" ht="14.1" customHeight="1">
      <c r="A188" s="75"/>
      <c r="B188" s="60" t="s">
        <v>139</v>
      </c>
      <c r="C188" s="60"/>
      <c r="D188" s="60"/>
      <c r="E188" s="60"/>
      <c r="F188" s="60"/>
      <c r="G188" s="64"/>
      <c r="H188" s="60"/>
      <c r="I188" s="60"/>
      <c r="J188" s="60"/>
      <c r="K188" s="60"/>
      <c r="L188" s="60"/>
    </row>
    <row r="189" spans="1:14" ht="14.1" customHeight="1">
      <c r="A189" s="89">
        <f>$A$93</f>
        <v>46227</v>
      </c>
      <c r="B189" s="70">
        <f>'CHICLETS MASTER S2'!K42</f>
        <v>0.77777777777777801</v>
      </c>
      <c r="C189" s="71" t="s">
        <v>219</v>
      </c>
      <c r="D189" s="71" t="str">
        <f>$D$173</f>
        <v>LAGUNA HILLS HS</v>
      </c>
      <c r="E189" s="71">
        <v>112</v>
      </c>
      <c r="F189" s="155" t="s">
        <v>427</v>
      </c>
      <c r="G189" s="155">
        <v>6</v>
      </c>
      <c r="H189" s="155" t="s">
        <v>428</v>
      </c>
      <c r="I189" s="155">
        <v>14</v>
      </c>
      <c r="J189" s="155">
        <v>119</v>
      </c>
      <c r="K189" s="155">
        <v>140</v>
      </c>
      <c r="L189" s="155" t="str">
        <f>IF(E189="","",$L$15&amp;"-"&amp;TEXT(E189,"000"))</f>
        <v>12B-112</v>
      </c>
      <c r="N189" s="62" t="str">
        <f>$L$255&amp;C189</f>
        <v>au_Play-in</v>
      </c>
    </row>
    <row r="190" spans="1:14" ht="14.1" customHeight="1">
      <c r="A190" s="89">
        <f>$A$93</f>
        <v>46227</v>
      </c>
      <c r="B190" s="70">
        <f>'CHICLETS MASTER S2'!K43</f>
        <v>0.8125</v>
      </c>
      <c r="C190" s="71" t="s">
        <v>219</v>
      </c>
      <c r="D190" s="71" t="str">
        <f>$D$173</f>
        <v>LAGUNA HILLS HS</v>
      </c>
      <c r="E190" s="71">
        <v>116</v>
      </c>
      <c r="F190" s="155" t="s">
        <v>429</v>
      </c>
      <c r="G190" s="155">
        <v>10.199999999999999</v>
      </c>
      <c r="H190" s="155" t="s">
        <v>430</v>
      </c>
      <c r="I190" s="155">
        <v>10.4</v>
      </c>
      <c r="J190" s="155">
        <v>127</v>
      </c>
      <c r="K190" s="155">
        <v>132</v>
      </c>
      <c r="L190" s="155" t="str">
        <f>IF(E190="","",$L$15&amp;"-"&amp;TEXT(E190,"000"))</f>
        <v>12B-116</v>
      </c>
      <c r="N190" s="62" t="str">
        <f>$L$255&amp;C190</f>
        <v>au_Play-in</v>
      </c>
    </row>
    <row r="191" spans="1:14" ht="14.1" customHeight="1" thickBot="1">
      <c r="F191" s="62" t="s">
        <v>418</v>
      </c>
      <c r="H191" s="62" t="s">
        <v>418</v>
      </c>
    </row>
    <row r="192" spans="1:14" ht="14.1" customHeight="1" thickTop="1" thickBot="1">
      <c r="A192" s="68" t="s">
        <v>236</v>
      </c>
      <c r="B192" s="82"/>
      <c r="C192" s="82"/>
      <c r="D192" s="82"/>
      <c r="E192" s="82"/>
      <c r="F192" s="82"/>
      <c r="G192" s="83"/>
      <c r="H192" s="82"/>
      <c r="I192" s="82"/>
      <c r="J192" s="82"/>
      <c r="K192" s="82"/>
      <c r="L192" s="82"/>
    </row>
    <row r="193" spans="1:14" ht="14.1" customHeight="1" thickBot="1">
      <c r="A193" s="61">
        <v>46228</v>
      </c>
      <c r="G193" s="62"/>
    </row>
    <row r="194" spans="1:14" ht="14.1" customHeight="1" thickBot="1">
      <c r="D194" s="68" t="str">
        <f>'CHICLETS MASTER S2'!$L$51</f>
        <v>ALISO NIGUEL HS</v>
      </c>
      <c r="G194" s="62"/>
    </row>
    <row r="195" spans="1:14" ht="14.1" customHeight="1">
      <c r="A195" s="337" t="s">
        <v>124</v>
      </c>
      <c r="B195" s="337" t="s">
        <v>125</v>
      </c>
      <c r="C195" s="337" t="s">
        <v>126</v>
      </c>
      <c r="D195" s="337" t="s">
        <v>127</v>
      </c>
      <c r="E195" s="337" t="s">
        <v>128</v>
      </c>
      <c r="F195" s="337" t="s">
        <v>129</v>
      </c>
      <c r="G195" s="337" t="s">
        <v>130</v>
      </c>
      <c r="H195" s="337" t="s">
        <v>131</v>
      </c>
      <c r="I195" s="337" t="s">
        <v>130</v>
      </c>
      <c r="J195" s="338" t="s">
        <v>132</v>
      </c>
      <c r="K195" s="338" t="s">
        <v>133</v>
      </c>
      <c r="L195" s="337" t="s">
        <v>134</v>
      </c>
    </row>
    <row r="196" spans="1:14" ht="14.1" customHeight="1">
      <c r="A196" s="69">
        <f t="shared" ref="A196:A207" si="28">$A$193</f>
        <v>46228</v>
      </c>
      <c r="B196" s="70">
        <f>'CHICLETS MASTER S2'!K53</f>
        <v>0.33333333333333331</v>
      </c>
      <c r="C196" s="71" t="s">
        <v>237</v>
      </c>
      <c r="D196" s="71" t="str">
        <f t="shared" ref="D196:D207" si="29">$D$194</f>
        <v>ALISO NIGUEL HS</v>
      </c>
      <c r="E196" s="71">
        <v>117</v>
      </c>
      <c r="F196" s="90" t="s">
        <v>431</v>
      </c>
      <c r="G196" s="90">
        <v>14</v>
      </c>
      <c r="H196" s="90" t="str">
        <f>IF(G151="","W110",IF(G151&gt;I151,_xlfn.CONCAT("W110-",RIGHT(F151,LEN(F151) - FIND("-",F151))), _xlfn.CONCAT("W110-",RIGHT(H151,LEN(H151) - FIND("-",H151)))))</f>
        <v>W110-680 RED</v>
      </c>
      <c r="I196" s="90">
        <v>9</v>
      </c>
      <c r="J196" s="90">
        <v>141</v>
      </c>
      <c r="K196" s="90">
        <v>149</v>
      </c>
      <c r="L196" s="90" t="str">
        <f t="shared" ref="L196:L207" si="30">IF(E196="","",$L$15&amp;"-"&amp;TEXT(E196,"000"))</f>
        <v>12B-117</v>
      </c>
      <c r="N196" s="62" t="str">
        <f t="shared" ref="N196:N207" si="31">$K$255&amp;C196</f>
        <v>pt_5-8 v 9-12</v>
      </c>
    </row>
    <row r="197" spans="1:14" ht="14.1" customHeight="1">
      <c r="A197" s="69">
        <f t="shared" si="28"/>
        <v>46228</v>
      </c>
      <c r="B197" s="70">
        <f>'CHICLETS MASTER S2'!K54</f>
        <v>0.36805555555555558</v>
      </c>
      <c r="C197" s="71" t="s">
        <v>237</v>
      </c>
      <c r="D197" s="71" t="str">
        <f t="shared" si="29"/>
        <v>ALISO NIGUEL HS</v>
      </c>
      <c r="E197" s="71">
        <v>121</v>
      </c>
      <c r="F197" s="90" t="s">
        <v>432</v>
      </c>
      <c r="G197" s="90">
        <v>9</v>
      </c>
      <c r="H197" s="90" t="str">
        <f>IF(G133="","W113",IF(G133&gt;I133,_xlfn.CONCAT("W113-",RIGHT(F133,LEN(F133) - FIND("-",F133))), _xlfn.CONCAT("W113-",RIGHT(H133,LEN(H133) - FIND("-",H133)))))</f>
        <v>W113-NEWPORT BEACH BLUE</v>
      </c>
      <c r="I197" s="90">
        <v>8</v>
      </c>
      <c r="J197" s="90">
        <v>141</v>
      </c>
      <c r="K197" s="90">
        <v>149</v>
      </c>
      <c r="L197" s="90" t="str">
        <f t="shared" si="30"/>
        <v>12B-121</v>
      </c>
      <c r="N197" s="62" t="str">
        <f t="shared" si="31"/>
        <v>pt_5-8 v 9-12</v>
      </c>
    </row>
    <row r="198" spans="1:14" ht="14.1" customHeight="1">
      <c r="A198" s="69">
        <f t="shared" si="28"/>
        <v>46228</v>
      </c>
      <c r="B198" s="70">
        <f>'CHICLETS MASTER S2'!K55</f>
        <v>0.40277777777777801</v>
      </c>
      <c r="C198" s="71" t="s">
        <v>237</v>
      </c>
      <c r="D198" s="71" t="str">
        <f t="shared" si="29"/>
        <v>ALISO NIGUEL HS</v>
      </c>
      <c r="E198" s="71">
        <v>125</v>
      </c>
      <c r="F198" s="90" t="s">
        <v>433</v>
      </c>
      <c r="G198" s="90">
        <v>7.7</v>
      </c>
      <c r="H198" s="90" t="str">
        <f>IF(G152="","W114",IF(G152&gt;I152,_xlfn.CONCAT("W114-",RIGHT(F152,LEN(F152) - FIND("-",F152))), _xlfn.CONCAT("W114-",RIGHT(H152,LEN(H152) - FIND("-",H152)))))</f>
        <v>W114-CC UNITED BLACK</v>
      </c>
      <c r="I198" s="90">
        <v>7.6</v>
      </c>
      <c r="J198" s="90">
        <v>145</v>
      </c>
      <c r="K198" s="90">
        <v>153</v>
      </c>
      <c r="L198" s="90" t="str">
        <f t="shared" si="30"/>
        <v>12B-125</v>
      </c>
      <c r="N198" s="62" t="str">
        <f t="shared" si="31"/>
        <v>pt_5-8 v 9-12</v>
      </c>
    </row>
    <row r="199" spans="1:14" ht="14.1" customHeight="1">
      <c r="A199" s="69">
        <f t="shared" si="28"/>
        <v>46228</v>
      </c>
      <c r="B199" s="70">
        <f>'CHICLETS MASTER S2'!K56</f>
        <v>0.4375</v>
      </c>
      <c r="C199" s="71" t="s">
        <v>237</v>
      </c>
      <c r="D199" s="71" t="str">
        <f t="shared" si="29"/>
        <v>ALISO NIGUEL HS</v>
      </c>
      <c r="E199" s="71">
        <v>129</v>
      </c>
      <c r="F199" s="90" t="s">
        <v>434</v>
      </c>
      <c r="G199" s="90">
        <v>10</v>
      </c>
      <c r="H199" s="90" t="str">
        <f>IF(G132="","W109",IF(G132&gt;I132,_xlfn.CONCAT("W109-",RIGHT(F132,LEN(F132) - FIND("-",F132))), _xlfn.CONCAT("W109-",RIGHT(H132,LEN(H132) - FIND("-",H132)))))</f>
        <v xml:space="preserve">W109-SAN CLEMENTE RED	</v>
      </c>
      <c r="I199" s="90">
        <v>2</v>
      </c>
      <c r="J199" s="90">
        <v>145</v>
      </c>
      <c r="K199" s="90">
        <v>153</v>
      </c>
      <c r="L199" s="90" t="str">
        <f t="shared" si="30"/>
        <v>12B-129</v>
      </c>
      <c r="N199" s="62" t="str">
        <f t="shared" si="31"/>
        <v>pt_5-8 v 9-12</v>
      </c>
    </row>
    <row r="200" spans="1:14" ht="14.1" customHeight="1">
      <c r="A200" s="69">
        <f t="shared" si="28"/>
        <v>46228</v>
      </c>
      <c r="B200" s="70">
        <f>'CHICLETS MASTER S2'!K57</f>
        <v>0.47222222222222199</v>
      </c>
      <c r="C200" s="71" t="s">
        <v>242</v>
      </c>
      <c r="D200" s="71" t="str">
        <f t="shared" si="29"/>
        <v>ALISO NIGUEL HS</v>
      </c>
      <c r="E200" s="71">
        <v>133</v>
      </c>
      <c r="F200" s="90" t="s">
        <v>435</v>
      </c>
      <c r="G200" s="90">
        <v>8</v>
      </c>
      <c r="H200" s="90" t="s">
        <v>436</v>
      </c>
      <c r="I200" s="90">
        <v>13</v>
      </c>
      <c r="J200" s="90">
        <v>174</v>
      </c>
      <c r="K200" s="90">
        <v>157</v>
      </c>
      <c r="L200" s="90" t="str">
        <f t="shared" si="30"/>
        <v>12B-133</v>
      </c>
      <c r="N200" s="62" t="str">
        <f t="shared" si="31"/>
        <v>pt_1-2 v 3-4</v>
      </c>
    </row>
    <row r="201" spans="1:14" ht="14.1" customHeight="1">
      <c r="A201" s="69">
        <f t="shared" si="28"/>
        <v>46228</v>
      </c>
      <c r="B201" s="70">
        <f>'CHICLETS MASTER S2'!K58</f>
        <v>0.50694444444444398</v>
      </c>
      <c r="C201" s="71" t="s">
        <v>242</v>
      </c>
      <c r="D201" s="71" t="str">
        <f t="shared" si="29"/>
        <v>ALISO NIGUEL HS</v>
      </c>
      <c r="E201" s="71">
        <v>137</v>
      </c>
      <c r="F201" s="90" t="s">
        <v>437</v>
      </c>
      <c r="G201" s="90">
        <v>9</v>
      </c>
      <c r="H201" s="90" t="s">
        <v>438</v>
      </c>
      <c r="I201" s="90">
        <v>7</v>
      </c>
      <c r="J201" s="90">
        <v>173</v>
      </c>
      <c r="K201" s="90">
        <v>161</v>
      </c>
      <c r="L201" s="90" t="str">
        <f t="shared" si="30"/>
        <v>12B-137</v>
      </c>
      <c r="N201" s="62" t="str">
        <f t="shared" si="31"/>
        <v>pt_1-2 v 3-4</v>
      </c>
    </row>
    <row r="202" spans="1:14" ht="14.1" customHeight="1">
      <c r="A202" s="69">
        <f t="shared" si="28"/>
        <v>46228</v>
      </c>
      <c r="B202" s="70">
        <f>'CHICLETS MASTER S2'!K59</f>
        <v>0.54166666666666696</v>
      </c>
      <c r="C202" s="71" t="s">
        <v>247</v>
      </c>
      <c r="D202" s="71" t="str">
        <f t="shared" si="29"/>
        <v>ALISO NIGUEL HS</v>
      </c>
      <c r="E202" s="71">
        <v>141</v>
      </c>
      <c r="F202" s="90" t="str">
        <f>IF(G196="","W117",IF(G196&gt;I196,_xlfn.CONCAT("W117-",RIGHT(F196,LEN(F196) - FIND("-",F196))), _xlfn.CONCAT("W117-",RIGHT(H196,LEN(H196) - FIND("-",H196)))))</f>
        <v xml:space="preserve">W117-NORTH IRVINE BLACK	</v>
      </c>
      <c r="G202" s="90">
        <v>9.3000000000000007</v>
      </c>
      <c r="H202" s="90" t="str">
        <f>IF(G197="","W121",IF(G197&gt;I197,_xlfn.CONCAT("W121-",RIGHT(F197,LEN(F197) - FIND("-",F197))), _xlfn.CONCAT("W121-",RIGHT(H197,LEN(H197) - FIND("-",H197)))))</f>
        <v>W121-TSUNAMI</v>
      </c>
      <c r="I202" s="97">
        <v>9</v>
      </c>
      <c r="J202" s="90">
        <v>157</v>
      </c>
      <c r="K202" s="90">
        <v>185</v>
      </c>
      <c r="L202" s="90" t="str">
        <f t="shared" si="30"/>
        <v>12B-141</v>
      </c>
      <c r="N202" s="62" t="str">
        <f t="shared" si="31"/>
        <v>pt_5-6 v 7-8</v>
      </c>
    </row>
    <row r="203" spans="1:14" ht="14.1" customHeight="1">
      <c r="A203" s="69">
        <f t="shared" si="28"/>
        <v>46228</v>
      </c>
      <c r="B203" s="70">
        <f>'CHICLETS MASTER S2'!K60</f>
        <v>0.57638888888888895</v>
      </c>
      <c r="C203" s="71" t="s">
        <v>247</v>
      </c>
      <c r="D203" s="71" t="str">
        <f t="shared" si="29"/>
        <v>ALISO NIGUEL HS</v>
      </c>
      <c r="E203" s="71">
        <v>145</v>
      </c>
      <c r="F203" s="90" t="str">
        <f>IF(G198="","W125",IF(G198&gt;I198,_xlfn.CONCAT("W125-",RIGHT(F198,LEN(F198) - FIND("-",F198))), _xlfn.CONCAT("W125-",RIGHT(H198,LEN(H198) - FIND("-",H198)))))</f>
        <v>W125-SD DONS BLACK</v>
      </c>
      <c r="G203" s="90">
        <v>6</v>
      </c>
      <c r="H203" s="90" t="str">
        <f>IF(G199="","W129",IF(G199&gt;I199,_xlfn.CONCAT("W129-",RIGHT(F199,LEN(F199) - FIND("-",F199))), _xlfn.CONCAT("W129-",RIGHT(H199,LEN(H199) - FIND("-",H199)))))</f>
        <v>W129-MISSION A</v>
      </c>
      <c r="I203" s="93">
        <v>12</v>
      </c>
      <c r="J203" s="90">
        <v>161</v>
      </c>
      <c r="K203" s="90">
        <v>185</v>
      </c>
      <c r="L203" s="90" t="str">
        <f t="shared" si="30"/>
        <v>12B-145</v>
      </c>
      <c r="N203" s="62" t="str">
        <f t="shared" si="31"/>
        <v>pt_5-6 v 7-8</v>
      </c>
    </row>
    <row r="204" spans="1:14" ht="14.1" customHeight="1">
      <c r="A204" s="69">
        <f t="shared" si="28"/>
        <v>46228</v>
      </c>
      <c r="B204" s="70">
        <f>'CHICLETS MASTER S2'!K61</f>
        <v>0.61111111111111105</v>
      </c>
      <c r="C204" s="71" t="s">
        <v>248</v>
      </c>
      <c r="D204" s="71" t="str">
        <f t="shared" si="29"/>
        <v>ALISO NIGUEL HS</v>
      </c>
      <c r="E204" s="71">
        <v>149</v>
      </c>
      <c r="F204" s="90" t="str">
        <f>IF(G197="","L121",IF(G197&lt;I197,_xlfn.CONCAT("L121-",RIGHT(F197,LEN(F197) - FIND("-",F197))), _xlfn.CONCAT("L121-",RIGHT(H197,LEN(H197) - FIND("-",H197)))))</f>
        <v>L121-NEWPORT BEACH BLUE</v>
      </c>
      <c r="G204" s="90">
        <v>9</v>
      </c>
      <c r="H204" s="90" t="str">
        <f>IF(G196="","L117",IF(G196&lt;I196,_xlfn.CONCAT("L117-",RIGHT(F196,LEN(F196) - FIND("-",F196))), _xlfn.CONCAT("L117-",RIGHT(H196,LEN(H196) - FIND("-",H196)))))</f>
        <v>L117-680 RED</v>
      </c>
      <c r="I204" s="90">
        <v>12</v>
      </c>
      <c r="J204" s="90">
        <v>182</v>
      </c>
      <c r="K204" s="90">
        <v>181</v>
      </c>
      <c r="L204" s="90" t="str">
        <f t="shared" si="30"/>
        <v>12B-149</v>
      </c>
      <c r="N204" s="62" t="str">
        <f t="shared" si="31"/>
        <v>pt_9-12 semi</v>
      </c>
    </row>
    <row r="205" spans="1:14" ht="14.1" customHeight="1">
      <c r="A205" s="69">
        <f t="shared" si="28"/>
        <v>46228</v>
      </c>
      <c r="B205" s="70">
        <f>'CHICLETS MASTER S2'!K62</f>
        <v>0.64583333333333304</v>
      </c>
      <c r="C205" s="71" t="s">
        <v>248</v>
      </c>
      <c r="D205" s="71" t="str">
        <f t="shared" si="29"/>
        <v>ALISO NIGUEL HS</v>
      </c>
      <c r="E205" s="71">
        <v>153</v>
      </c>
      <c r="F205" s="90" t="str">
        <f>IF(G199="","L129",IF(G199&lt;I199,_xlfn.CONCAT("L129-",RIGHT(F199,LEN(F199) - FIND("-",F199))), _xlfn.CONCAT("L129-",RIGHT(H199,LEN(H199) - FIND("-",H199)))))</f>
        <v xml:space="preserve">L129-SAN CLEMENTE RED	</v>
      </c>
      <c r="G205" s="90">
        <v>9</v>
      </c>
      <c r="H205" s="90" t="str">
        <f>IF(G198="","L125",IF(G198&lt;I198,_xlfn.CONCAT("L125-",RIGHT(F198,LEN(F198) - FIND("-",F198))), _xlfn.CONCAT("L125-",RIGHT(H198,LEN(H198) - FIND("-",H198)))))</f>
        <v>L125-CC UNITED BLACK</v>
      </c>
      <c r="I205" s="90">
        <v>11</v>
      </c>
      <c r="J205" s="90">
        <v>182</v>
      </c>
      <c r="K205" s="90">
        <v>181</v>
      </c>
      <c r="L205" s="90" t="str">
        <f t="shared" si="30"/>
        <v>12B-153</v>
      </c>
      <c r="N205" s="62" t="str">
        <f t="shared" si="31"/>
        <v>pt_9-12 semi</v>
      </c>
    </row>
    <row r="206" spans="1:14" ht="14.1" customHeight="1">
      <c r="A206" s="69">
        <f t="shared" si="28"/>
        <v>46228</v>
      </c>
      <c r="B206" s="70">
        <f>'CHICLETS MASTER S2'!K63</f>
        <v>0.68055555555555602</v>
      </c>
      <c r="C206" s="71" t="s">
        <v>439</v>
      </c>
      <c r="D206" s="71" t="str">
        <f t="shared" si="29"/>
        <v>ALISO NIGUEL HS</v>
      </c>
      <c r="E206" s="71">
        <v>157</v>
      </c>
      <c r="F206" s="90" t="str">
        <f>IF(G200="","L133",IF(G200&lt;I200,_xlfn.CONCAT("L133-",RIGHT(F200,LEN(F200) - FIND("-",F200))), _xlfn.CONCAT("L133-",RIGHT(H200,LEN(H200) - FIND("-",H200)))))</f>
        <v>L133-STANFORD RED</v>
      </c>
      <c r="G206" s="90">
        <v>16</v>
      </c>
      <c r="H206" s="90" t="str">
        <f>IF(G202="","W141",IF(G202&gt;I202,_xlfn.CONCAT("W141-",RIGHT(F202,LEN(F202) - FIND("-",F202))), _xlfn.CONCAT("W141-",RIGHT(H202,LEN(H202) - FIND("-",H202)))))</f>
        <v xml:space="preserve">W141-NORTH IRVINE BLACK	</v>
      </c>
      <c r="I206" s="90">
        <v>14</v>
      </c>
      <c r="J206" s="90">
        <v>173</v>
      </c>
      <c r="K206" s="90">
        <v>186</v>
      </c>
      <c r="L206" s="90" t="str">
        <f t="shared" si="30"/>
        <v>12B-157</v>
      </c>
      <c r="N206" s="62" t="str">
        <f t="shared" si="31"/>
        <v>pt_play to semi</v>
      </c>
    </row>
    <row r="207" spans="1:14" ht="14.1" customHeight="1">
      <c r="A207" s="69">
        <f t="shared" si="28"/>
        <v>46228</v>
      </c>
      <c r="B207" s="70">
        <f>'CHICLETS MASTER S2'!K64</f>
        <v>0.71527777777777801</v>
      </c>
      <c r="C207" s="71" t="s">
        <v>439</v>
      </c>
      <c r="D207" s="71" t="str">
        <f t="shared" si="29"/>
        <v>ALISO NIGUEL HS</v>
      </c>
      <c r="E207" s="71">
        <v>161</v>
      </c>
      <c r="F207" s="90" t="str">
        <f>IF(G201="","L137",IF(G201&lt;I201,_xlfn.CONCAT("L137-",RIGHT(F201,LEN(F201) - FIND("-",F201))), _xlfn.CONCAT("L137-",RIGHT(H201,LEN(H201) - FIND("-",H201)))))</f>
        <v>L137-GREENWICH BLUE</v>
      </c>
      <c r="G207" s="90">
        <v>8</v>
      </c>
      <c r="H207" s="90" t="str">
        <f>IF(G203="","W145",IF(G203&gt;I203,_xlfn.CONCAT("W145-",RIGHT(F203,LEN(F203) - FIND("-",F203))), _xlfn.CONCAT("W145-",RIGHT(H203,LEN(H203) - FIND("-",H203)))))</f>
        <v>W145-MISSION A</v>
      </c>
      <c r="I207" s="90">
        <v>11</v>
      </c>
      <c r="J207" s="90">
        <v>174</v>
      </c>
      <c r="K207" s="90">
        <v>186</v>
      </c>
      <c r="L207" s="90" t="str">
        <f t="shared" si="30"/>
        <v>12B-161</v>
      </c>
      <c r="N207" s="62" t="str">
        <f t="shared" si="31"/>
        <v>pt_play to semi</v>
      </c>
    </row>
    <row r="208" spans="1:14" ht="14.1" customHeight="1" thickBot="1">
      <c r="G208" s="62"/>
    </row>
    <row r="209" spans="1:14" ht="14.1" customHeight="1" thickBot="1">
      <c r="A209" s="78"/>
      <c r="B209" s="79"/>
      <c r="D209" s="68" t="str">
        <f>'CHICLETS MASTER S2'!$N$51</f>
        <v>MISSION VIEJO HS</v>
      </c>
      <c r="F209" s="62" t="s">
        <v>418</v>
      </c>
      <c r="G209" s="80" t="s">
        <v>418</v>
      </c>
      <c r="H209" s="62" t="s">
        <v>418</v>
      </c>
      <c r="I209" s="60"/>
      <c r="J209" s="60"/>
      <c r="K209" s="60"/>
      <c r="L209" s="60"/>
    </row>
    <row r="210" spans="1:14" ht="14.1" customHeight="1">
      <c r="A210" s="337" t="s">
        <v>124</v>
      </c>
      <c r="B210" s="337" t="s">
        <v>125</v>
      </c>
      <c r="C210" s="337" t="s">
        <v>126</v>
      </c>
      <c r="D210" s="337" t="s">
        <v>127</v>
      </c>
      <c r="E210" s="337" t="s">
        <v>128</v>
      </c>
      <c r="F210" s="337" t="s">
        <v>129</v>
      </c>
      <c r="G210" s="337" t="s">
        <v>130</v>
      </c>
      <c r="H210" s="337" t="s">
        <v>131</v>
      </c>
      <c r="I210" s="337" t="s">
        <v>130</v>
      </c>
      <c r="J210" s="338" t="s">
        <v>132</v>
      </c>
      <c r="K210" s="338" t="s">
        <v>133</v>
      </c>
      <c r="L210" s="337" t="s">
        <v>134</v>
      </c>
    </row>
    <row r="211" spans="1:14" ht="14.1" customHeight="1">
      <c r="A211" s="69">
        <f t="shared" ref="A211:A222" si="32">$A$193</f>
        <v>46228</v>
      </c>
      <c r="B211" s="70">
        <f>'CHICLETS MASTER S2'!K53</f>
        <v>0.33333333333333331</v>
      </c>
      <c r="C211" s="71" t="s">
        <v>249</v>
      </c>
      <c r="D211" s="71" t="str">
        <f t="shared" ref="D211:D222" si="33">$D$209</f>
        <v>MISSION VIEJO HS</v>
      </c>
      <c r="E211" s="71">
        <v>118</v>
      </c>
      <c r="F211" s="90" t="s">
        <v>440</v>
      </c>
      <c r="G211" s="97">
        <v>10.4</v>
      </c>
      <c r="H211" s="90" t="s">
        <v>441</v>
      </c>
      <c r="I211" s="97">
        <v>10.1</v>
      </c>
      <c r="J211" s="90"/>
      <c r="K211" s="90"/>
      <c r="L211" s="90" t="str">
        <f t="shared" ref="L211:L222" si="34">IF(E211="","",$L$15&amp;"-"&amp;TEXT(E211,"000"))</f>
        <v>12B-118</v>
      </c>
      <c r="N211" s="62" t="str">
        <f t="shared" ref="N211:N222" si="35">$K$255&amp;C211</f>
        <v>pt_21-24 RR</v>
      </c>
    </row>
    <row r="212" spans="1:14" ht="14.1" customHeight="1">
      <c r="A212" s="69">
        <f t="shared" si="32"/>
        <v>46228</v>
      </c>
      <c r="B212" s="70">
        <f>'CHICLETS MASTER S2'!K54</f>
        <v>0.36805555555555558</v>
      </c>
      <c r="C212" s="71" t="s">
        <v>249</v>
      </c>
      <c r="D212" s="71" t="str">
        <f t="shared" si="33"/>
        <v>MISSION VIEJO HS</v>
      </c>
      <c r="E212" s="71">
        <v>122</v>
      </c>
      <c r="F212" s="90" t="s">
        <v>442</v>
      </c>
      <c r="G212" s="90">
        <v>5</v>
      </c>
      <c r="H212" s="90" t="s">
        <v>443</v>
      </c>
      <c r="I212" s="90">
        <v>4</v>
      </c>
      <c r="J212" s="90"/>
      <c r="K212" s="90"/>
      <c r="L212" s="90" t="str">
        <f t="shared" si="34"/>
        <v>12B-122</v>
      </c>
      <c r="N212" s="62" t="str">
        <f t="shared" si="35"/>
        <v>pt_21-24 RR</v>
      </c>
    </row>
    <row r="213" spans="1:14" ht="14.1" customHeight="1">
      <c r="A213" s="69">
        <f t="shared" si="32"/>
        <v>46228</v>
      </c>
      <c r="B213" s="70">
        <f>'CHICLETS MASTER S2'!K55</f>
        <v>0.40277777777777801</v>
      </c>
      <c r="C213" s="71" t="s">
        <v>254</v>
      </c>
      <c r="D213" s="71" t="str">
        <f t="shared" si="33"/>
        <v>MISSION VIEJO HS</v>
      </c>
      <c r="E213" s="71">
        <v>126</v>
      </c>
      <c r="F213" s="90" t="str">
        <f>IF(G133="","L113",IF(G133&lt;I133,_xlfn.CONCAT("L113-",RIGHT(F133,LEN(F133) - FIND("-",F133))), _xlfn.CONCAT("L113-",RIGHT(H133,LEN(H133) - FIND("-",H133)))))</f>
        <v>L113-SAN JOSE EXPRESS</v>
      </c>
      <c r="G213" s="90">
        <v>13</v>
      </c>
      <c r="H213" s="90" t="s">
        <v>444</v>
      </c>
      <c r="I213" s="90">
        <v>8</v>
      </c>
      <c r="J213" s="90">
        <v>150</v>
      </c>
      <c r="K213" s="90">
        <v>154</v>
      </c>
      <c r="L213" s="90" t="str">
        <f t="shared" si="34"/>
        <v>12B-126</v>
      </c>
      <c r="N213" s="62" t="str">
        <f t="shared" si="35"/>
        <v>pt_13-20 qtr</v>
      </c>
    </row>
    <row r="214" spans="1:14" ht="14.1" customHeight="1">
      <c r="A214" s="69">
        <f t="shared" si="32"/>
        <v>46228</v>
      </c>
      <c r="B214" s="70">
        <f>'CHICLETS MASTER S2'!K56</f>
        <v>0.4375</v>
      </c>
      <c r="C214" s="71" t="s">
        <v>254</v>
      </c>
      <c r="D214" s="71" t="str">
        <f t="shared" si="33"/>
        <v>MISSION VIEJO HS</v>
      </c>
      <c r="E214" s="71">
        <v>130</v>
      </c>
      <c r="F214" s="90" t="str">
        <f>IF(G152="","L114",IF(G152&lt;I152,_xlfn.CONCAT("L114-",RIGHT(F152,LEN(F152) - FIND("-",F152))), _xlfn.CONCAT("L114-",RIGHT(H152,LEN(H152) - FIND("-",H152)))))</f>
        <v>L114-ORWP BLACK</v>
      </c>
      <c r="G214" s="90">
        <v>13.4</v>
      </c>
      <c r="H214" s="90" t="s">
        <v>445</v>
      </c>
      <c r="I214" s="97">
        <v>13.3</v>
      </c>
      <c r="J214" s="90">
        <v>150</v>
      </c>
      <c r="K214" s="90">
        <v>154</v>
      </c>
      <c r="L214" s="90" t="str">
        <f t="shared" si="34"/>
        <v>12B-130</v>
      </c>
      <c r="N214" s="62" t="str">
        <f t="shared" si="35"/>
        <v>pt_13-20 qtr</v>
      </c>
    </row>
    <row r="215" spans="1:14" ht="14.1" customHeight="1">
      <c r="A215" s="69">
        <f t="shared" si="32"/>
        <v>46228</v>
      </c>
      <c r="B215" s="70">
        <f>'CHICLETS MASTER S2'!K57</f>
        <v>0.47222222222222199</v>
      </c>
      <c r="C215" s="71" t="s">
        <v>254</v>
      </c>
      <c r="D215" s="71" t="str">
        <f t="shared" si="33"/>
        <v>MISSION VIEJO HS</v>
      </c>
      <c r="E215" s="71">
        <v>134</v>
      </c>
      <c r="F215" s="90" t="str">
        <f>IF(G132="","L109",IF(G132&lt;I132,_xlfn.CONCAT("L109-",RIGHT(F132,LEN(F132) - FIND("-",F132))), _xlfn.CONCAT("L109-",RIGHT(H132,LEN(H132) - FIND("-",H132)))))</f>
        <v>L109-CDM BLUE</v>
      </c>
      <c r="G215" s="90">
        <v>5</v>
      </c>
      <c r="H215" s="90" t="s">
        <v>446</v>
      </c>
      <c r="I215" s="90">
        <v>7</v>
      </c>
      <c r="J215" s="90">
        <v>158</v>
      </c>
      <c r="K215" s="90">
        <v>162</v>
      </c>
      <c r="L215" s="90" t="str">
        <f t="shared" si="34"/>
        <v>12B-134</v>
      </c>
      <c r="N215" s="62" t="str">
        <f t="shared" si="35"/>
        <v>pt_13-20 qtr</v>
      </c>
    </row>
    <row r="216" spans="1:14" ht="14.1" customHeight="1">
      <c r="A216" s="69">
        <f t="shared" si="32"/>
        <v>46228</v>
      </c>
      <c r="B216" s="70">
        <f>'CHICLETS MASTER S2'!K58</f>
        <v>0.50694444444444398</v>
      </c>
      <c r="C216" s="71" t="s">
        <v>254</v>
      </c>
      <c r="D216" s="71" t="str">
        <f t="shared" si="33"/>
        <v>MISSION VIEJO HS</v>
      </c>
      <c r="E216" s="71">
        <v>138</v>
      </c>
      <c r="F216" s="90" t="str">
        <f>IF(G151="","L110",IF(G151&lt;I151,_xlfn.CONCAT("L110-",RIGHT(F151,LEN(F151) - FIND("-",F151))), _xlfn.CONCAT("L110-",RIGHT(H151,LEN(H151) - FIND("-",H151)))))</f>
        <v>L110-ROSE BOWL RED</v>
      </c>
      <c r="G216" s="90">
        <v>9</v>
      </c>
      <c r="H216" s="90" t="s">
        <v>447</v>
      </c>
      <c r="I216" s="90">
        <v>10</v>
      </c>
      <c r="J216" s="90">
        <v>158</v>
      </c>
      <c r="K216" s="90">
        <v>162</v>
      </c>
      <c r="L216" s="90" t="str">
        <f t="shared" si="34"/>
        <v>12B-138</v>
      </c>
      <c r="N216" s="62" t="str">
        <f t="shared" si="35"/>
        <v>pt_13-20 qtr</v>
      </c>
    </row>
    <row r="217" spans="1:14" ht="14.1" customHeight="1">
      <c r="A217" s="69">
        <f t="shared" si="32"/>
        <v>46228</v>
      </c>
      <c r="B217" s="70">
        <f>'CHICLETS MASTER S2'!K59</f>
        <v>0.54166666666666696</v>
      </c>
      <c r="C217" s="71" t="s">
        <v>249</v>
      </c>
      <c r="D217" s="71" t="str">
        <f t="shared" si="33"/>
        <v>MISSION VIEJO HS</v>
      </c>
      <c r="E217" s="71">
        <v>142</v>
      </c>
      <c r="F217" s="90" t="s">
        <v>440</v>
      </c>
      <c r="G217" s="90">
        <v>10</v>
      </c>
      <c r="H217" s="90" t="s">
        <v>443</v>
      </c>
      <c r="I217" s="90">
        <v>9</v>
      </c>
      <c r="J217" s="90"/>
      <c r="K217" s="90"/>
      <c r="L217" s="90" t="str">
        <f t="shared" si="34"/>
        <v>12B-142</v>
      </c>
      <c r="N217" s="62" t="str">
        <f t="shared" si="35"/>
        <v>pt_21-24 RR</v>
      </c>
    </row>
    <row r="218" spans="1:14" ht="14.1" customHeight="1">
      <c r="A218" s="69">
        <f t="shared" si="32"/>
        <v>46228</v>
      </c>
      <c r="B218" s="70">
        <f>'CHICLETS MASTER S2'!K60</f>
        <v>0.57638888888888895</v>
      </c>
      <c r="C218" s="71" t="s">
        <v>249</v>
      </c>
      <c r="D218" s="71" t="str">
        <f t="shared" si="33"/>
        <v>MISSION VIEJO HS</v>
      </c>
      <c r="E218" s="71">
        <v>146</v>
      </c>
      <c r="F218" s="90" t="s">
        <v>442</v>
      </c>
      <c r="G218" s="90">
        <v>10</v>
      </c>
      <c r="H218" s="90" t="s">
        <v>441</v>
      </c>
      <c r="I218" s="90">
        <v>8</v>
      </c>
      <c r="J218" s="90"/>
      <c r="K218" s="90"/>
      <c r="L218" s="90" t="str">
        <f t="shared" si="34"/>
        <v>12B-146</v>
      </c>
      <c r="N218" s="62" t="str">
        <f t="shared" si="35"/>
        <v>pt_21-24 RR</v>
      </c>
    </row>
    <row r="219" spans="1:14" ht="14.1" customHeight="1">
      <c r="A219" s="69">
        <f t="shared" si="32"/>
        <v>46228</v>
      </c>
      <c r="B219" s="70">
        <f>'CHICLETS MASTER S2'!K61</f>
        <v>0.61111111111111105</v>
      </c>
      <c r="C219" s="71" t="s">
        <v>259</v>
      </c>
      <c r="D219" s="71" t="str">
        <f t="shared" si="33"/>
        <v>MISSION VIEJO HS</v>
      </c>
      <c r="E219" s="71">
        <v>150</v>
      </c>
      <c r="F219" s="90" t="str">
        <f>IF(G213="","W126",IF(G213&gt;I213,_xlfn.CONCAT("W126-",RIGHT(F213,LEN(F213) - FIND("-",F213))), _xlfn.CONCAT("W126-",RIGHT(H213,LEN(H213) - FIND("-",H213)))))</f>
        <v>W126-SAN JOSE EXPRESS</v>
      </c>
      <c r="G219" s="90">
        <v>11</v>
      </c>
      <c r="H219" s="90" t="str">
        <f>IF(G214="","W130",IF(G214&gt;I214,_xlfn.CONCAT("W130-",RIGHT(F214,LEN(F214) - FIND("-",F214))), _xlfn.CONCAT("W130-",RIGHT(H214,LEN(H214) - FIND("-",H214)))))</f>
        <v>W130-ORWP BLACK</v>
      </c>
      <c r="I219" s="90">
        <v>7</v>
      </c>
      <c r="J219" s="90">
        <v>178</v>
      </c>
      <c r="K219" s="90">
        <v>177</v>
      </c>
      <c r="L219" s="90" t="str">
        <f t="shared" si="34"/>
        <v>12B-150</v>
      </c>
      <c r="N219" s="62" t="str">
        <f t="shared" si="35"/>
        <v>pt_13-16 semi</v>
      </c>
    </row>
    <row r="220" spans="1:14" ht="14.1" customHeight="1">
      <c r="A220" s="69">
        <f t="shared" si="32"/>
        <v>46228</v>
      </c>
      <c r="B220" s="70">
        <f>'CHICLETS MASTER S2'!K62</f>
        <v>0.64583333333333304</v>
      </c>
      <c r="C220" s="71" t="s">
        <v>260</v>
      </c>
      <c r="D220" s="71" t="str">
        <f t="shared" si="33"/>
        <v>MISSION VIEJO HS</v>
      </c>
      <c r="E220" s="71">
        <v>154</v>
      </c>
      <c r="F220" s="90" t="str">
        <f>IF(G214="","L130",IF(G214&lt;I214,_xlfn.CONCAT("L130-",RIGHT(F214,LEN(F214) - FIND("-",F214))), _xlfn.CONCAT("L130-",RIGHT(H214,LEN(H214) - FIND("-",H214)))))</f>
        <v>L130-SANTA BARBARA WPC A</v>
      </c>
      <c r="G220" s="90">
        <v>8</v>
      </c>
      <c r="H220" s="90" t="str">
        <f>IF(G213="","L126",IF(G213&lt;I213,_xlfn.CONCAT("L126-",RIGHT(F213,LEN(F213) - FIND("-",F213))), _xlfn.CONCAT("L126-",RIGHT(H213,LEN(H213) - FIND("-",H213)))))</f>
        <v>L126-NSD STARS</v>
      </c>
      <c r="I220" s="90">
        <v>16</v>
      </c>
      <c r="J220" s="90">
        <v>170</v>
      </c>
      <c r="K220" s="90">
        <v>169</v>
      </c>
      <c r="L220" s="90" t="str">
        <f t="shared" si="34"/>
        <v>12B-154</v>
      </c>
      <c r="N220" s="62" t="str">
        <f t="shared" si="35"/>
        <v>pt_17-20 semi</v>
      </c>
    </row>
    <row r="221" spans="1:14" ht="14.1" customHeight="1">
      <c r="A221" s="69">
        <f t="shared" si="32"/>
        <v>46228</v>
      </c>
      <c r="B221" s="70">
        <f>'CHICLETS MASTER S2'!K63</f>
        <v>0.68055555555555602</v>
      </c>
      <c r="C221" s="71" t="s">
        <v>259</v>
      </c>
      <c r="D221" s="71" t="str">
        <f t="shared" si="33"/>
        <v>MISSION VIEJO HS</v>
      </c>
      <c r="E221" s="71">
        <v>158</v>
      </c>
      <c r="F221" s="90" t="str">
        <f>IF(G215="","W134",IF(G215&gt;I215,_xlfn.CONCAT("W134-",RIGHT(F215,LEN(F215) - FIND("-",F215))), _xlfn.CONCAT("W134-",RIGHT(H215,LEN(H215) - FIND("-",H215)))))</f>
        <v>W134-LA JOLLA UNITED</v>
      </c>
      <c r="G221" s="97">
        <v>6.6</v>
      </c>
      <c r="H221" s="90" t="str">
        <f>IF(G216="","W138",IF(G216&gt;I216,_xlfn.CONCAT("W138-",RIGHT(F216,LEN(F216) - FIND("-",F216))), _xlfn.CONCAT("W138-",RIGHT(H216,LEN(H216) - FIND("-",H216)))))</f>
        <v>W138-LA PREMIER BLACK</v>
      </c>
      <c r="I221" s="90">
        <v>6.7</v>
      </c>
      <c r="J221" s="90">
        <v>178</v>
      </c>
      <c r="K221" s="90">
        <v>177</v>
      </c>
      <c r="L221" s="90" t="str">
        <f t="shared" si="34"/>
        <v>12B-158</v>
      </c>
      <c r="N221" s="62" t="str">
        <f t="shared" si="35"/>
        <v>pt_13-16 semi</v>
      </c>
    </row>
    <row r="222" spans="1:14" ht="14.1" customHeight="1">
      <c r="A222" s="69">
        <f t="shared" si="32"/>
        <v>46228</v>
      </c>
      <c r="B222" s="70">
        <f>'CHICLETS MASTER S2'!K64</f>
        <v>0.71527777777777801</v>
      </c>
      <c r="C222" s="71" t="s">
        <v>260</v>
      </c>
      <c r="D222" s="71" t="str">
        <f t="shared" si="33"/>
        <v>MISSION VIEJO HS</v>
      </c>
      <c r="E222" s="71">
        <v>162</v>
      </c>
      <c r="F222" s="90" t="str">
        <f>IF(G216="","L138",IF(G216&lt;I216,_xlfn.CONCAT("L138-",RIGHT(F216,LEN(F216) - FIND("-",F216))), _xlfn.CONCAT("L138-",RIGHT(H216,LEN(H216) - FIND("-",H216)))))</f>
        <v>L138-ROSE BOWL RED</v>
      </c>
      <c r="G222" s="90">
        <v>13</v>
      </c>
      <c r="H222" s="90" t="str">
        <f>IF(G215="","L134",IF(G215&lt;I215,_xlfn.CONCAT("L134-",RIGHT(F215,LEN(F215) - FIND("-",F215))), _xlfn.CONCAT("L134-",RIGHT(H215,LEN(H215) - FIND("-",H215)))))</f>
        <v>L134-CDM BLUE</v>
      </c>
      <c r="I222" s="90">
        <v>9</v>
      </c>
      <c r="J222" s="90">
        <v>170</v>
      </c>
      <c r="K222" s="90">
        <v>169</v>
      </c>
      <c r="L222" s="90" t="str">
        <f t="shared" si="34"/>
        <v>12B-162</v>
      </c>
      <c r="N222" s="62" t="str">
        <f t="shared" si="35"/>
        <v>pt_17-20 semi</v>
      </c>
    </row>
    <row r="223" spans="1:14" ht="14.1" customHeight="1" thickBot="1">
      <c r="A223" s="78"/>
      <c r="B223" s="78"/>
      <c r="C223" s="60"/>
      <c r="D223" s="60"/>
      <c r="E223" s="60"/>
      <c r="F223" s="60"/>
      <c r="G223" s="64"/>
      <c r="H223" s="60"/>
      <c r="I223" s="60"/>
      <c r="J223" s="60"/>
      <c r="K223" s="60"/>
      <c r="L223" s="60"/>
    </row>
    <row r="224" spans="1:14" ht="14.1" customHeight="1" thickBot="1">
      <c r="B224" s="60"/>
      <c r="C224" s="60"/>
      <c r="D224" s="65" t="str">
        <f>'CHICLETS MASTER S2'!$M$51</f>
        <v>SAN CLEMENTE HS</v>
      </c>
      <c r="E224" s="60"/>
      <c r="F224" s="60"/>
      <c r="G224" s="64"/>
      <c r="H224" s="60"/>
      <c r="I224" s="60"/>
      <c r="J224" s="60"/>
      <c r="K224" s="60"/>
      <c r="L224" s="60"/>
    </row>
    <row r="225" spans="1:14" ht="14.1" customHeight="1">
      <c r="A225" s="337" t="s">
        <v>124</v>
      </c>
      <c r="B225" s="337" t="s">
        <v>125</v>
      </c>
      <c r="C225" s="337" t="s">
        <v>126</v>
      </c>
      <c r="D225" s="337" t="s">
        <v>127</v>
      </c>
      <c r="E225" s="337" t="s">
        <v>128</v>
      </c>
      <c r="F225" s="337" t="s">
        <v>129</v>
      </c>
      <c r="G225" s="337" t="s">
        <v>130</v>
      </c>
      <c r="H225" s="337" t="s">
        <v>131</v>
      </c>
      <c r="I225" s="337" t="s">
        <v>130</v>
      </c>
      <c r="J225" s="338" t="s">
        <v>132</v>
      </c>
      <c r="K225" s="338" t="s">
        <v>133</v>
      </c>
      <c r="L225" s="337" t="s">
        <v>134</v>
      </c>
    </row>
    <row r="226" spans="1:14" ht="14.1" customHeight="1">
      <c r="A226" s="69">
        <f t="shared" ref="A226:A237" si="36">$A$193</f>
        <v>46228</v>
      </c>
      <c r="B226" s="70">
        <f>'CHICLETS MASTER S2'!K53</f>
        <v>0.33333333333333331</v>
      </c>
      <c r="C226" s="71" t="s">
        <v>237</v>
      </c>
      <c r="D226" s="71" t="str">
        <f t="shared" ref="D226:D237" si="37">$D$224</f>
        <v>SAN CLEMENTE HS</v>
      </c>
      <c r="E226" s="71">
        <v>119</v>
      </c>
      <c r="F226" s="155" t="s">
        <v>448</v>
      </c>
      <c r="G226" s="155">
        <v>12</v>
      </c>
      <c r="H226" s="155" t="str">
        <f>IF(G189="","W112",IF(G189&gt;I189,_xlfn.CONCAT("W112-",RIGHT(F189,LEN(F189) - FIND("-",F189))), _xlfn.CONCAT("W112-",RIGHT(H189,LEN(H189) - FIND("-",H189)))))</f>
        <v>W112-PAC</v>
      </c>
      <c r="I226" s="155">
        <v>8</v>
      </c>
      <c r="J226" s="155">
        <v>143</v>
      </c>
      <c r="K226" s="155">
        <v>151</v>
      </c>
      <c r="L226" s="155" t="str">
        <f t="shared" ref="L226:L237" si="38">IF(E226="","",$L$15&amp;"-"&amp;TEXT(E226,"000"))</f>
        <v>12B-119</v>
      </c>
      <c r="N226" s="62" t="str">
        <f t="shared" ref="N226:N237" si="39">$L$255&amp;C226</f>
        <v>au_5-8 v 9-12</v>
      </c>
    </row>
    <row r="227" spans="1:14" ht="14.1" customHeight="1">
      <c r="A227" s="69">
        <f t="shared" si="36"/>
        <v>46228</v>
      </c>
      <c r="B227" s="70">
        <f>'CHICLETS MASTER S2'!K54</f>
        <v>0.36805555555555558</v>
      </c>
      <c r="C227" s="71" t="s">
        <v>237</v>
      </c>
      <c r="D227" s="71" t="str">
        <f t="shared" si="37"/>
        <v>SAN CLEMENTE HS</v>
      </c>
      <c r="E227" s="71">
        <v>123</v>
      </c>
      <c r="F227" s="155" t="s">
        <v>449</v>
      </c>
      <c r="G227" s="155">
        <v>5</v>
      </c>
      <c r="H227" s="155" t="str">
        <f>IF(G171="","W115",IF(G171&gt;I171,_xlfn.CONCAT("W115-",RIGHT(F171,LEN(F171) - FIND("-",F171))), _xlfn.CONCAT("W115-",RIGHT(H171,LEN(H171) - FIND("-",H171)))))</f>
        <v>W115-DAVIS BLUE</v>
      </c>
      <c r="I227" s="155">
        <v>11</v>
      </c>
      <c r="J227" s="155">
        <v>143</v>
      </c>
      <c r="K227" s="155">
        <v>151</v>
      </c>
      <c r="L227" s="155" t="str">
        <f t="shared" si="38"/>
        <v>12B-123</v>
      </c>
      <c r="N227" s="62" t="str">
        <f t="shared" si="39"/>
        <v>au_5-8 v 9-12</v>
      </c>
    </row>
    <row r="228" spans="1:14" ht="14.1" customHeight="1">
      <c r="A228" s="69">
        <f t="shared" si="36"/>
        <v>46228</v>
      </c>
      <c r="B228" s="70">
        <f>'CHICLETS MASTER S2'!K55</f>
        <v>0.40277777777777801</v>
      </c>
      <c r="C228" s="71" t="s">
        <v>237</v>
      </c>
      <c r="D228" s="71" t="str">
        <f t="shared" si="37"/>
        <v>SAN CLEMENTE HS</v>
      </c>
      <c r="E228" s="71">
        <v>127</v>
      </c>
      <c r="F228" s="155" t="s">
        <v>450</v>
      </c>
      <c r="G228" s="155">
        <v>10.3</v>
      </c>
      <c r="H228" s="155" t="str">
        <f>IF(G190="","W116",IF(G190&gt;I190,_xlfn.CONCAT("W116-",RIGHT(F190,LEN(F190) - FIND("-",F190))), _xlfn.CONCAT("W116-",RIGHT(H190,LEN(H190) - FIND("-",H190)))))</f>
        <v>W116-CHICAGO PARK</v>
      </c>
      <c r="I228" s="155">
        <v>10.1</v>
      </c>
      <c r="J228" s="155">
        <v>147</v>
      </c>
      <c r="K228" s="155">
        <v>155</v>
      </c>
      <c r="L228" s="155" t="str">
        <f t="shared" si="38"/>
        <v>12B-127</v>
      </c>
      <c r="N228" s="62" t="str">
        <f t="shared" si="39"/>
        <v>au_5-8 v 9-12</v>
      </c>
    </row>
    <row r="229" spans="1:14" ht="14.1" customHeight="1">
      <c r="A229" s="69">
        <f t="shared" si="36"/>
        <v>46228</v>
      </c>
      <c r="B229" s="70">
        <f>'CHICLETS MASTER S2'!K56</f>
        <v>0.4375</v>
      </c>
      <c r="C229" s="71" t="s">
        <v>237</v>
      </c>
      <c r="D229" s="71" t="str">
        <f t="shared" si="37"/>
        <v>SAN CLEMENTE HS</v>
      </c>
      <c r="E229" s="71">
        <v>131</v>
      </c>
      <c r="F229" s="155" t="s">
        <v>451</v>
      </c>
      <c r="G229" s="155">
        <v>14</v>
      </c>
      <c r="H229" s="155" t="str">
        <f>IF(G170="","W111",IF(G170&gt;I170,_xlfn.CONCAT("W111-",RIGHT(F170,LEN(F170) - FIND("-",F170))), _xlfn.CONCAT("W111-",RIGHT(H170,LEN(H170) - FIND("-",H170)))))</f>
        <v>W111-STANFORD BLACK</v>
      </c>
      <c r="I229" s="155">
        <v>8</v>
      </c>
      <c r="J229" s="155">
        <v>147</v>
      </c>
      <c r="K229" s="155">
        <v>155</v>
      </c>
      <c r="L229" s="155" t="str">
        <f t="shared" si="38"/>
        <v>12B-131</v>
      </c>
      <c r="N229" s="62" t="str">
        <f t="shared" si="39"/>
        <v>au_5-8 v 9-12</v>
      </c>
    </row>
    <row r="230" spans="1:14" ht="14.1" customHeight="1">
      <c r="A230" s="69">
        <f t="shared" si="36"/>
        <v>46228</v>
      </c>
      <c r="B230" s="70">
        <f>'CHICLETS MASTER S2'!K57</f>
        <v>0.47222222222222199</v>
      </c>
      <c r="C230" s="71" t="s">
        <v>242</v>
      </c>
      <c r="D230" s="71" t="str">
        <f t="shared" si="37"/>
        <v>SAN CLEMENTE HS</v>
      </c>
      <c r="E230" s="71">
        <v>135</v>
      </c>
      <c r="F230" s="155" t="s">
        <v>452</v>
      </c>
      <c r="G230" s="155">
        <v>13</v>
      </c>
      <c r="H230" s="155" t="s">
        <v>453</v>
      </c>
      <c r="I230" s="155">
        <v>10</v>
      </c>
      <c r="J230" s="155">
        <v>172</v>
      </c>
      <c r="K230" s="155">
        <v>159</v>
      </c>
      <c r="L230" s="155" t="str">
        <f t="shared" si="38"/>
        <v>12B-135</v>
      </c>
      <c r="N230" s="62" t="str">
        <f t="shared" si="39"/>
        <v>au_1-2 v 3-4</v>
      </c>
    </row>
    <row r="231" spans="1:14" ht="14.1" customHeight="1">
      <c r="A231" s="69">
        <f t="shared" si="36"/>
        <v>46228</v>
      </c>
      <c r="B231" s="70">
        <f>'CHICLETS MASTER S2'!K58</f>
        <v>0.50694444444444398</v>
      </c>
      <c r="C231" s="71" t="s">
        <v>242</v>
      </c>
      <c r="D231" s="71" t="str">
        <f t="shared" si="37"/>
        <v>SAN CLEMENTE HS</v>
      </c>
      <c r="E231" s="71">
        <v>139</v>
      </c>
      <c r="F231" s="155" t="s">
        <v>454</v>
      </c>
      <c r="G231" s="155">
        <v>5</v>
      </c>
      <c r="H231" s="155" t="s">
        <v>455</v>
      </c>
      <c r="I231" s="155">
        <v>3</v>
      </c>
      <c r="J231" s="155">
        <v>171</v>
      </c>
      <c r="K231" s="155">
        <v>163</v>
      </c>
      <c r="L231" s="155" t="str">
        <f t="shared" si="38"/>
        <v>12B-139</v>
      </c>
      <c r="N231" s="62" t="str">
        <f t="shared" si="39"/>
        <v>au_1-2 v 3-4</v>
      </c>
    </row>
    <row r="232" spans="1:14" ht="14.1" customHeight="1">
      <c r="A232" s="69">
        <f t="shared" si="36"/>
        <v>46228</v>
      </c>
      <c r="B232" s="70">
        <f>'CHICLETS MASTER S2'!K59</f>
        <v>0.54166666666666696</v>
      </c>
      <c r="C232" s="71" t="s">
        <v>247</v>
      </c>
      <c r="D232" s="71" t="str">
        <f t="shared" si="37"/>
        <v>SAN CLEMENTE HS</v>
      </c>
      <c r="E232" s="71">
        <v>143</v>
      </c>
      <c r="F232" s="155" t="str">
        <f>IF(G226="","W119",IF(G226&gt;I226,_xlfn.CONCAT("W119-",RIGHT(F226,LEN(F226) - FIND("-",F226))), _xlfn.CONCAT("W119-",RIGHT(H226,LEN(H226) - FIND("-",H226)))))</f>
        <v>W119-YPRO</v>
      </c>
      <c r="G232" s="155">
        <v>2</v>
      </c>
      <c r="H232" s="155" t="str">
        <f>IF(G227="","W123",IF(G227&gt;I227,_xlfn.CONCAT("W123-",RIGHT(F227,LEN(F227) - FIND("-",F227))), _xlfn.CONCAT("W123-",RIGHT(H227,LEN(H227) - FIND("-",H227)))))</f>
        <v>W123-DAVIS BLUE</v>
      </c>
      <c r="I232" s="155">
        <v>12</v>
      </c>
      <c r="J232" s="155">
        <v>159</v>
      </c>
      <c r="K232" s="155">
        <v>188</v>
      </c>
      <c r="L232" s="155" t="str">
        <f t="shared" si="38"/>
        <v>12B-143</v>
      </c>
      <c r="N232" s="62" t="str">
        <f t="shared" si="39"/>
        <v>au_5-6 v 7-8</v>
      </c>
    </row>
    <row r="233" spans="1:14" ht="14.1" customHeight="1">
      <c r="A233" s="69">
        <f t="shared" si="36"/>
        <v>46228</v>
      </c>
      <c r="B233" s="70">
        <f>'CHICLETS MASTER S2'!K60</f>
        <v>0.57638888888888895</v>
      </c>
      <c r="C233" s="71" t="s">
        <v>247</v>
      </c>
      <c r="D233" s="71" t="str">
        <f t="shared" si="37"/>
        <v>SAN CLEMENTE HS</v>
      </c>
      <c r="E233" s="71">
        <v>147</v>
      </c>
      <c r="F233" s="155" t="str">
        <f>IF(G228="","W127",IF(G228&gt;I228,_xlfn.CONCAT("W127-",RIGHT(F228,LEN(F228) - FIND("-",F228))), _xlfn.CONCAT("W127-",RIGHT(H228,LEN(H228) - FIND("-",H228)))))</f>
        <v>W127-SMAC BLACK</v>
      </c>
      <c r="G233" s="155">
        <v>3</v>
      </c>
      <c r="H233" s="155" t="str">
        <f>IF(G229="","W131",IF(G229&gt;I229,_xlfn.CONCAT("W131-",RIGHT(F229,LEN(F229) - FIND("-",F229))), _xlfn.CONCAT("W131-",RIGHT(H229,LEN(H229) - FIND("-",H229)))))</f>
        <v>W131-PEGASUS BLUE</v>
      </c>
      <c r="I233" s="155">
        <v>10</v>
      </c>
      <c r="J233" s="155">
        <v>163</v>
      </c>
      <c r="K233" s="155">
        <v>188</v>
      </c>
      <c r="L233" s="155" t="str">
        <f t="shared" si="38"/>
        <v>12B-147</v>
      </c>
      <c r="N233" s="62" t="str">
        <f t="shared" si="39"/>
        <v>au_5-6 v 7-8</v>
      </c>
    </row>
    <row r="234" spans="1:14" ht="14.1" customHeight="1">
      <c r="A234" s="69">
        <f t="shared" si="36"/>
        <v>46228</v>
      </c>
      <c r="B234" s="70">
        <f>'CHICLETS MASTER S2'!K61</f>
        <v>0.61111111111111105</v>
      </c>
      <c r="C234" s="71" t="s">
        <v>248</v>
      </c>
      <c r="D234" s="71" t="str">
        <f t="shared" si="37"/>
        <v>SAN CLEMENTE HS</v>
      </c>
      <c r="E234" s="71">
        <v>151</v>
      </c>
      <c r="F234" s="155" t="str">
        <f>IF(G227="","L123",IF(G227&lt;I227,_xlfn.CONCAT("L123-",RIGHT(F227,LEN(F227) - FIND("-",F227))), _xlfn.CONCAT("L123-",RIGHT(H227,LEN(H227) - FIND("-",H227)))))</f>
        <v>L123-680 BLUE</v>
      </c>
      <c r="G234" s="155">
        <v>7</v>
      </c>
      <c r="H234" s="155" t="str">
        <f>IF(G226="","L119",IF(G226&lt;I226,_xlfn.CONCAT("L119-",RIGHT(F226,LEN(F226) - FIND("-",F226))), _xlfn.CONCAT("L119-",RIGHT(H226,LEN(H226) - FIND("-",H226)))))</f>
        <v>L119-PAC</v>
      </c>
      <c r="I234" s="155">
        <v>6</v>
      </c>
      <c r="J234" s="155">
        <v>183</v>
      </c>
      <c r="K234" s="155">
        <v>184</v>
      </c>
      <c r="L234" s="155" t="str">
        <f t="shared" si="38"/>
        <v>12B-151</v>
      </c>
      <c r="N234" s="62" t="str">
        <f t="shared" si="39"/>
        <v>au_9-12 semi</v>
      </c>
    </row>
    <row r="235" spans="1:14" ht="14.1" customHeight="1">
      <c r="A235" s="69">
        <f t="shared" si="36"/>
        <v>46228</v>
      </c>
      <c r="B235" s="70">
        <f>'CHICLETS MASTER S2'!K62</f>
        <v>0.64583333333333304</v>
      </c>
      <c r="C235" s="71" t="s">
        <v>248</v>
      </c>
      <c r="D235" s="71" t="str">
        <f t="shared" si="37"/>
        <v>SAN CLEMENTE HS</v>
      </c>
      <c r="E235" s="71">
        <v>155</v>
      </c>
      <c r="F235" s="155" t="str">
        <f>IF(G229="","L131",IF(G229&lt;I229,_xlfn.CONCAT("L131-",RIGHT(F229,LEN(F229) - FIND("-",F229))), _xlfn.CONCAT("L131-",RIGHT(H229,LEN(H229) - FIND("-",H229)))))</f>
        <v>L131-STANFORD BLACK</v>
      </c>
      <c r="G235" s="156">
        <v>10</v>
      </c>
      <c r="H235" s="155" t="str">
        <f>IF(G228="","L127",IF(G228&lt;I228,_xlfn.CONCAT("L127-",RIGHT(F228,LEN(F228) - FIND("-",F228))), _xlfn.CONCAT("L127-",RIGHT(H228,LEN(H228) - FIND("-",H228)))))</f>
        <v>L127-CHICAGO PARK</v>
      </c>
      <c r="I235" s="155">
        <v>7</v>
      </c>
      <c r="J235" s="155">
        <v>183</v>
      </c>
      <c r="K235" s="155">
        <v>184</v>
      </c>
      <c r="L235" s="155" t="str">
        <f t="shared" si="38"/>
        <v>12B-155</v>
      </c>
      <c r="N235" s="62" t="str">
        <f t="shared" si="39"/>
        <v>au_9-12 semi</v>
      </c>
    </row>
    <row r="236" spans="1:14" ht="14.1" customHeight="1">
      <c r="A236" s="69">
        <f t="shared" si="36"/>
        <v>46228</v>
      </c>
      <c r="B236" s="70">
        <f>'CHICLETS MASTER S2'!K63</f>
        <v>0.68055555555555602</v>
      </c>
      <c r="C236" s="71" t="s">
        <v>439</v>
      </c>
      <c r="D236" s="71" t="str">
        <f t="shared" si="37"/>
        <v>SAN CLEMENTE HS</v>
      </c>
      <c r="E236" s="71">
        <v>159</v>
      </c>
      <c r="F236" s="155" t="str">
        <f>IF(G230="","L135",IF(G230&lt;I230,_xlfn.CONCAT("L135-",RIGHT(F230,LEN(F230) - FIND("-",F230))), _xlfn.CONCAT("L135-",RIGHT(H230,LEN(H230) - FIND("-",H230)))))</f>
        <v>L135-SD SHORES</v>
      </c>
      <c r="G236" s="155">
        <v>10</v>
      </c>
      <c r="H236" s="155" t="str">
        <f>IF(G232="","W143",IF(G232&gt;I232,_xlfn.CONCAT("W143-",RIGHT(F232,LEN(F232) - FIND("-",F232))), _xlfn.CONCAT("W143-",RIGHT(H232,LEN(H232) - FIND("-",H232)))))</f>
        <v>W143-DAVIS BLUE</v>
      </c>
      <c r="I236" s="155">
        <v>9</v>
      </c>
      <c r="J236" s="155">
        <v>171</v>
      </c>
      <c r="K236" s="155">
        <v>187</v>
      </c>
      <c r="L236" s="155" t="str">
        <f t="shared" si="38"/>
        <v>12B-159</v>
      </c>
      <c r="N236" s="62" t="str">
        <f t="shared" si="39"/>
        <v>au_play to semi</v>
      </c>
    </row>
    <row r="237" spans="1:14" ht="14.1" customHeight="1">
      <c r="A237" s="69">
        <f t="shared" si="36"/>
        <v>46228</v>
      </c>
      <c r="B237" s="70">
        <f>'CHICLETS MASTER S2'!K64</f>
        <v>0.71527777777777801</v>
      </c>
      <c r="C237" s="71" t="s">
        <v>439</v>
      </c>
      <c r="D237" s="71" t="str">
        <f t="shared" si="37"/>
        <v>SAN CLEMENTE HS</v>
      </c>
      <c r="E237" s="71">
        <v>163</v>
      </c>
      <c r="F237" s="155" t="str">
        <f>IF(G231="","L139",IF(G231&lt;I231,_xlfn.CONCAT("L139-",RIGHT(F231,LEN(F231) - FIND("-",F231))), _xlfn.CONCAT("L139-",RIGHT(H231,LEN(H231) - FIND("-",H231)))))</f>
        <v>L139-SANTA CRUZ</v>
      </c>
      <c r="G237" s="155">
        <v>4</v>
      </c>
      <c r="H237" s="155" t="str">
        <f>IF(G233="","W147",IF(G233&gt;I233,_xlfn.CONCAT("W147-",RIGHT(F233,LEN(F233) - FIND("-",F233))), _xlfn.CONCAT("W147-",RIGHT(H233,LEN(H233) - FIND("-",H233)))))</f>
        <v>W147-PEGASUS BLUE</v>
      </c>
      <c r="I237" s="155">
        <v>13</v>
      </c>
      <c r="J237" s="155">
        <v>172</v>
      </c>
      <c r="K237" s="155">
        <v>187</v>
      </c>
      <c r="L237" s="155" t="str">
        <f t="shared" si="38"/>
        <v>12B-163</v>
      </c>
      <c r="N237" s="62" t="str">
        <f t="shared" si="39"/>
        <v>au_play to semi</v>
      </c>
    </row>
    <row r="238" spans="1:14" ht="14.1" customHeight="1" thickBot="1">
      <c r="G238" s="62"/>
    </row>
    <row r="239" spans="1:14" ht="14.1" customHeight="1" thickBot="1">
      <c r="A239" s="78"/>
      <c r="B239" s="79"/>
      <c r="C239" s="60"/>
      <c r="D239" s="68" t="str">
        <f>'CHICLETS MASTER S2'!$U$51</f>
        <v>PORTOLA HS 2</v>
      </c>
      <c r="E239" s="60"/>
      <c r="F239" s="60"/>
      <c r="G239" s="64"/>
      <c r="H239" s="60"/>
      <c r="I239" s="60"/>
      <c r="J239" s="60"/>
      <c r="K239" s="60"/>
      <c r="L239" s="60"/>
    </row>
    <row r="240" spans="1:14" ht="14.1" customHeight="1">
      <c r="A240" s="337" t="s">
        <v>124</v>
      </c>
      <c r="B240" s="337" t="s">
        <v>125</v>
      </c>
      <c r="C240" s="337" t="s">
        <v>126</v>
      </c>
      <c r="D240" s="337" t="s">
        <v>127</v>
      </c>
      <c r="E240" s="337" t="s">
        <v>128</v>
      </c>
      <c r="F240" s="337" t="s">
        <v>129</v>
      </c>
      <c r="G240" s="337" t="s">
        <v>130</v>
      </c>
      <c r="H240" s="337" t="s">
        <v>131</v>
      </c>
      <c r="I240" s="337" t="s">
        <v>130</v>
      </c>
      <c r="J240" s="338" t="s">
        <v>132</v>
      </c>
      <c r="K240" s="338" t="s">
        <v>133</v>
      </c>
      <c r="L240" s="337" t="s">
        <v>134</v>
      </c>
    </row>
    <row r="241" spans="1:14" ht="14.1" customHeight="1">
      <c r="A241" s="69">
        <f t="shared" ref="A241:A252" si="40">$A$193</f>
        <v>46228</v>
      </c>
      <c r="B241" s="70">
        <f>'CHICLETS MASTER S2'!I53</f>
        <v>0.33333333333333331</v>
      </c>
      <c r="C241" s="71" t="s">
        <v>249</v>
      </c>
      <c r="D241" s="71" t="str">
        <f t="shared" ref="D241:D252" si="41">$D$239</f>
        <v>PORTOLA HS 2</v>
      </c>
      <c r="E241" s="71">
        <v>120</v>
      </c>
      <c r="F241" s="155" t="s">
        <v>456</v>
      </c>
      <c r="G241" s="155">
        <v>15</v>
      </c>
      <c r="H241" s="155" t="s">
        <v>457</v>
      </c>
      <c r="I241" s="155">
        <v>4</v>
      </c>
      <c r="J241" s="155"/>
      <c r="K241" s="155"/>
      <c r="L241" s="155" t="str">
        <f t="shared" ref="L241:L252" si="42">IF(E241="","",$L$15&amp;"-"&amp;TEXT(E241,"000"))</f>
        <v>12B-120</v>
      </c>
      <c r="N241" s="62" t="str">
        <f t="shared" ref="N241:N252" si="43">$L$255&amp;C241</f>
        <v>au_21-24 RR</v>
      </c>
    </row>
    <row r="242" spans="1:14" ht="14.1" customHeight="1">
      <c r="A242" s="69">
        <f t="shared" si="40"/>
        <v>46228</v>
      </c>
      <c r="B242" s="70">
        <f>'CHICLETS MASTER S2'!I54</f>
        <v>0.36805555555555558</v>
      </c>
      <c r="C242" s="71" t="s">
        <v>249</v>
      </c>
      <c r="D242" s="71" t="str">
        <f t="shared" si="41"/>
        <v>PORTOLA HS 2</v>
      </c>
      <c r="E242" s="71">
        <v>124</v>
      </c>
      <c r="F242" s="155" t="s">
        <v>458</v>
      </c>
      <c r="G242" s="155">
        <v>16</v>
      </c>
      <c r="H242" s="155" t="s">
        <v>459</v>
      </c>
      <c r="I242" s="155">
        <v>7</v>
      </c>
      <c r="J242" s="155"/>
      <c r="K242" s="155"/>
      <c r="L242" s="155" t="str">
        <f t="shared" si="42"/>
        <v>12B-124</v>
      </c>
      <c r="N242" s="62" t="str">
        <f t="shared" si="43"/>
        <v>au_21-24 RR</v>
      </c>
    </row>
    <row r="243" spans="1:14" ht="14.1" customHeight="1">
      <c r="A243" s="69">
        <f t="shared" si="40"/>
        <v>46228</v>
      </c>
      <c r="B243" s="70">
        <f>'CHICLETS MASTER S2'!I55</f>
        <v>0.40277777777777801</v>
      </c>
      <c r="C243" s="71" t="s">
        <v>254</v>
      </c>
      <c r="D243" s="71" t="str">
        <f t="shared" si="41"/>
        <v>PORTOLA HS 2</v>
      </c>
      <c r="E243" s="71">
        <v>128</v>
      </c>
      <c r="F243" s="155" t="str">
        <f>IF(G171="","L115",IF(G171&lt;I171,_xlfn.CONCAT("L115-",RIGHT(F171,LEN(F171) - FIND("-",F171))), _xlfn.CONCAT("L115-",RIGHT(H171,LEN(H171) - FIND("-",H171)))))</f>
        <v>L115-CENTRAL COAST</v>
      </c>
      <c r="G243" s="155">
        <v>13</v>
      </c>
      <c r="H243" s="155" t="s">
        <v>460</v>
      </c>
      <c r="I243" s="155">
        <v>2</v>
      </c>
      <c r="J243" s="155">
        <v>152</v>
      </c>
      <c r="K243" s="155">
        <v>156</v>
      </c>
      <c r="L243" s="155" t="str">
        <f t="shared" si="42"/>
        <v>12B-128</v>
      </c>
      <c r="N243" s="62" t="str">
        <f t="shared" si="43"/>
        <v>au_13-20 qtr</v>
      </c>
    </row>
    <row r="244" spans="1:14" ht="14.1" customHeight="1">
      <c r="A244" s="69">
        <f t="shared" si="40"/>
        <v>46228</v>
      </c>
      <c r="B244" s="70">
        <f>'CHICLETS MASTER S2'!I56</f>
        <v>0.4375</v>
      </c>
      <c r="C244" s="71" t="s">
        <v>254</v>
      </c>
      <c r="D244" s="71" t="str">
        <f t="shared" si="41"/>
        <v>PORTOLA HS 2</v>
      </c>
      <c r="E244" s="71">
        <v>132</v>
      </c>
      <c r="F244" s="155" t="str">
        <f>IF(G190="","L116",IF(G190&lt;I190,_xlfn.CONCAT("L116-",RIGHT(F190,LEN(F190) - FIND("-",F190))), _xlfn.CONCAT("L116-",RIGHT(H190,LEN(H190) - FIND("-",H190)))))</f>
        <v>L116-SOUTH COAST</v>
      </c>
      <c r="G244" s="155">
        <v>11</v>
      </c>
      <c r="H244" s="155" t="s">
        <v>461</v>
      </c>
      <c r="I244" s="155">
        <v>5</v>
      </c>
      <c r="J244" s="155">
        <v>152</v>
      </c>
      <c r="K244" s="155">
        <v>156</v>
      </c>
      <c r="L244" s="155" t="str">
        <f t="shared" si="42"/>
        <v>12B-132</v>
      </c>
      <c r="N244" s="62" t="str">
        <f t="shared" si="43"/>
        <v>au_13-20 qtr</v>
      </c>
    </row>
    <row r="245" spans="1:14" ht="14.1" customHeight="1">
      <c r="A245" s="69">
        <f t="shared" si="40"/>
        <v>46228</v>
      </c>
      <c r="B245" s="70">
        <f>'CHICLETS MASTER S2'!I57</f>
        <v>0.47222222222222199</v>
      </c>
      <c r="C245" s="71" t="s">
        <v>254</v>
      </c>
      <c r="D245" s="71" t="str">
        <f t="shared" si="41"/>
        <v>PORTOLA HS 2</v>
      </c>
      <c r="E245" s="71">
        <v>136</v>
      </c>
      <c r="F245" s="155" t="str">
        <f>IF(G170="","L111",IF(G170&lt;I170,_xlfn.CONCAT("L111-",RIGHT(F170,LEN(F170) - FIND("-",F170))), _xlfn.CONCAT("L111-",RIGHT(H170,LEN(H170) - FIND("-",H170)))))</f>
        <v>L111-LYONS AQUATICS</v>
      </c>
      <c r="G245" s="155">
        <v>12</v>
      </c>
      <c r="H245" s="155" t="s">
        <v>462</v>
      </c>
      <c r="I245" s="155">
        <v>6</v>
      </c>
      <c r="J245" s="155">
        <v>160</v>
      </c>
      <c r="K245" s="155">
        <v>164</v>
      </c>
      <c r="L245" s="155" t="str">
        <f t="shared" si="42"/>
        <v>12B-136</v>
      </c>
      <c r="N245" s="62" t="str">
        <f t="shared" si="43"/>
        <v>au_13-20 qtr</v>
      </c>
    </row>
    <row r="246" spans="1:14" ht="14.1" customHeight="1">
      <c r="A246" s="69">
        <f t="shared" si="40"/>
        <v>46228</v>
      </c>
      <c r="B246" s="70">
        <f>'CHICLETS MASTER S2'!I58</f>
        <v>0.50694444444444398</v>
      </c>
      <c r="C246" s="71" t="s">
        <v>254</v>
      </c>
      <c r="D246" s="71" t="str">
        <f t="shared" si="41"/>
        <v>PORTOLA HS 2</v>
      </c>
      <c r="E246" s="71">
        <v>140</v>
      </c>
      <c r="F246" s="155" t="str">
        <f>IF(G189="","L112",IF(G189&lt;I189,_xlfn.CONCAT("L112-",RIGHT(F189,LEN(F189) - FIND("-",F189))), _xlfn.CONCAT("L112-",RIGHT(H189,LEN(H189) - FIND("-",H189)))))</f>
        <v>L112-GREENWICH WHITE</v>
      </c>
      <c r="G246" s="155">
        <v>23</v>
      </c>
      <c r="H246" s="155" t="s">
        <v>463</v>
      </c>
      <c r="I246" s="155">
        <v>6</v>
      </c>
      <c r="J246" s="155">
        <v>160</v>
      </c>
      <c r="K246" s="155">
        <v>164</v>
      </c>
      <c r="L246" s="155" t="str">
        <f t="shared" si="42"/>
        <v>12B-140</v>
      </c>
      <c r="N246" s="62" t="str">
        <f t="shared" si="43"/>
        <v>au_13-20 qtr</v>
      </c>
    </row>
    <row r="247" spans="1:14" ht="14.1" customHeight="1">
      <c r="A247" s="69">
        <f t="shared" si="40"/>
        <v>46228</v>
      </c>
      <c r="B247" s="70">
        <f>'CHICLETS MASTER S2'!I59</f>
        <v>0.54166666666666696</v>
      </c>
      <c r="C247" s="71" t="s">
        <v>249</v>
      </c>
      <c r="D247" s="71" t="str">
        <f t="shared" si="41"/>
        <v>PORTOLA HS 2</v>
      </c>
      <c r="E247" s="71">
        <v>144</v>
      </c>
      <c r="F247" s="155" t="s">
        <v>456</v>
      </c>
      <c r="G247" s="155">
        <v>16</v>
      </c>
      <c r="H247" s="155" t="s">
        <v>459</v>
      </c>
      <c r="I247" s="155">
        <v>8</v>
      </c>
      <c r="J247" s="155"/>
      <c r="K247" s="155"/>
      <c r="L247" s="155" t="str">
        <f t="shared" si="42"/>
        <v>12B-144</v>
      </c>
      <c r="N247" s="62" t="str">
        <f t="shared" si="43"/>
        <v>au_21-24 RR</v>
      </c>
    </row>
    <row r="248" spans="1:14" ht="14.1" customHeight="1">
      <c r="A248" s="69">
        <f t="shared" si="40"/>
        <v>46228</v>
      </c>
      <c r="B248" s="70">
        <f>'CHICLETS MASTER S2'!I60</f>
        <v>0.57638888888888895</v>
      </c>
      <c r="C248" s="71" t="s">
        <v>249</v>
      </c>
      <c r="D248" s="71" t="str">
        <f t="shared" si="41"/>
        <v>PORTOLA HS 2</v>
      </c>
      <c r="E248" s="71">
        <v>148</v>
      </c>
      <c r="F248" s="165" t="s">
        <v>458</v>
      </c>
      <c r="G248" s="155">
        <v>19</v>
      </c>
      <c r="H248" s="155" t="s">
        <v>457</v>
      </c>
      <c r="I248" s="155">
        <v>12</v>
      </c>
      <c r="J248" s="155"/>
      <c r="K248" s="155"/>
      <c r="L248" s="155" t="str">
        <f t="shared" si="42"/>
        <v>12B-148</v>
      </c>
      <c r="N248" s="62" t="str">
        <f t="shared" si="43"/>
        <v>au_21-24 RR</v>
      </c>
    </row>
    <row r="249" spans="1:14" ht="14.1" customHeight="1">
      <c r="A249" s="69">
        <f t="shared" si="40"/>
        <v>46228</v>
      </c>
      <c r="B249" s="70">
        <f>'CHICLETS MASTER S2'!I61</f>
        <v>0.61111111111111105</v>
      </c>
      <c r="C249" s="71" t="s">
        <v>259</v>
      </c>
      <c r="D249" s="71" t="str">
        <f t="shared" si="41"/>
        <v>PORTOLA HS 2</v>
      </c>
      <c r="E249" s="94">
        <v>152</v>
      </c>
      <c r="F249" s="158" t="str">
        <f>IF(G243="","W128",IF(G243&gt;I243,_xlfn.CONCAT("W128-",RIGHT(F243,LEN(F243) - FIND("-",F243))), _xlfn.CONCAT("W128-",RIGHT(H243,LEN(H243) - FIND("-",H243)))))</f>
        <v>W128-CENTRAL COAST</v>
      </c>
      <c r="G249" s="159">
        <v>11</v>
      </c>
      <c r="H249" s="155" t="str">
        <f>IF(G244="","W132",IF(G244&gt;I244,_xlfn.CONCAT("W132-",RIGHT(F244,LEN(F244) - FIND("-",F244))), _xlfn.CONCAT("W132-",RIGHT(H244,LEN(H244) - FIND("-",H244)))))</f>
        <v>W132-SOUTH COAST</v>
      </c>
      <c r="I249" s="155">
        <v>6</v>
      </c>
      <c r="J249" s="155">
        <v>179</v>
      </c>
      <c r="K249" s="155">
        <v>180</v>
      </c>
      <c r="L249" s="155" t="str">
        <f t="shared" si="42"/>
        <v>12B-152</v>
      </c>
      <c r="N249" s="62" t="str">
        <f t="shared" si="43"/>
        <v>au_13-16 semi</v>
      </c>
    </row>
    <row r="250" spans="1:14" ht="14.1" customHeight="1">
      <c r="A250" s="69">
        <f t="shared" si="40"/>
        <v>46228</v>
      </c>
      <c r="B250" s="70">
        <f>'CHICLETS MASTER S2'!I62</f>
        <v>0.64583333333333304</v>
      </c>
      <c r="C250" s="71" t="s">
        <v>260</v>
      </c>
      <c r="D250" s="71" t="str">
        <f t="shared" si="41"/>
        <v>PORTOLA HS 2</v>
      </c>
      <c r="E250" s="71">
        <v>156</v>
      </c>
      <c r="F250" s="160" t="str">
        <f>IF(G244="","L132",IF(G244&lt;I244,_xlfn.CONCAT("L132-",RIGHT(F244,LEN(F244) - FIND("-",F244))), _xlfn.CONCAT("L132-",RIGHT(H244,LEN(H244) - FIND("-",H244)))))</f>
        <v>L132-KERN PREMIER</v>
      </c>
      <c r="G250" s="155">
        <v>7</v>
      </c>
      <c r="H250" s="155" t="str">
        <f>IF(G243="","L128",IF(G243&lt;I243,_xlfn.CONCAT("L128-",RIGHT(F243,LEN(F243) - FIND("-",F243))), _xlfn.CONCAT("L128-",RIGHT(H243,LEN(H243) - FIND("-",H243)))))</f>
        <v>L128-BARCELONA LIONS</v>
      </c>
      <c r="I250" s="155">
        <v>5</v>
      </c>
      <c r="J250" s="155">
        <v>175</v>
      </c>
      <c r="K250" s="155">
        <v>176</v>
      </c>
      <c r="L250" s="155" t="str">
        <f t="shared" si="42"/>
        <v>12B-156</v>
      </c>
      <c r="N250" s="62" t="str">
        <f t="shared" si="43"/>
        <v>au_17-20 semi</v>
      </c>
    </row>
    <row r="251" spans="1:14" ht="14.1" customHeight="1">
      <c r="A251" s="69">
        <f t="shared" si="40"/>
        <v>46228</v>
      </c>
      <c r="B251" s="70">
        <f>'CHICLETS MASTER S2'!I63</f>
        <v>0.68055555555555602</v>
      </c>
      <c r="C251" s="71" t="s">
        <v>259</v>
      </c>
      <c r="D251" s="71" t="str">
        <f t="shared" si="41"/>
        <v>PORTOLA HS 2</v>
      </c>
      <c r="E251" s="71">
        <v>160</v>
      </c>
      <c r="F251" s="158" t="str">
        <f>IF(G245="","W136",IF(G245&gt;I245,_xlfn.CONCAT("W136-",RIGHT(F245,LEN(F245) - FIND("-",F245))), _xlfn.CONCAT("W136-",RIGHT(H245,LEN(H245) - FIND("-",H245)))))</f>
        <v>W136-LYONS AQUATICS</v>
      </c>
      <c r="G251" s="155">
        <v>6</v>
      </c>
      <c r="H251" s="155" t="str">
        <f>IF(G246="","W140",IF(G246&gt;I246,_xlfn.CONCAT("W140-",RIGHT(F246,LEN(F246) - FIND("-",F246))), _xlfn.CONCAT("W140-",RIGHT(H246,LEN(H246) - FIND("-",H246)))))</f>
        <v>W140-GREENWICH WHITE</v>
      </c>
      <c r="I251" s="155">
        <v>3</v>
      </c>
      <c r="J251" s="155">
        <v>179</v>
      </c>
      <c r="K251" s="155">
        <v>180</v>
      </c>
      <c r="L251" s="155" t="str">
        <f t="shared" si="42"/>
        <v>12B-160</v>
      </c>
      <c r="N251" s="62" t="str">
        <f t="shared" si="43"/>
        <v>au_13-16 semi</v>
      </c>
    </row>
    <row r="252" spans="1:14" ht="14.1" customHeight="1">
      <c r="A252" s="69">
        <f t="shared" si="40"/>
        <v>46228</v>
      </c>
      <c r="B252" s="70">
        <f>'CHICLETS MASTER S2'!I64</f>
        <v>0.71527777777777801</v>
      </c>
      <c r="C252" s="71" t="s">
        <v>260</v>
      </c>
      <c r="D252" s="71" t="str">
        <f t="shared" si="41"/>
        <v>PORTOLA HS 2</v>
      </c>
      <c r="E252" s="71">
        <v>164</v>
      </c>
      <c r="F252" s="155" t="str">
        <f>IF(G246="","L140",IF(G246&lt;I246,_xlfn.CONCAT("L140-",RIGHT(F246,LEN(F246) - FIND("-",F246))), _xlfn.CONCAT("L140-",RIGHT(H246,LEN(H246) - FIND("-",H246)))))</f>
        <v>L140-TOPAZ TSUNAMI</v>
      </c>
      <c r="G252" s="155">
        <v>7</v>
      </c>
      <c r="H252" s="155" t="str">
        <f>IF(G245="","L136",IF(G245&lt;I245,_xlfn.CONCAT("L136-",RIGHT(F245,LEN(F245) - FIND("-",F245))), _xlfn.CONCAT("L136-",RIGHT(H245,LEN(H245) - FIND("-",H245)))))</f>
        <v>L136-CAL REPUBLIC BLACK</v>
      </c>
      <c r="I252" s="155">
        <v>11</v>
      </c>
      <c r="J252" s="155">
        <v>175</v>
      </c>
      <c r="K252" s="155">
        <v>176</v>
      </c>
      <c r="L252" s="155" t="str">
        <f t="shared" si="42"/>
        <v>12B-164</v>
      </c>
      <c r="N252" s="62" t="str">
        <f t="shared" si="43"/>
        <v>au_17-20 semi</v>
      </c>
    </row>
    <row r="253" spans="1:14" ht="14.1" customHeight="1" thickBot="1">
      <c r="A253" s="78"/>
      <c r="B253" s="79"/>
      <c r="C253" s="60"/>
      <c r="D253" s="60"/>
      <c r="E253" s="60"/>
      <c r="F253" s="60"/>
      <c r="G253" s="64"/>
      <c r="H253" s="60"/>
      <c r="I253" s="60"/>
      <c r="J253" s="60"/>
      <c r="K253" s="60"/>
      <c r="L253" s="60"/>
    </row>
    <row r="254" spans="1:14" ht="14.1" customHeight="1" thickTop="1" thickBot="1">
      <c r="A254" s="68" t="s">
        <v>267</v>
      </c>
      <c r="B254" s="82"/>
      <c r="C254" s="82"/>
      <c r="D254" s="82"/>
      <c r="E254" s="82"/>
      <c r="F254" s="82"/>
      <c r="G254" s="83"/>
      <c r="H254" s="82"/>
      <c r="I254" s="82"/>
      <c r="J254" s="82"/>
      <c r="K254" s="82"/>
      <c r="L254" s="82"/>
    </row>
    <row r="255" spans="1:14" ht="14.1" customHeight="1" thickBot="1">
      <c r="A255" s="61">
        <v>46229</v>
      </c>
      <c r="G255" s="62"/>
      <c r="K255" s="62" t="s">
        <v>232</v>
      </c>
      <c r="L255" s="62" t="s">
        <v>233</v>
      </c>
    </row>
    <row r="256" spans="1:14" ht="14.1" customHeight="1" thickBot="1">
      <c r="A256" s="60"/>
      <c r="B256" s="60"/>
      <c r="C256" s="60"/>
      <c r="D256" s="65" t="str">
        <f>'CHICLETS MASTER S2'!$M$72</f>
        <v>SAN CLEMENTE HS</v>
      </c>
      <c r="E256" s="60"/>
      <c r="F256" s="60"/>
      <c r="G256" s="64"/>
      <c r="H256" s="60"/>
      <c r="I256" s="64"/>
      <c r="J256" s="60"/>
      <c r="K256" s="60"/>
      <c r="L256" s="60"/>
    </row>
    <row r="257" spans="1:14" ht="14.1" customHeight="1">
      <c r="A257" s="337" t="s">
        <v>124</v>
      </c>
      <c r="B257" s="337" t="s">
        <v>125</v>
      </c>
      <c r="C257" s="337" t="s">
        <v>126</v>
      </c>
      <c r="D257" s="337" t="s">
        <v>127</v>
      </c>
      <c r="E257" s="337" t="s">
        <v>128</v>
      </c>
      <c r="F257" s="337" t="s">
        <v>129</v>
      </c>
      <c r="G257" s="337" t="s">
        <v>130</v>
      </c>
      <c r="H257" s="337" t="s">
        <v>131</v>
      </c>
      <c r="I257" s="337" t="s">
        <v>130</v>
      </c>
      <c r="J257" s="338" t="s">
        <v>132</v>
      </c>
      <c r="K257" s="338" t="s">
        <v>133</v>
      </c>
      <c r="L257" s="337" t="s">
        <v>134</v>
      </c>
    </row>
    <row r="258" spans="1:14" ht="14.1" customHeight="1">
      <c r="A258" s="69">
        <f t="shared" ref="A258:A297" si="44">$A$255</f>
        <v>46229</v>
      </c>
      <c r="B258" s="130">
        <f>'CHICLETS MASTER S2'!K73</f>
        <v>0.29166666666666669</v>
      </c>
      <c r="C258" s="71" t="s">
        <v>281</v>
      </c>
      <c r="D258" s="71" t="str">
        <f t="shared" ref="D258:D263" si="45">$D$256</f>
        <v>SAN CLEMENTE HS</v>
      </c>
      <c r="E258" s="71">
        <v>182</v>
      </c>
      <c r="F258" s="90" t="str">
        <f>IF(G204="","W149",IF(G204&gt;I204,_xlfn.CONCAT("W149-",RIGHT(F204,LEN(F204) - FIND("-",F204))), _xlfn.CONCAT("W149-",RIGHT(H204,LEN(H204) - FIND("-",H204)))))</f>
        <v>W149-680 RED</v>
      </c>
      <c r="G258" s="93">
        <v>4</v>
      </c>
      <c r="H258" s="90" t="str">
        <f>IF(G205="","W153",IF(G205&gt;I205,_xlfn.CONCAT("W153-",RIGHT(F205,LEN(F205) - FIND("-",F205))), _xlfn.CONCAT("W153-",RIGHT(H205,LEN(H205) - FIND("-",H205)))))</f>
        <v>W153-CC UNITED BLACK</v>
      </c>
      <c r="I258" s="93">
        <v>10</v>
      </c>
      <c r="J258" s="90" t="s">
        <v>282</v>
      </c>
      <c r="K258" s="90" t="s">
        <v>283</v>
      </c>
      <c r="L258" s="90" t="str">
        <f t="shared" ref="L258:L262" si="46">$L$15&amp;"-"&amp;TEXT(E258,"000")</f>
        <v>12B-182</v>
      </c>
      <c r="N258" s="62" t="str">
        <f t="shared" ref="N258:N262" si="47">$K$255&amp;C258</f>
        <v>pt_9th</v>
      </c>
    </row>
    <row r="259" spans="1:14" ht="14.1" customHeight="1">
      <c r="A259" s="69">
        <f t="shared" si="44"/>
        <v>46229</v>
      </c>
      <c r="B259" s="130">
        <f>'CHICLETS MASTER S2'!K74</f>
        <v>0.33333333333333298</v>
      </c>
      <c r="C259" s="71" t="s">
        <v>284</v>
      </c>
      <c r="D259" s="71" t="str">
        <f t="shared" si="45"/>
        <v>SAN CLEMENTE HS</v>
      </c>
      <c r="E259" s="71">
        <v>181</v>
      </c>
      <c r="F259" s="90" t="str">
        <f>IF(G204="","L149",IF(G204&lt;I204,_xlfn.CONCAT("L149-",RIGHT(F204,LEN(F204) - FIND("-",F204))), _xlfn.CONCAT("L149-",RIGHT(H204,LEN(H204) - FIND("-",H204)))))</f>
        <v>L149-NEWPORT BEACH BLUE</v>
      </c>
      <c r="G259" s="93">
        <v>8</v>
      </c>
      <c r="H259" s="90" t="str">
        <f>IF(G205="","L153",IF(G205&lt;I205,_xlfn.CONCAT("L153-",RIGHT(F205,LEN(F205) - FIND("-",F205))), _xlfn.CONCAT("L153-",RIGHT(H205,LEN(H205) - FIND("-",H205)))))</f>
        <v xml:space="preserve">L153-SAN CLEMENTE RED	</v>
      </c>
      <c r="I259" s="93">
        <v>6</v>
      </c>
      <c r="J259" s="90" t="s">
        <v>285</v>
      </c>
      <c r="K259" s="90" t="s">
        <v>286</v>
      </c>
      <c r="L259" s="90" t="str">
        <f t="shared" si="46"/>
        <v>12B-181</v>
      </c>
      <c r="N259" s="62" t="str">
        <f t="shared" si="47"/>
        <v>pt_11th</v>
      </c>
    </row>
    <row r="260" spans="1:14" ht="14.1" customHeight="1">
      <c r="A260" s="69">
        <f t="shared" si="44"/>
        <v>46229</v>
      </c>
      <c r="B260" s="130">
        <f>'CHICLETS MASTER S2'!K75</f>
        <v>0.375</v>
      </c>
      <c r="C260" s="71" t="s">
        <v>287</v>
      </c>
      <c r="D260" s="71" t="str">
        <f t="shared" si="45"/>
        <v>SAN CLEMENTE HS</v>
      </c>
      <c r="E260" s="71">
        <v>178</v>
      </c>
      <c r="F260" s="90" t="str">
        <f>IF(G219="","W150",IF(G219&gt;I219,_xlfn.CONCAT("W150-",RIGHT(F219,LEN(F219) - FIND("-",F219))), _xlfn.CONCAT("W150-",RIGHT(H219,LEN(H219) - FIND("-",H219)))))</f>
        <v>W150-SAN JOSE EXPRESS</v>
      </c>
      <c r="G260" s="93">
        <v>13</v>
      </c>
      <c r="H260" s="90" t="str">
        <f>IF(G221="","W158",IF(G221&gt;I221,_xlfn.CONCAT("W158-",RIGHT(F221,LEN(F221) - FIND("-",F221))), _xlfn.CONCAT("W158-",RIGHT(H221,LEN(H221) - FIND("-",H221)))))</f>
        <v>W158-LA PREMIER BLACK</v>
      </c>
      <c r="I260" s="93">
        <v>5</v>
      </c>
      <c r="J260" s="90" t="s">
        <v>288</v>
      </c>
      <c r="K260" s="90" t="s">
        <v>289</v>
      </c>
      <c r="L260" s="90" t="str">
        <f t="shared" si="46"/>
        <v>12B-178</v>
      </c>
      <c r="N260" s="62" t="str">
        <f t="shared" si="47"/>
        <v>pt_13th</v>
      </c>
    </row>
    <row r="261" spans="1:14" ht="14.1" customHeight="1">
      <c r="A261" s="69">
        <f t="shared" si="44"/>
        <v>46229</v>
      </c>
      <c r="B261" s="130">
        <f>'CHICLETS MASTER S2'!K76</f>
        <v>0.41666666666666702</v>
      </c>
      <c r="C261" s="71" t="s">
        <v>290</v>
      </c>
      <c r="D261" s="71" t="str">
        <f t="shared" si="45"/>
        <v>SAN CLEMENTE HS</v>
      </c>
      <c r="E261" s="71">
        <v>177</v>
      </c>
      <c r="F261" s="90" t="str">
        <f>IF(G219="","L150",IF(G219&lt;I219,_xlfn.CONCAT("L150-",RIGHT(F219,LEN(F219) - FIND("-",F219))), _xlfn.CONCAT("L150-",RIGHT(H219,LEN(H219) - FIND("-",H219)))))</f>
        <v>L150-ORWP BLACK</v>
      </c>
      <c r="G261" s="93">
        <v>2</v>
      </c>
      <c r="H261" s="90" t="str">
        <f>IF(G221="","L158",IF(G221&lt;I221,_xlfn.CONCAT("L158-",RIGHT(F221,LEN(F221) - FIND("-",F221))), _xlfn.CONCAT("L158-",RIGHT(H221,LEN(H221) - FIND("-",H221)))))</f>
        <v>L158-LA JOLLA UNITED</v>
      </c>
      <c r="I261" s="93">
        <v>8</v>
      </c>
      <c r="J261" s="90" t="s">
        <v>291</v>
      </c>
      <c r="K261" s="90" t="s">
        <v>292</v>
      </c>
      <c r="L261" s="90" t="str">
        <f t="shared" si="46"/>
        <v>12B-177</v>
      </c>
      <c r="N261" s="62" t="str">
        <f t="shared" si="47"/>
        <v>pt_15th</v>
      </c>
    </row>
    <row r="262" spans="1:14" ht="14.1" customHeight="1">
      <c r="A262" s="69">
        <f t="shared" si="44"/>
        <v>46229</v>
      </c>
      <c r="B262" s="130">
        <f>'CHICLETS MASTER S2'!K77</f>
        <v>0.45833333333333298</v>
      </c>
      <c r="C262" s="71" t="s">
        <v>293</v>
      </c>
      <c r="D262" s="71" t="str">
        <f t="shared" si="45"/>
        <v>SAN CLEMENTE HS</v>
      </c>
      <c r="E262" s="71">
        <v>170</v>
      </c>
      <c r="F262" s="90" t="str">
        <f>IF(G220="","W154",IF(G220&gt;I220,_xlfn.CONCAT("W154-",RIGHT(F220,LEN(F220) - FIND("-",F220))), _xlfn.CONCAT("W154-",RIGHT(H220,LEN(H220) - FIND("-",H220)))))</f>
        <v>W154-NSD STARS</v>
      </c>
      <c r="G262" s="93">
        <v>14</v>
      </c>
      <c r="H262" s="90" t="str">
        <f>IF(G222="","W162",IF(G222&gt;I222,_xlfn.CONCAT("W162-",RIGHT(F222,LEN(F222) - FIND("-",F222))), _xlfn.CONCAT("W162-",RIGHT(H222,LEN(H222) - FIND("-",H222)))))</f>
        <v>W162-ROSE BOWL RED</v>
      </c>
      <c r="I262" s="93">
        <v>9</v>
      </c>
      <c r="J262" s="90" t="s">
        <v>294</v>
      </c>
      <c r="K262" s="90" t="s">
        <v>295</v>
      </c>
      <c r="L262" s="90" t="str">
        <f t="shared" si="46"/>
        <v>12B-170</v>
      </c>
      <c r="N262" s="62" t="str">
        <f t="shared" si="47"/>
        <v>pt_17th</v>
      </c>
    </row>
    <row r="263" spans="1:14" ht="14.1" customHeight="1">
      <c r="A263" s="69">
        <f>$A$255</f>
        <v>46229</v>
      </c>
      <c r="B263" s="130">
        <f>'CHICLETS MASTER S2'!K78</f>
        <v>0.5</v>
      </c>
      <c r="C263" s="71" t="s">
        <v>296</v>
      </c>
      <c r="D263" s="71" t="str">
        <f t="shared" si="45"/>
        <v>SAN CLEMENTE HS</v>
      </c>
      <c r="E263" s="71">
        <v>169</v>
      </c>
      <c r="F263" s="90" t="str">
        <f>IF(G220="","L154",IF(G220&lt;I220,_xlfn.CONCAT("L154-",RIGHT(F220,LEN(F220) - FIND("-",F220))), _xlfn.CONCAT("L154-",RIGHT(H220,LEN(H220) - FIND("-",H220)))))</f>
        <v>L154-SANTA BARBARA WPC A</v>
      </c>
      <c r="G263" s="93">
        <v>9</v>
      </c>
      <c r="H263" s="90" t="str">
        <f>IF(G222="","L162",IF(G222&lt;I222,_xlfn.CONCAT("L162-",RIGHT(F222,LEN(F222) - FIND("-",F222))), _xlfn.CONCAT("L162-",RIGHT(H222,LEN(H222) - FIND("-",H222)))))</f>
        <v>L162-CDM BLUE</v>
      </c>
      <c r="I263" s="93">
        <v>16</v>
      </c>
      <c r="J263" s="90" t="s">
        <v>297</v>
      </c>
      <c r="K263" s="90" t="s">
        <v>298</v>
      </c>
      <c r="L263" s="90" t="str">
        <f>$L$15&amp;"-"&amp;TEXT(E263,"000")</f>
        <v>12B-169</v>
      </c>
      <c r="N263" s="62" t="str">
        <f>$K$255&amp;C263</f>
        <v>pt_19th</v>
      </c>
    </row>
    <row r="264" spans="1:14" ht="14.1" customHeight="1" thickBot="1">
      <c r="A264" s="98"/>
      <c r="B264" s="79"/>
      <c r="C264" s="60"/>
      <c r="D264" s="60"/>
      <c r="G264" s="62"/>
    </row>
    <row r="265" spans="1:14" ht="14.1" customHeight="1" thickBot="1">
      <c r="A265" s="60"/>
      <c r="B265" s="60"/>
      <c r="C265" s="60"/>
      <c r="D265" s="65" t="str">
        <f>'CHICLETS MASTER S2'!$N$72</f>
        <v>MISSION VIEJO HS</v>
      </c>
      <c r="E265" s="60"/>
      <c r="F265" s="60"/>
      <c r="G265" s="64"/>
      <c r="H265" s="60"/>
      <c r="I265" s="64"/>
      <c r="J265" s="60"/>
      <c r="K265" s="60"/>
      <c r="L265" s="60"/>
    </row>
    <row r="266" spans="1:14" ht="14.1" customHeight="1">
      <c r="A266" s="337" t="s">
        <v>124</v>
      </c>
      <c r="B266" s="337" t="s">
        <v>125</v>
      </c>
      <c r="C266" s="337" t="s">
        <v>126</v>
      </c>
      <c r="D266" s="337" t="s">
        <v>127</v>
      </c>
      <c r="E266" s="337" t="s">
        <v>128</v>
      </c>
      <c r="F266" s="337" t="s">
        <v>129</v>
      </c>
      <c r="G266" s="337" t="s">
        <v>130</v>
      </c>
      <c r="H266" s="337" t="s">
        <v>131</v>
      </c>
      <c r="I266" s="337" t="s">
        <v>130</v>
      </c>
      <c r="J266" s="338" t="s">
        <v>132</v>
      </c>
      <c r="K266" s="338" t="s">
        <v>133</v>
      </c>
      <c r="L266" s="337" t="s">
        <v>134</v>
      </c>
    </row>
    <row r="267" spans="1:14" ht="14.1" customHeight="1">
      <c r="A267" s="69">
        <f t="shared" si="44"/>
        <v>46229</v>
      </c>
      <c r="B267" s="130">
        <f>'CHICLETS MASTER S2'!K73</f>
        <v>0.29166666666666669</v>
      </c>
      <c r="C267" s="71" t="s">
        <v>290</v>
      </c>
      <c r="D267" s="71" t="str">
        <f t="shared" ref="D267:D272" si="48">$D$265</f>
        <v>MISSION VIEJO HS</v>
      </c>
      <c r="E267" s="71">
        <v>180</v>
      </c>
      <c r="F267" s="155" t="str">
        <f>IF(G249="","L152",IF(G249&lt;I249,_xlfn.CONCAT("L152-",RIGHT(F249,LEN(F249) - FIND("-",F249))), _xlfn.CONCAT("L152-",RIGHT(H249,LEN(H249) - FIND("-",H249)))))</f>
        <v>L152-SOUTH COAST</v>
      </c>
      <c r="G267" s="156">
        <v>13</v>
      </c>
      <c r="H267" s="155" t="str">
        <f>IF(G251="","L160",IF(G251&lt;I251,_xlfn.CONCAT("L160-",RIGHT(F251,LEN(F251) - FIND("-",F251))), _xlfn.CONCAT("L160-",RIGHT(H251,LEN(H251) - FIND("-",H251)))))</f>
        <v>L160-GREENWICH WHITE</v>
      </c>
      <c r="I267" s="156">
        <v>6</v>
      </c>
      <c r="J267" s="155" t="s">
        <v>464</v>
      </c>
      <c r="K267" s="155" t="s">
        <v>465</v>
      </c>
      <c r="L267" s="155" t="str">
        <f>$L$15&amp;"-"&amp;TEXT(E267,"000")</f>
        <v>12B-180</v>
      </c>
      <c r="N267" s="62" t="str">
        <f>$L$255&amp;C267</f>
        <v>au_15th</v>
      </c>
    </row>
    <row r="268" spans="1:14" ht="14.1" customHeight="1">
      <c r="A268" s="69">
        <f t="shared" si="44"/>
        <v>46229</v>
      </c>
      <c r="B268" s="130">
        <f>'CHICLETS MASTER S2'!K74</f>
        <v>0.33333333333333298</v>
      </c>
      <c r="C268" s="71" t="s">
        <v>287</v>
      </c>
      <c r="D268" s="71" t="str">
        <f t="shared" si="48"/>
        <v>MISSION VIEJO HS</v>
      </c>
      <c r="E268" s="71">
        <v>179</v>
      </c>
      <c r="F268" s="155" t="str">
        <f>IF(G249="","W152",IF(G249&gt;I249,_xlfn.CONCAT("W152-",RIGHT(F249,LEN(F249) - FIND("-",F249))), _xlfn.CONCAT("W152-",RIGHT(H249,LEN(H249) - FIND("-",H249)))))</f>
        <v>W152-CENTRAL COAST</v>
      </c>
      <c r="G268" s="156">
        <v>10</v>
      </c>
      <c r="H268" s="155" t="str">
        <f>IF(G251="","W160",IF(G251&gt;I251,_xlfn.CONCAT("W160-",RIGHT(F251,LEN(F251) - FIND("-",F251))), _xlfn.CONCAT("W160-",RIGHT(H251,LEN(H251) - FIND("-",H251)))))</f>
        <v>W160-LYONS AQUATICS</v>
      </c>
      <c r="I268" s="156">
        <v>7</v>
      </c>
      <c r="J268" s="155" t="s">
        <v>466</v>
      </c>
      <c r="K268" s="155" t="s">
        <v>467</v>
      </c>
      <c r="L268" s="155" t="str">
        <f>$L$15&amp;"-"&amp;TEXT(E268,"000")</f>
        <v>12B-179</v>
      </c>
      <c r="N268" s="62" t="str">
        <f>$L$255&amp;C268</f>
        <v>au_13th</v>
      </c>
    </row>
    <row r="269" spans="1:14" ht="14.1" customHeight="1">
      <c r="A269" s="69">
        <f>$A$255</f>
        <v>46229</v>
      </c>
      <c r="B269" s="130">
        <f>'CHICLETS MASTER S2'!K75</f>
        <v>0.375</v>
      </c>
      <c r="C269" s="71" t="s">
        <v>272</v>
      </c>
      <c r="D269" s="71" t="str">
        <f t="shared" si="48"/>
        <v>MISSION VIEJO HS</v>
      </c>
      <c r="E269" s="71">
        <v>187</v>
      </c>
      <c r="F269" s="155" t="str">
        <f>IF(G236="","L159",IF(G236&lt;I236,_xlfn.CONCAT("L159-",RIGHT(F236,LEN(F236) - FIND("-",F236))), _xlfn.CONCAT("L159-",RIGHT(H236,LEN(H236) - FIND("-",H236)))))</f>
        <v>L159-DAVIS BLUE</v>
      </c>
      <c r="G269" s="156">
        <v>9</v>
      </c>
      <c r="H269" s="155" t="str">
        <f>IF(G237="","L163",IF(G237&lt;I237,_xlfn.CONCAT("L163-",RIGHT(F237,LEN(F237) - FIND("-",F237))), _xlfn.CONCAT("L163-",RIGHT(H237,LEN(H237) - FIND("-",H237)))))</f>
        <v>L163-SANTA CRUZ</v>
      </c>
      <c r="I269" s="156">
        <v>1</v>
      </c>
      <c r="J269" s="155" t="s">
        <v>300</v>
      </c>
      <c r="K269" s="155" t="s">
        <v>301</v>
      </c>
      <c r="L269" s="155" t="str">
        <f>$L$15&amp;"-"&amp;TEXT(E269,"000")</f>
        <v>12B-187</v>
      </c>
      <c r="N269" s="62" t="str">
        <f>$L$255&amp;C269</f>
        <v>au_5th</v>
      </c>
    </row>
    <row r="270" spans="1:14" ht="14.1" customHeight="1">
      <c r="A270" s="69">
        <f>$A$255</f>
        <v>46229</v>
      </c>
      <c r="B270" s="130">
        <f>'CHICLETS MASTER S2'!K76</f>
        <v>0.41666666666666702</v>
      </c>
      <c r="C270" s="71" t="s">
        <v>269</v>
      </c>
      <c r="D270" s="71" t="str">
        <f t="shared" si="48"/>
        <v>MISSION VIEJO HS</v>
      </c>
      <c r="E270" s="71">
        <v>188</v>
      </c>
      <c r="F270" s="155" t="str">
        <f>IF(G232="","L143",IF(G232&lt;I232,_xlfn.CONCAT("L143-",RIGHT(F232,LEN(F232) - FIND("-",F232))), _xlfn.CONCAT("L143-",RIGHT(H232,LEN(H232) - FIND("-",H232)))))</f>
        <v>L143-YPRO</v>
      </c>
      <c r="G270" s="156">
        <v>10</v>
      </c>
      <c r="H270" s="155" t="str">
        <f>IF(G233="","L147",IF(G233&lt;I233,_xlfn.CONCAT("L147-",RIGHT(F233,LEN(F233) - FIND("-",F233))), _xlfn.CONCAT("L147-",RIGHT(H233,LEN(H233) - FIND("-",H233)))))</f>
        <v>L147-SMAC BLACK</v>
      </c>
      <c r="I270" s="156">
        <v>8</v>
      </c>
      <c r="J270" s="155" t="s">
        <v>302</v>
      </c>
      <c r="K270" s="155" t="s">
        <v>303</v>
      </c>
      <c r="L270" s="155" t="str">
        <f>$L$15&amp;"-"&amp;TEXT(E270,"000")</f>
        <v>12B-188</v>
      </c>
      <c r="N270" s="62" t="str">
        <f>$L$255&amp;C270</f>
        <v>au_7th</v>
      </c>
    </row>
    <row r="271" spans="1:14" ht="14.1" customHeight="1">
      <c r="A271" s="69">
        <f t="shared" si="44"/>
        <v>46229</v>
      </c>
      <c r="B271" s="130">
        <f>'CHICLETS MASTER S2'!K77</f>
        <v>0.45833333333333298</v>
      </c>
      <c r="C271" s="71" t="s">
        <v>281</v>
      </c>
      <c r="D271" s="71" t="str">
        <f t="shared" si="48"/>
        <v>MISSION VIEJO HS</v>
      </c>
      <c r="E271" s="71">
        <v>183</v>
      </c>
      <c r="F271" s="155" t="str">
        <f>IF(G234="","W151",IF(G234&gt;I234,_xlfn.CONCAT("W151-",RIGHT(F234,LEN(F234) - FIND("-",F234))), _xlfn.CONCAT("W151-",RIGHT(H234,LEN(H234) - FIND("-",H234)))))</f>
        <v>W151-680 BLUE</v>
      </c>
      <c r="G271" s="157">
        <v>8.4</v>
      </c>
      <c r="H271" s="155" t="str">
        <f>IF(G235="","W155",IF(G235&gt;I235,_xlfn.CONCAT("W155-",RIGHT(F235,LEN(F235) - FIND("-",F235))), _xlfn.CONCAT("W155-",RIGHT(H235,LEN(H235) - FIND("-",H235)))))</f>
        <v>W155-STANFORD BLACK</v>
      </c>
      <c r="I271" s="157">
        <v>8.3000000000000007</v>
      </c>
      <c r="J271" s="155" t="s">
        <v>468</v>
      </c>
      <c r="K271" s="155" t="s">
        <v>469</v>
      </c>
      <c r="L271" s="155" t="str">
        <f t="shared" ref="L271:L272" si="49">$L$15&amp;"-"&amp;TEXT(E271,"000")</f>
        <v>12B-183</v>
      </c>
      <c r="N271" s="62" t="str">
        <f t="shared" ref="N271:N272" si="50">$L$255&amp;C271</f>
        <v>au_9th</v>
      </c>
    </row>
    <row r="272" spans="1:14" ht="14.1" customHeight="1">
      <c r="A272" s="69">
        <f t="shared" si="44"/>
        <v>46229</v>
      </c>
      <c r="B272" s="130">
        <f>'CHICLETS MASTER S2'!K78</f>
        <v>0.5</v>
      </c>
      <c r="C272" s="71" t="s">
        <v>284</v>
      </c>
      <c r="D272" s="71" t="str">
        <f t="shared" si="48"/>
        <v>MISSION VIEJO HS</v>
      </c>
      <c r="E272" s="71">
        <v>184</v>
      </c>
      <c r="F272" s="155" t="str">
        <f>IF(G234="","L151",IF(G234&lt;I234,_xlfn.CONCAT("L151-",RIGHT(F234,LEN(F234) - FIND("-",F234))), _xlfn.CONCAT("L151-",RIGHT(H234,LEN(H234) - FIND("-",H234)))))</f>
        <v>L151-PAC</v>
      </c>
      <c r="G272" s="156">
        <v>16</v>
      </c>
      <c r="H272" s="155" t="str">
        <f>IF(G235="","L155",IF(G235&lt;I235,_xlfn.CONCAT("L155-",RIGHT(F235,LEN(F235) - FIND("-",F235))), _xlfn.CONCAT("L155-",RIGHT(H235,LEN(H235) - FIND("-",H235)))))</f>
        <v>L155-CHICAGO PARK</v>
      </c>
      <c r="I272" s="156">
        <v>13</v>
      </c>
      <c r="J272" s="155" t="s">
        <v>470</v>
      </c>
      <c r="K272" s="155" t="s">
        <v>471</v>
      </c>
      <c r="L272" s="155" t="str">
        <f t="shared" si="49"/>
        <v>12B-184</v>
      </c>
      <c r="N272" s="62" t="str">
        <f t="shared" si="50"/>
        <v>au_11th</v>
      </c>
    </row>
    <row r="273" spans="1:14" ht="14.1" customHeight="1" thickBot="1">
      <c r="A273" s="75"/>
      <c r="B273" s="75"/>
      <c r="C273" s="268"/>
      <c r="D273" s="169"/>
    </row>
    <row r="274" spans="1:14" ht="14.1" customHeight="1" thickBot="1">
      <c r="A274" s="60"/>
      <c r="B274" s="60"/>
      <c r="C274" s="60"/>
      <c r="D274" s="65" t="str">
        <f>'CHICLETS MASTER S2'!$O$72</f>
        <v>LAGUNA HILLS HS</v>
      </c>
      <c r="G274" s="62"/>
    </row>
    <row r="275" spans="1:14" ht="14.1" customHeight="1">
      <c r="A275" s="337" t="s">
        <v>124</v>
      </c>
      <c r="B275" s="337" t="s">
        <v>125</v>
      </c>
      <c r="C275" s="337" t="s">
        <v>126</v>
      </c>
      <c r="D275" s="337" t="s">
        <v>127</v>
      </c>
      <c r="E275" s="337" t="s">
        <v>128</v>
      </c>
      <c r="F275" s="337" t="s">
        <v>129</v>
      </c>
      <c r="G275" s="337" t="s">
        <v>130</v>
      </c>
      <c r="H275" s="337" t="s">
        <v>131</v>
      </c>
      <c r="I275" s="337" t="s">
        <v>130</v>
      </c>
      <c r="J275" s="338" t="s">
        <v>132</v>
      </c>
      <c r="K275" s="338" t="s">
        <v>133</v>
      </c>
      <c r="L275" s="337" t="s">
        <v>134</v>
      </c>
    </row>
    <row r="276" spans="1:14" ht="14.1" customHeight="1">
      <c r="A276" s="69">
        <f t="shared" si="44"/>
        <v>46229</v>
      </c>
      <c r="B276" s="130">
        <f>'CHICLETS MASTER S2'!K73</f>
        <v>0.29166666666666669</v>
      </c>
      <c r="C276" s="71" t="s">
        <v>249</v>
      </c>
      <c r="D276" s="71" t="str">
        <f>$D$274</f>
        <v>LAGUNA HILLS HS</v>
      </c>
      <c r="E276" s="71">
        <v>167</v>
      </c>
      <c r="F276" s="155" t="s">
        <v>458</v>
      </c>
      <c r="G276" s="156">
        <v>9</v>
      </c>
      <c r="H276" s="155" t="s">
        <v>456</v>
      </c>
      <c r="I276" s="156">
        <v>14</v>
      </c>
      <c r="J276" s="155"/>
      <c r="K276" s="155"/>
      <c r="L276" s="155" t="str">
        <f t="shared" ref="L276:L281" si="51">$L$15&amp;"-"&amp;TEXT(E276,"000")</f>
        <v>12B-167</v>
      </c>
      <c r="N276" s="62" t="str">
        <f>$L$255&amp;C276</f>
        <v>au_21-24 RR</v>
      </c>
    </row>
    <row r="277" spans="1:14" ht="14.1" customHeight="1">
      <c r="A277" s="69">
        <f t="shared" si="44"/>
        <v>46229</v>
      </c>
      <c r="B277" s="130">
        <f>'CHICLETS MASTER S2'!K74</f>
        <v>0.33333333333333298</v>
      </c>
      <c r="C277" s="71" t="s">
        <v>249</v>
      </c>
      <c r="D277" s="71" t="str">
        <f t="shared" ref="D277:D281" si="52">$D$274</f>
        <v>LAGUNA HILLS HS</v>
      </c>
      <c r="E277" s="71">
        <v>168</v>
      </c>
      <c r="F277" s="155" t="s">
        <v>457</v>
      </c>
      <c r="G277" s="156">
        <v>10</v>
      </c>
      <c r="H277" s="155" t="s">
        <v>459</v>
      </c>
      <c r="I277" s="156">
        <v>19</v>
      </c>
      <c r="J277" s="155"/>
      <c r="K277" s="155"/>
      <c r="L277" s="155" t="str">
        <f t="shared" si="51"/>
        <v>12B-168</v>
      </c>
      <c r="N277" s="62" t="str">
        <f>$L$255&amp;C277</f>
        <v>au_21-24 RR</v>
      </c>
    </row>
    <row r="278" spans="1:14" ht="14.1" customHeight="1">
      <c r="A278" s="69">
        <f t="shared" si="44"/>
        <v>46229</v>
      </c>
      <c r="B278" s="130">
        <f>'CHICLETS MASTER S2'!K75</f>
        <v>0.375</v>
      </c>
      <c r="C278" s="71" t="s">
        <v>249</v>
      </c>
      <c r="D278" s="71" t="str">
        <f t="shared" si="52"/>
        <v>LAGUNA HILLS HS</v>
      </c>
      <c r="E278" s="71">
        <v>165</v>
      </c>
      <c r="F278" s="90" t="s">
        <v>442</v>
      </c>
      <c r="G278" s="93">
        <v>11</v>
      </c>
      <c r="H278" s="90" t="s">
        <v>440</v>
      </c>
      <c r="I278" s="93">
        <v>8</v>
      </c>
      <c r="J278" s="90"/>
      <c r="K278" s="90"/>
      <c r="L278" s="90" t="str">
        <f t="shared" si="51"/>
        <v>12B-165</v>
      </c>
      <c r="N278" s="62" t="str">
        <f>$K$255&amp;C278</f>
        <v>pt_21-24 RR</v>
      </c>
    </row>
    <row r="279" spans="1:14" ht="14.1" customHeight="1">
      <c r="A279" s="69">
        <f t="shared" si="44"/>
        <v>46229</v>
      </c>
      <c r="B279" s="130">
        <f>'CHICLETS MASTER S2'!K76</f>
        <v>0.41666666666666702</v>
      </c>
      <c r="C279" s="71" t="s">
        <v>249</v>
      </c>
      <c r="D279" s="71" t="str">
        <f t="shared" si="52"/>
        <v>LAGUNA HILLS HS</v>
      </c>
      <c r="E279" s="71">
        <v>166</v>
      </c>
      <c r="F279" s="90" t="s">
        <v>441</v>
      </c>
      <c r="G279" s="93">
        <v>6</v>
      </c>
      <c r="H279" s="90" t="s">
        <v>443</v>
      </c>
      <c r="I279" s="93">
        <v>10</v>
      </c>
      <c r="J279" s="90"/>
      <c r="K279" s="90"/>
      <c r="L279" s="90" t="str">
        <f t="shared" si="51"/>
        <v>12B-166</v>
      </c>
      <c r="N279" s="62" t="str">
        <f>$K$255&amp;C279</f>
        <v>pt_21-24 RR</v>
      </c>
    </row>
    <row r="280" spans="1:14" ht="14.1" customHeight="1">
      <c r="A280" s="69">
        <f t="shared" si="44"/>
        <v>46229</v>
      </c>
      <c r="B280" s="130">
        <f>'CHICLETS MASTER S2'!K77</f>
        <v>0.45833333333333298</v>
      </c>
      <c r="C280" s="71" t="s">
        <v>296</v>
      </c>
      <c r="D280" s="71" t="str">
        <f t="shared" si="52"/>
        <v>LAGUNA HILLS HS</v>
      </c>
      <c r="E280" s="71">
        <v>176</v>
      </c>
      <c r="F280" s="155" t="str">
        <f>IF(G250="","L156",IF(G250&lt;I250,_xlfn.CONCAT("L156-",RIGHT(F250,LEN(F250) - FIND("-",F250))), _xlfn.CONCAT("L156-",RIGHT(H250,LEN(H250) - FIND("-",H250)))))</f>
        <v>L156-BARCELONA LIONS</v>
      </c>
      <c r="G280" s="156">
        <v>17</v>
      </c>
      <c r="H280" s="155" t="str">
        <f>IF(G252="","L164",IF(G252&lt;I252,_xlfn.CONCAT("L164-",RIGHT(F252,LEN(F252) - FIND("-",F252))), _xlfn.CONCAT("L164-",RIGHT(H252,LEN(H252) - FIND("-",H252)))))</f>
        <v>L164-TOPAZ TSUNAMI</v>
      </c>
      <c r="I280" s="156">
        <v>7</v>
      </c>
      <c r="J280" s="155" t="s">
        <v>472</v>
      </c>
      <c r="K280" s="155" t="s">
        <v>473</v>
      </c>
      <c r="L280" s="155" t="str">
        <f t="shared" si="51"/>
        <v>12B-176</v>
      </c>
      <c r="N280" s="62" t="str">
        <f>$L$255&amp;C280</f>
        <v>au_19th</v>
      </c>
    </row>
    <row r="281" spans="1:14" ht="14.1" customHeight="1">
      <c r="A281" s="69">
        <f t="shared" si="44"/>
        <v>46229</v>
      </c>
      <c r="B281" s="130">
        <f>'CHICLETS MASTER S2'!K78</f>
        <v>0.5</v>
      </c>
      <c r="C281" s="71" t="s">
        <v>293</v>
      </c>
      <c r="D281" s="71" t="str">
        <f t="shared" si="52"/>
        <v>LAGUNA HILLS HS</v>
      </c>
      <c r="E281" s="71">
        <v>175</v>
      </c>
      <c r="F281" s="155" t="str">
        <f>IF(G250="","W156",IF(G250&gt;I250,_xlfn.CONCAT("W156-",RIGHT(F250,LEN(F250) - FIND("-",F250))), _xlfn.CONCAT("W156-",RIGHT(H250,LEN(H250) - FIND("-",H250)))))</f>
        <v>W156-KERN PREMIER</v>
      </c>
      <c r="G281" s="156">
        <v>11</v>
      </c>
      <c r="H281" s="155" t="str">
        <f>IF(G252="","W164",IF(G252&gt;I252,_xlfn.CONCAT("W164-",RIGHT(F252,LEN(F252) - FIND("-",F252))), _xlfn.CONCAT("W164-",RIGHT(H252,LEN(H252) - FIND("-",H252)))))</f>
        <v>W164-CAL REPUBLIC BLACK</v>
      </c>
      <c r="I281" s="156">
        <v>7</v>
      </c>
      <c r="J281" s="155" t="s">
        <v>474</v>
      </c>
      <c r="K281" s="155" t="s">
        <v>475</v>
      </c>
      <c r="L281" s="155" t="str">
        <f t="shared" si="51"/>
        <v>12B-175</v>
      </c>
      <c r="N281" s="62" t="str">
        <f>$L$255&amp;C281</f>
        <v>au_17th</v>
      </c>
    </row>
    <row r="282" spans="1:14" ht="14.1" customHeight="1" thickBot="1">
      <c r="A282" s="75"/>
      <c r="B282" s="75"/>
      <c r="C282" s="268"/>
      <c r="D282" s="169"/>
    </row>
    <row r="283" spans="1:14" ht="14.1" customHeight="1" thickBot="1">
      <c r="A283" s="60"/>
      <c r="B283" s="60"/>
      <c r="C283" s="60"/>
      <c r="D283" s="65" t="str">
        <f>'CHICLETS MASTER S2'!$L$72</f>
        <v>ALISO NIGUEL HS</v>
      </c>
      <c r="G283" s="62"/>
    </row>
    <row r="284" spans="1:14" ht="14.1" customHeight="1">
      <c r="A284" s="337" t="s">
        <v>124</v>
      </c>
      <c r="B284" s="337" t="s">
        <v>125</v>
      </c>
      <c r="C284" s="337" t="s">
        <v>126</v>
      </c>
      <c r="D284" s="337" t="s">
        <v>127</v>
      </c>
      <c r="E284" s="337" t="s">
        <v>128</v>
      </c>
      <c r="F284" s="337" t="s">
        <v>129</v>
      </c>
      <c r="G284" s="337" t="s">
        <v>130</v>
      </c>
      <c r="H284" s="337" t="s">
        <v>131</v>
      </c>
      <c r="I284" s="337" t="s">
        <v>130</v>
      </c>
      <c r="J284" s="338" t="s">
        <v>132</v>
      </c>
      <c r="K284" s="338" t="s">
        <v>133</v>
      </c>
      <c r="L284" s="337" t="s">
        <v>134</v>
      </c>
    </row>
    <row r="285" spans="1:14" ht="14.1" customHeight="1">
      <c r="A285" s="69">
        <f t="shared" si="44"/>
        <v>46229</v>
      </c>
      <c r="B285" s="130">
        <f>'CHICLETS MASTER S2'!K73</f>
        <v>0.29166666666666669</v>
      </c>
      <c r="C285" s="71" t="s">
        <v>268</v>
      </c>
      <c r="D285" s="99" t="str">
        <f t="shared" ref="D285:D290" si="53">$D$283</f>
        <v>ALISO NIGUEL HS</v>
      </c>
      <c r="E285" s="71">
        <v>171</v>
      </c>
      <c r="F285" s="155" t="str">
        <f>IF(G231="","W139",IF(G231&gt;I231,_xlfn.CONCAT("W139-",RIGHT(F231,LEN(F231) - FIND("-",F231))), _xlfn.CONCAT("W139-",RIGHT(H231,LEN(H231) - FIND("-",H231)))))</f>
        <v>W139-COMMERCE</v>
      </c>
      <c r="G285" s="156">
        <v>9</v>
      </c>
      <c r="H285" s="155" t="str">
        <f>IF(G236="","W159",IF(G236&gt;I236,_xlfn.CONCAT("W159-",RIGHT(F236,LEN(F236) - FIND("-",F236))), _xlfn.CONCAT("W159-",RIGHT(H236,LEN(H236) - FIND("-",H236)))))</f>
        <v>W159-SD SHORES</v>
      </c>
      <c r="I285" s="156">
        <v>11</v>
      </c>
      <c r="J285" s="155">
        <v>190</v>
      </c>
      <c r="K285" s="155">
        <v>189</v>
      </c>
      <c r="L285" s="155" t="str">
        <f t="shared" ref="L285:L290" si="54">$L$15&amp;"-"&amp;TEXT(E285,"000")</f>
        <v>12B-171</v>
      </c>
      <c r="N285" s="62" t="str">
        <f>$L$255&amp;C285</f>
        <v>au_semi</v>
      </c>
    </row>
    <row r="286" spans="1:14" ht="14.1" customHeight="1">
      <c r="A286" s="69">
        <f t="shared" si="44"/>
        <v>46229</v>
      </c>
      <c r="B286" s="130">
        <f>'CHICLETS MASTER S2'!K74</f>
        <v>0.33333333333333298</v>
      </c>
      <c r="C286" s="71" t="s">
        <v>268</v>
      </c>
      <c r="D286" s="99" t="str">
        <f t="shared" si="53"/>
        <v>ALISO NIGUEL HS</v>
      </c>
      <c r="E286" s="71">
        <v>172</v>
      </c>
      <c r="F286" s="155" t="str">
        <f>IF(G230="","W135",IF(G230&gt;I230,_xlfn.CONCAT("W135-",RIGHT(F230,LEN(F230) - FIND("-",F230))), _xlfn.CONCAT("W135-",RIGHT(H230,LEN(H230) - FIND("-",H230)))))</f>
        <v>W135-TEMPLE CITY</v>
      </c>
      <c r="G286" s="156">
        <v>8</v>
      </c>
      <c r="H286" s="155" t="str">
        <f>IF(G237="","W163",IF(G237&gt;I237,_xlfn.CONCAT("W163-",RIGHT(F237,LEN(F237) - FIND("-",F237))), _xlfn.CONCAT("W163-",RIGHT(H237,LEN(H237) - FIND("-",H237)))))</f>
        <v>W163-PEGASUS BLUE</v>
      </c>
      <c r="I286" s="156">
        <v>10</v>
      </c>
      <c r="J286" s="155">
        <v>190</v>
      </c>
      <c r="K286" s="155">
        <v>189</v>
      </c>
      <c r="L286" s="155" t="str">
        <f t="shared" si="54"/>
        <v>12B-172</v>
      </c>
      <c r="N286" s="62" t="str">
        <f>$L$255&amp;C286</f>
        <v>au_semi</v>
      </c>
    </row>
    <row r="287" spans="1:14" ht="14.1" customHeight="1">
      <c r="A287" s="69">
        <f t="shared" si="44"/>
        <v>46229</v>
      </c>
      <c r="B287" s="130">
        <f>'CHICLETS MASTER S2'!K75</f>
        <v>0.375</v>
      </c>
      <c r="C287" s="71" t="s">
        <v>269</v>
      </c>
      <c r="D287" s="99" t="str">
        <f t="shared" si="53"/>
        <v>ALISO NIGUEL HS</v>
      </c>
      <c r="E287" s="71">
        <v>185</v>
      </c>
      <c r="F287" s="90" t="str">
        <f>IF(G202="","L141",IF(G202&lt;I202,_xlfn.CONCAT("L141-",RIGHT(F202,LEN(F202) - FIND("-",F202))), _xlfn.CONCAT("L141-",RIGHT(H202,LEN(H202) - FIND("-",H202)))))</f>
        <v>L141-TSUNAMI</v>
      </c>
      <c r="G287" s="93">
        <v>7</v>
      </c>
      <c r="H287" s="90" t="str">
        <f>IF(G203="","L145",IF(G203&lt;I203,_xlfn.CONCAT("L145-",RIGHT(F203,LEN(F203) - FIND("-",F203))), _xlfn.CONCAT("L145-",RIGHT(H203,LEN(H203) - FIND("-",H203)))))</f>
        <v>L145-SD DONS BLACK</v>
      </c>
      <c r="I287" s="93">
        <v>2</v>
      </c>
      <c r="J287" s="90" t="s">
        <v>270</v>
      </c>
      <c r="K287" s="90" t="s">
        <v>271</v>
      </c>
      <c r="L287" s="90" t="str">
        <f>$L$15&amp;"-"&amp;TEXT(E287,"000")</f>
        <v>12B-185</v>
      </c>
      <c r="N287" s="62" t="str">
        <f>$K$255&amp;C287</f>
        <v>pt_7th</v>
      </c>
    </row>
    <row r="288" spans="1:14" ht="14.1" customHeight="1">
      <c r="A288" s="69">
        <f t="shared" si="44"/>
        <v>46229</v>
      </c>
      <c r="B288" s="130">
        <f>'CHICLETS MASTER S2'!K76</f>
        <v>0.41666666666666702</v>
      </c>
      <c r="C288" s="71" t="s">
        <v>272</v>
      </c>
      <c r="D288" s="99" t="str">
        <f t="shared" si="53"/>
        <v>ALISO NIGUEL HS</v>
      </c>
      <c r="E288" s="71">
        <v>186</v>
      </c>
      <c r="F288" s="90" t="str">
        <f>IF(G206="","L157",IF(G206&lt;I206,_xlfn.CONCAT("L157-",RIGHT(F206,LEN(F206) - FIND("-",F206))), _xlfn.CONCAT("L157-",RIGHT(H206,LEN(H206) - FIND("-",H206)))))</f>
        <v xml:space="preserve">L157-NORTH IRVINE BLACK	</v>
      </c>
      <c r="G288" s="93">
        <v>9</v>
      </c>
      <c r="H288" s="90" t="str">
        <f>IF(G207="","L161",IF(G207&lt;I207,_xlfn.CONCAT("L161-",RIGHT(F207,LEN(F207) - FIND("-",F207))), _xlfn.CONCAT("L161-",RIGHT(H207,LEN(H207) - FIND("-",H207)))))</f>
        <v>L161-GREENWICH BLUE</v>
      </c>
      <c r="I288" s="93">
        <v>11</v>
      </c>
      <c r="J288" s="90" t="s">
        <v>273</v>
      </c>
      <c r="K288" s="90" t="s">
        <v>274</v>
      </c>
      <c r="L288" s="90" t="str">
        <f t="shared" si="54"/>
        <v>12B-186</v>
      </c>
      <c r="N288" s="62" t="str">
        <f>$K$255&amp;C288</f>
        <v>pt_5th</v>
      </c>
    </row>
    <row r="289" spans="1:14" ht="14.1" customHeight="1">
      <c r="A289" s="69">
        <f t="shared" si="44"/>
        <v>46229</v>
      </c>
      <c r="B289" s="130">
        <f>'CHICLETS MASTER S2'!K77</f>
        <v>0.45833333333333298</v>
      </c>
      <c r="C289" s="71" t="s">
        <v>275</v>
      </c>
      <c r="D289" s="99" t="str">
        <f t="shared" si="53"/>
        <v>ALISO NIGUEL HS</v>
      </c>
      <c r="E289" s="71">
        <v>189</v>
      </c>
      <c r="F289" s="155" t="str">
        <f>IF(G285="","L171",IF(G285&lt;I285,_xlfn.CONCAT("L171-",RIGHT(F285,LEN(F285) - FIND("-",F285))), _xlfn.CONCAT("L171-",RIGHT(H285,LEN(H285) - FIND("-",H285)))))</f>
        <v>L171-COMMERCE</v>
      </c>
      <c r="G289" s="157">
        <v>9.3000000000000007</v>
      </c>
      <c r="H289" s="155" t="str">
        <f>IF(G286="","L172",IF(G286&lt;I286,_xlfn.CONCAT("L172-",RIGHT(F286,LEN(F286) - FIND("-",F286))), _xlfn.CONCAT("L172-",RIGHT(H286,LEN(H286) - FIND("-",H286)))))</f>
        <v>L172-TEMPLE CITY</v>
      </c>
      <c r="I289" s="157">
        <v>9.1999999999999993</v>
      </c>
      <c r="J289" s="155" t="s">
        <v>276</v>
      </c>
      <c r="K289" s="155" t="s">
        <v>277</v>
      </c>
      <c r="L289" s="155" t="str">
        <f t="shared" si="54"/>
        <v>12B-189</v>
      </c>
      <c r="N289" s="62" t="str">
        <f>$L$255&amp;C289</f>
        <v>au_3rd</v>
      </c>
    </row>
    <row r="290" spans="1:14" ht="14.1" customHeight="1">
      <c r="A290" s="69">
        <f t="shared" si="44"/>
        <v>46229</v>
      </c>
      <c r="B290" s="130">
        <f>'CHICLETS MASTER S2'!K78</f>
        <v>0.5</v>
      </c>
      <c r="C290" s="71" t="s">
        <v>278</v>
      </c>
      <c r="D290" s="99" t="str">
        <f t="shared" si="53"/>
        <v>ALISO NIGUEL HS</v>
      </c>
      <c r="E290" s="71">
        <v>190</v>
      </c>
      <c r="F290" s="155" t="str">
        <f>IF(G285="","W171",IF(G285&gt;I285,_xlfn.CONCAT("W171-",RIGHT(F285,LEN(F285) - FIND("-",F285))), _xlfn.CONCAT("W171-",RIGHT(H285,LEN(H285) - FIND("-",H285)))))</f>
        <v>W171-SD SHORES</v>
      </c>
      <c r="G290" s="156">
        <v>4</v>
      </c>
      <c r="H290" s="155" t="str">
        <f>IF(G286="","W172",IF(G286&gt;I286,_xlfn.CONCAT("W172-",RIGHT(F286,LEN(F286) - FIND("-",F286))), _xlfn.CONCAT("W172-",RIGHT(H286,LEN(H286) - FIND("-",H286)))))</f>
        <v>W172-PEGASUS BLUE</v>
      </c>
      <c r="I290" s="156">
        <v>19</v>
      </c>
      <c r="J290" s="155" t="s">
        <v>279</v>
      </c>
      <c r="K290" s="155" t="s">
        <v>280</v>
      </c>
      <c r="L290" s="155" t="str">
        <f t="shared" si="54"/>
        <v>12B-190</v>
      </c>
      <c r="N290" s="62" t="str">
        <f>$L$255&amp;C290</f>
        <v>au_1st</v>
      </c>
    </row>
    <row r="291" spans="1:14" ht="14.1" customHeight="1" thickBot="1">
      <c r="A291" s="75"/>
      <c r="B291" s="75"/>
      <c r="C291" s="268"/>
      <c r="D291" s="268"/>
    </row>
    <row r="292" spans="1:14" ht="14.1" customHeight="1" thickBot="1">
      <c r="A292" s="60"/>
      <c r="B292" s="60"/>
      <c r="C292" s="60"/>
      <c r="D292" s="339" t="str">
        <f>'CHICLETS MASTER S2'!$B$84</f>
        <v>WOOLLETT LEFT</v>
      </c>
      <c r="G292" s="62"/>
    </row>
    <row r="293" spans="1:14" ht="14.1" customHeight="1">
      <c r="A293" s="337" t="s">
        <v>124</v>
      </c>
      <c r="B293" s="337" t="s">
        <v>125</v>
      </c>
      <c r="C293" s="337" t="s">
        <v>126</v>
      </c>
      <c r="D293" s="337" t="s">
        <v>127</v>
      </c>
      <c r="E293" s="337" t="s">
        <v>128</v>
      </c>
      <c r="F293" s="337" t="s">
        <v>129</v>
      </c>
      <c r="G293" s="337" t="s">
        <v>130</v>
      </c>
      <c r="H293" s="337" t="s">
        <v>131</v>
      </c>
      <c r="I293" s="337" t="s">
        <v>130</v>
      </c>
      <c r="J293" s="338" t="s">
        <v>132</v>
      </c>
      <c r="K293" s="338" t="s">
        <v>133</v>
      </c>
      <c r="L293" s="337" t="s">
        <v>134</v>
      </c>
    </row>
    <row r="294" spans="1:14" ht="14.1" customHeight="1">
      <c r="A294" s="69">
        <f t="shared" si="44"/>
        <v>46229</v>
      </c>
      <c r="B294" s="130">
        <f>'CHICLETS MASTER S2'!A86</f>
        <v>0.33333333333333298</v>
      </c>
      <c r="C294" s="71" t="s">
        <v>268</v>
      </c>
      <c r="D294" s="340" t="str">
        <f>$D$292</f>
        <v>WOOLLETT LEFT</v>
      </c>
      <c r="E294" s="71">
        <v>173</v>
      </c>
      <c r="F294" s="90" t="str">
        <f>IF(G201="","W137",IF(G201&gt;I201,_xlfn.CONCAT("W137-",RIGHT(F201,LEN(F201) - FIND("-",F201))), _xlfn.CONCAT("W137-",RIGHT(H201,LEN(H201) - FIND("-",H201)))))</f>
        <v>W137-SD DONS RED</v>
      </c>
      <c r="G294" s="93">
        <v>10</v>
      </c>
      <c r="H294" s="90" t="str">
        <f>IF(G206="","W157",IF(G206&gt;I206,_xlfn.CONCAT("W157-",RIGHT(F206,LEN(F206) - FIND("-",F206))), _xlfn.CONCAT("W157-",RIGHT(H206,LEN(H206) - FIND("-",H206)))))</f>
        <v>W157-STANFORD RED</v>
      </c>
      <c r="I294" s="93">
        <v>9</v>
      </c>
      <c r="J294" s="90">
        <v>192</v>
      </c>
      <c r="K294" s="90">
        <v>191</v>
      </c>
      <c r="L294" s="90" t="str">
        <f>$L$15&amp;"-"&amp;TEXT(E294,"000")</f>
        <v>12B-173</v>
      </c>
      <c r="N294" s="62" t="str">
        <f>$K$255&amp;C294</f>
        <v>pt_semi</v>
      </c>
    </row>
    <row r="295" spans="1:14" ht="14.1" customHeight="1">
      <c r="A295" s="69">
        <f t="shared" si="44"/>
        <v>46229</v>
      </c>
      <c r="B295" s="130">
        <f>'CHICLETS MASTER S2'!A87</f>
        <v>0.375</v>
      </c>
      <c r="C295" s="71" t="s">
        <v>268</v>
      </c>
      <c r="D295" s="340" t="str">
        <f>$D$292</f>
        <v>WOOLLETT LEFT</v>
      </c>
      <c r="E295" s="71">
        <v>174</v>
      </c>
      <c r="F295" s="90" t="str">
        <f>IF(G200="","W133",IF(G200&gt;I200,_xlfn.CONCAT("W133-",RIGHT(F200,LEN(F200) - FIND("-",F200))), _xlfn.CONCAT("W133-",RIGHT(H200,LEN(H200) - FIND("-",H200)))))</f>
        <v>W133-VANGUARD</v>
      </c>
      <c r="G295" s="93">
        <v>3</v>
      </c>
      <c r="H295" s="90" t="str">
        <f>IF(G207="","W161",IF(G207&gt;I207,_xlfn.CONCAT("W161-",RIGHT(F207,LEN(F207) - FIND("-",F207))), _xlfn.CONCAT("W161-",RIGHT(H207,LEN(H207) - FIND("-",H207)))))</f>
        <v>W161-MISSION A</v>
      </c>
      <c r="I295" s="93">
        <v>10</v>
      </c>
      <c r="J295" s="90">
        <v>192</v>
      </c>
      <c r="K295" s="90">
        <v>191</v>
      </c>
      <c r="L295" s="90" t="str">
        <f>$L$15&amp;"-"&amp;TEXT(E295,"000")</f>
        <v>12B-174</v>
      </c>
      <c r="N295" s="62" t="str">
        <f>$K$255&amp;C295</f>
        <v>pt_semi</v>
      </c>
    </row>
    <row r="296" spans="1:14" ht="14.1" customHeight="1">
      <c r="A296" s="75"/>
      <c r="B296" s="75"/>
      <c r="C296" s="268"/>
      <c r="D296" s="169"/>
    </row>
    <row r="297" spans="1:14" ht="14.1" customHeight="1">
      <c r="A297" s="69">
        <f t="shared" si="44"/>
        <v>46229</v>
      </c>
      <c r="B297" s="130">
        <f>'CHICLETS MASTER S2'!A91</f>
        <v>0.54166666666666663</v>
      </c>
      <c r="C297" s="71" t="s">
        <v>275</v>
      </c>
      <c r="D297" s="340" t="str">
        <f>$D$292</f>
        <v>WOOLLETT LEFT</v>
      </c>
      <c r="E297" s="71">
        <v>191</v>
      </c>
      <c r="F297" s="90" t="str">
        <f>IF(G294="","L173",IF(G294&lt;I294,_xlfn.CONCAT("L173-",RIGHT(F294,LEN(F294) - FIND("-",F294))), _xlfn.CONCAT("L173-",RIGHT(H294,LEN(H294) - FIND("-",H294)))))</f>
        <v>L173-STANFORD RED</v>
      </c>
      <c r="G297" s="93">
        <v>4</v>
      </c>
      <c r="H297" s="90" t="str">
        <f>IF(G295="","L174",IF(G295&lt;I295,_xlfn.CONCAT("L174-",RIGHT(F295,LEN(F295) - FIND("-",F295))), _xlfn.CONCAT("L174-",RIGHT(H295,LEN(H295) - FIND("-",H295)))))</f>
        <v>L174-VANGUARD</v>
      </c>
      <c r="I297" s="93">
        <v>12</v>
      </c>
      <c r="J297" s="90" t="s">
        <v>304</v>
      </c>
      <c r="K297" s="90" t="s">
        <v>305</v>
      </c>
      <c r="L297" s="90" t="str">
        <f>$L$15&amp;"-"&amp;TEXT(E297,"000")</f>
        <v>12B-191</v>
      </c>
      <c r="N297" s="62" t="str">
        <f>$K$255&amp;C297</f>
        <v>pt_3rd</v>
      </c>
    </row>
    <row r="298" spans="1:14" ht="14.1" customHeight="1" thickBot="1">
      <c r="A298" s="75"/>
      <c r="B298" s="75"/>
      <c r="C298" s="268"/>
      <c r="D298" s="169"/>
    </row>
    <row r="299" spans="1:14" ht="14.1" customHeight="1" thickBot="1">
      <c r="A299" s="60"/>
      <c r="B299" s="60"/>
      <c r="C299" s="60"/>
      <c r="D299" s="65" t="str">
        <f>'CHICLETS MASTER S2'!$C$84</f>
        <v>WOOLLETT RIGHT</v>
      </c>
      <c r="G299" s="62"/>
    </row>
    <row r="300" spans="1:14" ht="14.1" customHeight="1">
      <c r="A300" s="337" t="s">
        <v>124</v>
      </c>
      <c r="B300" s="337" t="s">
        <v>125</v>
      </c>
      <c r="C300" s="337" t="s">
        <v>126</v>
      </c>
      <c r="D300" s="337" t="s">
        <v>127</v>
      </c>
      <c r="E300" s="337" t="s">
        <v>128</v>
      </c>
      <c r="F300" s="337" t="s">
        <v>129</v>
      </c>
      <c r="G300" s="337" t="s">
        <v>130</v>
      </c>
      <c r="H300" s="337" t="s">
        <v>131</v>
      </c>
      <c r="I300" s="337" t="s">
        <v>130</v>
      </c>
      <c r="J300" s="338" t="s">
        <v>132</v>
      </c>
      <c r="K300" s="338" t="s">
        <v>133</v>
      </c>
      <c r="L300" s="337" t="s">
        <v>134</v>
      </c>
    </row>
    <row r="301" spans="1:14" ht="14.1" customHeight="1">
      <c r="A301" s="69">
        <f>$A$255</f>
        <v>46229</v>
      </c>
      <c r="B301" s="167">
        <f>'CHICLETS MASTER S2'!A91</f>
        <v>0.54166666666666663</v>
      </c>
      <c r="C301" s="71" t="s">
        <v>278</v>
      </c>
      <c r="D301" s="99" t="str">
        <f>$D$299</f>
        <v>WOOLLETT RIGHT</v>
      </c>
      <c r="E301" s="71">
        <v>192</v>
      </c>
      <c r="F301" s="90" t="str">
        <f>IF(G294="","W173",IF(G294&gt;I294,_xlfn.CONCAT("W173-",RIGHT(F294,LEN(F294) - FIND("-",F294))), _xlfn.CONCAT("W173-",RIGHT(H294,LEN(H294) - FIND("-",H294)))))</f>
        <v>W173-SD DONS RED</v>
      </c>
      <c r="G301" s="93">
        <v>5</v>
      </c>
      <c r="H301" s="90" t="str">
        <f>IF(G295="","W174",IF(G295&gt;I295,_xlfn.CONCAT("W174-",RIGHT(F295,LEN(F295) - FIND("-",F295))), _xlfn.CONCAT("W174-",RIGHT(H295,LEN(H295) - FIND("-",H295)))))</f>
        <v>W174-MISSION A</v>
      </c>
      <c r="I301" s="93">
        <v>6</v>
      </c>
      <c r="J301" s="90" t="s">
        <v>306</v>
      </c>
      <c r="K301" s="90" t="s">
        <v>307</v>
      </c>
      <c r="L301" s="90" t="str">
        <f>$L$15&amp;"-"&amp;TEXT(E301,"000")</f>
        <v>12B-192</v>
      </c>
      <c r="N301" s="62" t="str">
        <f>$K$255&amp;C301</f>
        <v>pt_1st</v>
      </c>
    </row>
    <row r="302" spans="1:14" ht="14.1" customHeight="1">
      <c r="A302" s="60"/>
      <c r="B302" s="60"/>
      <c r="C302" s="60"/>
      <c r="D302" s="60"/>
      <c r="E302" s="60"/>
      <c r="F302" s="60"/>
      <c r="G302" s="64"/>
      <c r="H302" s="60"/>
      <c r="I302" s="64"/>
      <c r="J302" s="60"/>
      <c r="K302" s="60"/>
      <c r="L302" s="60"/>
    </row>
    <row r="305" spans="1:4" ht="14.1" customHeight="1">
      <c r="A305" s="90" t="s">
        <v>308</v>
      </c>
      <c r="C305" s="155" t="s">
        <v>309</v>
      </c>
    </row>
    <row r="306" spans="1:4" ht="14.1" customHeight="1">
      <c r="A306" s="90" t="s">
        <v>278</v>
      </c>
      <c r="B306" s="100" t="str">
        <f>IF(G301="","W192",IF(G301&gt;I301,_xlfn.CONCAT("W192-",RIGHT(F301,LEN(F301) - FIND("-",F301))), _xlfn.CONCAT("W192-",RIGHT(H301,LEN(H301) - FIND("-",H301)))))</f>
        <v>W192-MISSION A</v>
      </c>
      <c r="C306" s="155" t="s">
        <v>278</v>
      </c>
      <c r="D306" s="341" t="str">
        <f>IF(G290="","W190",IF(G290&gt;I290,_xlfn.CONCAT("W190-",RIGHT(F290,LEN(F290) - FIND("-",F290))), _xlfn.CONCAT("W190-",RIGHT(H290,LEN(H290) - FIND("-",H290)))))</f>
        <v>W190-PEGASUS BLUE</v>
      </c>
    </row>
    <row r="307" spans="1:4" ht="14.1" customHeight="1">
      <c r="A307" s="90" t="s">
        <v>310</v>
      </c>
      <c r="B307" s="100" t="str">
        <f>IF(G301="","L192",IF(G301&lt;I301,_xlfn.CONCAT("L192-",RIGHT(F301,LEN(F301) - FIND("-",F301))), _xlfn.CONCAT("L192-",RIGHT(H301,LEN(H301) - FIND("-",H301)))))</f>
        <v>L192-SD DONS RED</v>
      </c>
      <c r="C307" s="155" t="s">
        <v>310</v>
      </c>
      <c r="D307" s="341" t="str">
        <f>IF(G290="","L190",IF(G290&lt;I290,_xlfn.CONCAT("L190-",RIGHT(F290,LEN(F290) - FIND("-",F290))), _xlfn.CONCAT("L190-",RIGHT(H290,LEN(H290) - FIND("-",H290)))))</f>
        <v>L190-SD SHORES</v>
      </c>
    </row>
    <row r="308" spans="1:4" ht="14.1" customHeight="1">
      <c r="A308" s="90" t="s">
        <v>275</v>
      </c>
      <c r="B308" s="100" t="str">
        <f>IF(G297="","W191",IF(G297&gt;I297,_xlfn.CONCAT("W191-",RIGHT(F297,LEN(F297) - FIND("-",F297))), _xlfn.CONCAT("W191-",RIGHT(H297,LEN(H297) - FIND("-",H297)))))</f>
        <v>W191-VANGUARD</v>
      </c>
      <c r="C308" s="155" t="s">
        <v>275</v>
      </c>
      <c r="D308" s="341" t="str">
        <f>IF(G289="","W189",IF(G289&gt;I289,_xlfn.CONCAT("W189-",RIGHT(F289,LEN(F289) - FIND("-",F289))), _xlfn.CONCAT("W189-",RIGHT(H289,LEN(H289) - FIND("-",H289)))))</f>
        <v>W189-COMMERCE</v>
      </c>
    </row>
    <row r="309" spans="1:4" ht="14.1" customHeight="1">
      <c r="A309" s="90" t="s">
        <v>311</v>
      </c>
      <c r="B309" s="100" t="str">
        <f>IF(G297="","L191",IF(G297&lt;I297,_xlfn.CONCAT("L191-",RIGHT(F297,LEN(F297) - FIND("-",F297))), _xlfn.CONCAT("L191-",RIGHT(H297,LEN(H297) - FIND("-",H297)))))</f>
        <v>L191-STANFORD RED</v>
      </c>
      <c r="C309" s="330" t="s">
        <v>311</v>
      </c>
      <c r="D309" s="341" t="str">
        <f>IF(G289="","L189",IF(G289&lt;I289,_xlfn.CONCAT("L189-",RIGHT(F289,LEN(F289) - FIND("-",F289))), _xlfn.CONCAT("L189-",RIGHT(H289,LEN(H289) - FIND("-",H289)))))</f>
        <v>L189-TEMPLE CITY</v>
      </c>
    </row>
    <row r="310" spans="1:4" ht="14.1" customHeight="1">
      <c r="A310" s="90" t="s">
        <v>272</v>
      </c>
      <c r="B310" s="100" t="str">
        <f>IF(G288="","W186",IF(G288&gt;I288,_xlfn.CONCAT("W186-",RIGHT(F288,LEN(F288) - FIND("-",F288))), _xlfn.CONCAT("W186-",RIGHT(H288,LEN(H288) - FIND("-",H288)))))</f>
        <v>W186-GREENWICH BLUE</v>
      </c>
      <c r="C310" s="155" t="s">
        <v>272</v>
      </c>
      <c r="D310" s="341" t="str">
        <f>IF(G269="","W187",IF(G269&gt;I269,_xlfn.CONCAT("W187-",RIGHT(F269,LEN(F269) - FIND("-",F269))), _xlfn.CONCAT("W187-",RIGHT(H269,LEN(H269) - FIND("-",H269)))))</f>
        <v>W187-DAVIS BLUE</v>
      </c>
    </row>
    <row r="311" spans="1:4" ht="14.1" customHeight="1">
      <c r="A311" s="90" t="s">
        <v>312</v>
      </c>
      <c r="B311" s="100" t="str">
        <f>IF(G288="","L186",IF(G288&lt;I288,_xlfn.CONCAT("L186-",RIGHT(F288,LEN(F288) - FIND("-",F288))), _xlfn.CONCAT("L186-",RIGHT(H288,LEN(H288) - FIND("-",H288)))))</f>
        <v xml:space="preserve">L186-NORTH IRVINE BLACK	</v>
      </c>
      <c r="C311" s="155" t="s">
        <v>312</v>
      </c>
      <c r="D311" s="341" t="str">
        <f>IF(G269="","L187",IF(G269&lt;I269,_xlfn.CONCAT("L187-",RIGHT(F269,LEN(F269) - FIND("-",F269))), _xlfn.CONCAT("L187-",RIGHT(H269,LEN(H269) - FIND("-",H269)))))</f>
        <v>L187-SANTA CRUZ</v>
      </c>
    </row>
    <row r="312" spans="1:4" ht="14.1" customHeight="1">
      <c r="A312" s="90" t="s">
        <v>269</v>
      </c>
      <c r="B312" s="100" t="str">
        <f>IF(G287="","W185",IF(G287&gt;I287,_xlfn.CONCAT("W185-",RIGHT(F287,LEN(F287) - FIND("-",F287))), _xlfn.CONCAT("W185-",RIGHT(H287,LEN(H287) - FIND("-",H287)))))</f>
        <v>W185-TSUNAMI</v>
      </c>
      <c r="C312" s="155" t="s">
        <v>269</v>
      </c>
      <c r="D312" s="341" t="str">
        <f>IF(G270="","W188",IF(G270&gt;I270,_xlfn.CONCAT("W188-",RIGHT(F270,LEN(F270) - FIND("-",F270))), _xlfn.CONCAT("W188-",RIGHT(H270,LEN(H270) - FIND("-",H270)))))</f>
        <v>W188-YPRO</v>
      </c>
    </row>
    <row r="313" spans="1:4" ht="14.1" customHeight="1">
      <c r="A313" s="90" t="s">
        <v>313</v>
      </c>
      <c r="B313" s="100" t="str">
        <f>IF(G287="","L185",IF(G287&lt;I287,_xlfn.CONCAT("L185-",RIGHT(F287,LEN(F287) - FIND("-",F287))), _xlfn.CONCAT("L185-",RIGHT(H287,LEN(H287) - FIND("-",H287)))))</f>
        <v>L185-SD DONS BLACK</v>
      </c>
      <c r="C313" s="155" t="s">
        <v>313</v>
      </c>
      <c r="D313" s="341" t="str">
        <f>IF(G270="","L188",IF(G270&lt;I270,_xlfn.CONCAT("L188-",RIGHT(F270,LEN(F270) - FIND("-",F270))), _xlfn.CONCAT("L188-",RIGHT(H270,LEN(H270) - FIND("-",H270)))))</f>
        <v>L188-SMAC BLACK</v>
      </c>
    </row>
    <row r="314" spans="1:4" ht="14.1" customHeight="1">
      <c r="A314" s="90" t="s">
        <v>281</v>
      </c>
      <c r="B314" s="100" t="str">
        <f>IF(G258="","W182",IF(G258&gt;I258,_xlfn.CONCAT("W182-",RIGHT(F258,LEN(F258) - FIND("-",F258))), _xlfn.CONCAT("W182-",RIGHT(H258,LEN(H258) - FIND("-",H258)))))</f>
        <v>W182-CC UNITED BLACK</v>
      </c>
      <c r="C314" s="155" t="s">
        <v>281</v>
      </c>
      <c r="D314" s="341" t="str">
        <f>IF(G271="","W183",IF(G271&gt;I271,_xlfn.CONCAT("W183-",RIGHT(F271,LEN(F271) - FIND("-",F271))), _xlfn.CONCAT("W183-",RIGHT(H271,LEN(H271) - FIND("-",H271)))))</f>
        <v>W183-680 BLUE</v>
      </c>
    </row>
    <row r="315" spans="1:4" ht="14.1" customHeight="1">
      <c r="A315" s="90" t="s">
        <v>315</v>
      </c>
      <c r="B315" s="100" t="str">
        <f>IF(G258="","L182",IF(G258&lt;I258,_xlfn.CONCAT("L182-",RIGHT(F258,LEN(F258) - FIND("-",F258))), _xlfn.CONCAT("L182-",RIGHT(H258,LEN(H258) - FIND("-",H258)))))</f>
        <v>L182-680 RED</v>
      </c>
      <c r="C315" s="155" t="s">
        <v>315</v>
      </c>
      <c r="D315" s="341" t="str">
        <f>IF(G271="","L183",IF(G271&lt;I271,_xlfn.CONCAT("L183-",RIGHT(F271,LEN(F271) - FIND("-",F271))), _xlfn.CONCAT("L183-",RIGHT(H271,LEN(H271) - FIND("-",H271)))))</f>
        <v>L183-STANFORD BLACK</v>
      </c>
    </row>
    <row r="316" spans="1:4" ht="14.1" customHeight="1">
      <c r="A316" s="90" t="s">
        <v>284</v>
      </c>
      <c r="B316" s="100" t="str">
        <f>IF(G259="","W181",IF(G259&gt;I259,_xlfn.CONCAT("W181-",RIGHT(F259,LEN(F259) - FIND("-",F259))), _xlfn.CONCAT("W181-",RIGHT(H259,LEN(H259) - FIND("-",H259)))))</f>
        <v>W181-NEWPORT BEACH BLUE</v>
      </c>
      <c r="C316" s="155" t="s">
        <v>284</v>
      </c>
      <c r="D316" s="341" t="str">
        <f>IF(G272="","W184",IF(G272&gt;I272,_xlfn.CONCAT("W184-",RIGHT(F272,LEN(F272) - FIND("-",F272))), _xlfn.CONCAT("W184-",RIGHT(H272,LEN(H272) - FIND("-",H272)))))</f>
        <v>W184-PAC</v>
      </c>
    </row>
    <row r="317" spans="1:4" ht="14.1" customHeight="1">
      <c r="A317" s="90" t="s">
        <v>318</v>
      </c>
      <c r="B317" s="100" t="str">
        <f>IF(G259="","L181",IF(G259&lt;I259,_xlfn.CONCAT("L181-",RIGHT(F259,LEN(F259) - FIND("-",F259))), _xlfn.CONCAT("L181-",RIGHT(H259,LEN(H259) - FIND("-",H259)))))</f>
        <v xml:space="preserve">L181-SAN CLEMENTE RED	</v>
      </c>
      <c r="C317" s="155" t="s">
        <v>318</v>
      </c>
      <c r="D317" s="341" t="str">
        <f>IF(G272="","L184",IF(G272&lt;I272,_xlfn.CONCAT("L184-",RIGHT(F272,LEN(F272) - FIND("-",F272))), _xlfn.CONCAT("L184-",RIGHT(H272,LEN(H272) - FIND("-",H272)))))</f>
        <v>L184-CHICAGO PARK</v>
      </c>
    </row>
    <row r="318" spans="1:4" ht="14.1" customHeight="1">
      <c r="A318" s="90" t="s">
        <v>287</v>
      </c>
      <c r="B318" s="100" t="str">
        <f>IF(G260="","W178",IF(G260&gt;I260,_xlfn.CONCAT("W178-",RIGHT(F260,LEN(F260) - FIND("-",F260))), _xlfn.CONCAT("W178-",RIGHT(H260,LEN(H260) - FIND("-",H260)))))</f>
        <v>W178-SAN JOSE EXPRESS</v>
      </c>
      <c r="C318" s="155" t="s">
        <v>287</v>
      </c>
      <c r="D318" s="341" t="str">
        <f>IF(G268="","W179",IF(G268&gt;I268,_xlfn.CONCAT("W179-",RIGHT(F268,LEN(F268) - FIND("-",F268))), _xlfn.CONCAT("W179-",RIGHT(H268,LEN(H268) - FIND("-",H268)))))</f>
        <v>W179-CENTRAL COAST</v>
      </c>
    </row>
    <row r="319" spans="1:4" ht="14.1" customHeight="1">
      <c r="A319" s="90" t="s">
        <v>319</v>
      </c>
      <c r="B319" s="100" t="str">
        <f>IF(G260="","L178",IF(G260&lt;I260,_xlfn.CONCAT("L178-",RIGHT(F260,LEN(F260) - FIND("-",F260))), _xlfn.CONCAT("L178-",RIGHT(H260,LEN(H260) - FIND("-",H260)))))</f>
        <v>L178-LA PREMIER BLACK</v>
      </c>
      <c r="C319" s="155" t="s">
        <v>319</v>
      </c>
      <c r="D319" s="341" t="str">
        <f>IF(G268="","L179",IF(G268&lt;I268,_xlfn.CONCAT("L179-",RIGHT(F268,LEN(F268) - FIND("-",F268))), _xlfn.CONCAT("L179-",RIGHT(H268,LEN(H268) - FIND("-",H268)))))</f>
        <v>L179-LYONS AQUATICS</v>
      </c>
    </row>
    <row r="320" spans="1:4" ht="14.1" customHeight="1">
      <c r="A320" s="90" t="s">
        <v>290</v>
      </c>
      <c r="B320" s="100" t="str">
        <f>IF(G261="","W177",IF(G261&gt;I261,_xlfn.CONCAT("W177-",RIGHT(F261,LEN(F261) - FIND("-",F261))), _xlfn.CONCAT("W177-",RIGHT(H261,LEN(H261) - FIND("-",H261)))))</f>
        <v>W177-LA JOLLA UNITED</v>
      </c>
      <c r="C320" s="155" t="s">
        <v>290</v>
      </c>
      <c r="D320" s="341" t="str">
        <f>IF(G267="","W180",IF(G267&gt;I267,_xlfn.CONCAT("W180-",RIGHT(F267,LEN(F267) - FIND("-",F267))), _xlfn.CONCAT("W180-",RIGHT(H267,LEN(H267) - FIND("-",H267)))))</f>
        <v>W180-SOUTH COAST</v>
      </c>
    </row>
    <row r="321" spans="1:4" ht="14.1" customHeight="1">
      <c r="A321" s="90" t="s">
        <v>320</v>
      </c>
      <c r="B321" s="100" t="str">
        <f>IF(G261="","L177",IF(G261&lt;I261,_xlfn.CONCAT("L177-",RIGHT(F261,LEN(F261) - FIND("-",F261))), _xlfn.CONCAT("L177-",RIGHT(H261,LEN(H261) - FIND("-",H261)))))</f>
        <v>L177-ORWP BLACK</v>
      </c>
      <c r="C321" s="155" t="s">
        <v>320</v>
      </c>
      <c r="D321" s="341" t="str">
        <f>IF(G267="","L180",IF(G267&lt;I267,_xlfn.CONCAT("L180-",RIGHT(F267,LEN(F267) - FIND("-",F267))), _xlfn.CONCAT("L180-",RIGHT(H267,LEN(H267) - FIND("-",H267)))))</f>
        <v>L180-GREENWICH WHITE</v>
      </c>
    </row>
    <row r="322" spans="1:4" ht="14.1" customHeight="1">
      <c r="A322" s="90" t="s">
        <v>293</v>
      </c>
      <c r="B322" s="100" t="str">
        <f>IF(G262="","W170",IF(G262&gt;I262,_xlfn.CONCAT("W170-",RIGHT(F262,LEN(F262) - FIND("-",F262))), _xlfn.CONCAT("W170-",RIGHT(H262,LEN(H262) - FIND("-",H262)))))</f>
        <v>W170-NSD STARS</v>
      </c>
      <c r="C322" s="155" t="s">
        <v>293</v>
      </c>
      <c r="D322" s="341" t="str">
        <f>IF(G281="","W175",IF(G281&gt;I281,_xlfn.CONCAT("W175-",RIGHT(F281,LEN(F281) - FIND("-",F281))), _xlfn.CONCAT("W175-",RIGHT(H281,LEN(H281) - FIND("-",H281)))))</f>
        <v>W175-KERN PREMIER</v>
      </c>
    </row>
    <row r="323" spans="1:4" ht="14.1" customHeight="1">
      <c r="A323" s="90" t="s">
        <v>321</v>
      </c>
      <c r="B323" s="100" t="str">
        <f>IF(G262="","L170",IF(G262&lt;I262,_xlfn.CONCAT("L170-",RIGHT(F262,LEN(F262) - FIND("-",F262))), _xlfn.CONCAT("L170-",RIGHT(H262,LEN(H262) - FIND("-",H262)))))</f>
        <v>L170-ROSE BOWL RED</v>
      </c>
      <c r="C323" s="155" t="s">
        <v>321</v>
      </c>
      <c r="D323" s="341" t="str">
        <f>IF(G281="","L175",IF(G281&lt;I281,_xlfn.CONCAT("L175-",RIGHT(F281,LEN(F281) - FIND("-",F281))), _xlfn.CONCAT("L175-",RIGHT(H281,LEN(H281) - FIND("-",H281)))))</f>
        <v>L175-CAL REPUBLIC BLACK</v>
      </c>
    </row>
    <row r="324" spans="1:4" ht="14.1" customHeight="1">
      <c r="A324" s="127" t="s">
        <v>296</v>
      </c>
      <c r="B324" s="100" t="str">
        <f>IF(G263="","W169",IF(G263&gt;I263,_xlfn.CONCAT("W169-",RIGHT(F263,LEN(F263) - FIND("-",F263))), _xlfn.CONCAT("W169-",RIGHT(H263,LEN(H263) - FIND("-",H263)))))</f>
        <v>W169-CDM BLUE</v>
      </c>
      <c r="C324" s="155" t="s">
        <v>296</v>
      </c>
      <c r="D324" s="341" t="str">
        <f>IF(G280="","W176",IF(G280&gt;I280,_xlfn.CONCAT("W176-",RIGHT(F280,LEN(F280) - FIND("-",F280))), _xlfn.CONCAT("W176-",RIGHT(H280,LEN(H280) - FIND("-",H280)))))</f>
        <v>W176-BARCELONA LIONS</v>
      </c>
    </row>
    <row r="325" spans="1:4" ht="14.1" customHeight="1">
      <c r="A325" s="274" t="s">
        <v>322</v>
      </c>
      <c r="B325" s="100" t="str">
        <f>IF(G263="","L169",IF(G263&lt;I263,_xlfn.CONCAT("L169-",RIGHT(F263,LEN(F263) - FIND("-",F263))), _xlfn.CONCAT("L169-",RIGHT(H263,LEN(H263) - FIND("-",H263)))))</f>
        <v>L169-SANTA BARBARA WPC A</v>
      </c>
      <c r="C325" s="170" t="s">
        <v>322</v>
      </c>
      <c r="D325" s="341" t="str">
        <f>IF(G280="","L176",IF(G280&lt;I280,_xlfn.CONCAT("L176-",RIGHT(F280,LEN(F280) - FIND("-",F280))), _xlfn.CONCAT("L176-",RIGHT(H280,LEN(H280) - FIND("-",H280)))))</f>
        <v>L176-TOPAZ TSUNAMI</v>
      </c>
    </row>
    <row r="326" spans="1:4" ht="14.1" customHeight="1">
      <c r="A326" s="275" t="s">
        <v>323</v>
      </c>
      <c r="B326" s="100" t="s">
        <v>476</v>
      </c>
      <c r="C326" s="170" t="s">
        <v>323</v>
      </c>
      <c r="D326" s="103" t="s">
        <v>477</v>
      </c>
    </row>
    <row r="327" spans="1:4" ht="14.1" customHeight="1">
      <c r="A327" s="102" t="s">
        <v>325</v>
      </c>
      <c r="B327" s="100" t="s">
        <v>478</v>
      </c>
      <c r="C327" s="170" t="s">
        <v>325</v>
      </c>
      <c r="D327" s="106" t="s">
        <v>479</v>
      </c>
    </row>
    <row r="328" spans="1:4" ht="14.1" customHeight="1">
      <c r="A328" s="102" t="s">
        <v>327</v>
      </c>
      <c r="B328" s="100" t="s">
        <v>480</v>
      </c>
      <c r="C328" s="170" t="s">
        <v>327</v>
      </c>
      <c r="D328" s="106" t="s">
        <v>481</v>
      </c>
    </row>
    <row r="329" spans="1:4" ht="14.1" customHeight="1">
      <c r="A329" s="102" t="s">
        <v>329</v>
      </c>
      <c r="B329" s="100" t="s">
        <v>482</v>
      </c>
      <c r="C329" s="170" t="s">
        <v>329</v>
      </c>
      <c r="D329" s="106" t="s">
        <v>483</v>
      </c>
    </row>
  </sheetData>
  <hyperlinks>
    <hyperlink ref="B1" r:id="rId1" xr:uid="{DF6D7C43-E6CC-4296-9ABD-7ADBCD4B9147}"/>
    <hyperlink ref="C1" r:id="rId2" xr:uid="{3B535496-D36A-4046-9CA3-33880FF01595}"/>
    <hyperlink ref="E1" r:id="rId3" xr:uid="{7E1C11AF-4310-4970-897B-6B47C805D59B}"/>
  </hyperlinks>
  <pageMargins left="0.75" right="0.75" top="1" bottom="1" header="0.25" footer="0.5"/>
  <pageSetup fitToHeight="0" orientation="landscape" r:id="rId4"/>
  <rowBreaks count="5" manualBreakCount="5">
    <brk id="53" max="16383" man="1"/>
    <brk id="91" max="16383" man="1"/>
    <brk id="153" max="16383" man="1"/>
    <brk id="191" max="16383" man="1"/>
    <brk id="25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3D86-D05A-442A-9432-33456DDD8AB0}">
  <sheetPr>
    <tabColor rgb="FFFFFF00"/>
  </sheetPr>
  <dimension ref="A1:N328"/>
  <sheetViews>
    <sheetView topLeftCell="A139" zoomScale="120" zoomScaleNormal="120" workbookViewId="0">
      <selection activeCell="I153" sqref="I153"/>
    </sheetView>
  </sheetViews>
  <sheetFormatPr defaultColWidth="12.85546875" defaultRowHeight="14.1" customHeight="1"/>
  <cols>
    <col min="1" max="1" width="23" style="62" bestFit="1" customWidth="1"/>
    <col min="2" max="2" width="29" style="62" bestFit="1" customWidth="1"/>
    <col min="3" max="3" width="31.42578125" style="62" bestFit="1" customWidth="1"/>
    <col min="4" max="4" width="32.140625" style="62" bestFit="1" customWidth="1"/>
    <col min="5" max="5" width="33.5703125" style="62" bestFit="1" customWidth="1"/>
    <col min="6" max="6" width="33" style="62" bestFit="1" customWidth="1"/>
    <col min="7" max="7" width="5.42578125" style="80" bestFit="1" customWidth="1"/>
    <col min="8" max="8" width="32.85546875" style="62" bestFit="1" customWidth="1"/>
    <col min="9" max="9" width="5.42578125" style="62" bestFit="1" customWidth="1"/>
    <col min="10" max="11" width="6.85546875" style="62" bestFit="1" customWidth="1"/>
    <col min="12" max="12" width="7.85546875" style="62" bestFit="1" customWidth="1"/>
    <col min="13" max="13" width="10.28515625" style="62" customWidth="1"/>
    <col min="14" max="14" width="10.7109375" style="62" bestFit="1" customWidth="1"/>
    <col min="15" max="16384" width="12.85546875" style="62"/>
  </cols>
  <sheetData>
    <row r="1" spans="1:12" s="60" customFormat="1" ht="14.1" customHeight="1" thickTop="1" thickBot="1">
      <c r="A1" s="57" t="s">
        <v>68</v>
      </c>
      <c r="B1" s="52" t="s">
        <v>69</v>
      </c>
      <c r="C1" s="53" t="s">
        <v>70</v>
      </c>
      <c r="D1" s="58" t="s">
        <v>71</v>
      </c>
      <c r="E1" s="54" t="s">
        <v>72</v>
      </c>
      <c r="F1" s="147"/>
      <c r="G1" s="59"/>
      <c r="H1" s="59"/>
      <c r="I1" s="59"/>
      <c r="J1" s="59"/>
      <c r="K1" s="59"/>
      <c r="L1" s="59"/>
    </row>
    <row r="2" spans="1:12" ht="14.1" customHeight="1" thickBot="1">
      <c r="A2" s="61">
        <v>46226</v>
      </c>
      <c r="B2" s="60"/>
      <c r="D2" s="63" t="s">
        <v>484</v>
      </c>
      <c r="F2" s="60"/>
      <c r="G2" s="64"/>
      <c r="H2" s="60"/>
      <c r="I2" s="60"/>
      <c r="J2" s="60"/>
      <c r="K2" s="60"/>
      <c r="L2" s="60"/>
    </row>
    <row r="3" spans="1:12" s="60" customFormat="1" ht="14.1" customHeight="1" thickBot="1">
      <c r="A3" s="62"/>
      <c r="D3" s="65" t="s">
        <v>74</v>
      </c>
    </row>
    <row r="4" spans="1:12" ht="14.1" customHeight="1">
      <c r="A4" s="324" t="s">
        <v>75</v>
      </c>
      <c r="B4" s="324" t="s">
        <v>76</v>
      </c>
      <c r="C4" s="324" t="s">
        <v>77</v>
      </c>
      <c r="D4" s="324" t="s">
        <v>78</v>
      </c>
      <c r="E4" s="324" t="s">
        <v>79</v>
      </c>
      <c r="F4" s="324" t="s">
        <v>80</v>
      </c>
      <c r="G4" s="64"/>
      <c r="H4" s="66" t="s">
        <v>81</v>
      </c>
    </row>
    <row r="5" spans="1:12" ht="14.1" customHeight="1">
      <c r="A5" s="67" t="s">
        <v>485</v>
      </c>
      <c r="B5" s="67" t="s">
        <v>486</v>
      </c>
      <c r="C5" s="67" t="s">
        <v>487</v>
      </c>
      <c r="D5" s="67" t="s">
        <v>488</v>
      </c>
      <c r="E5" s="67" t="s">
        <v>489</v>
      </c>
      <c r="F5" s="67" t="s">
        <v>490</v>
      </c>
      <c r="G5" s="64"/>
    </row>
    <row r="6" spans="1:12" ht="14.1" customHeight="1">
      <c r="A6" s="67" t="s">
        <v>491</v>
      </c>
      <c r="B6" s="67" t="s">
        <v>492</v>
      </c>
      <c r="C6" s="67" t="s">
        <v>493</v>
      </c>
      <c r="D6" s="67" t="s">
        <v>494</v>
      </c>
      <c r="E6" s="67" t="s">
        <v>495</v>
      </c>
      <c r="F6" s="67" t="s">
        <v>496</v>
      </c>
      <c r="G6" s="64"/>
    </row>
    <row r="7" spans="1:12" ht="14.1" customHeight="1">
      <c r="A7" s="67" t="s">
        <v>497</v>
      </c>
      <c r="B7" s="67" t="s">
        <v>498</v>
      </c>
      <c r="C7" s="67" t="s">
        <v>499</v>
      </c>
      <c r="D7" s="67" t="s">
        <v>500</v>
      </c>
      <c r="E7" s="67" t="s">
        <v>501</v>
      </c>
      <c r="F7" s="67" t="s">
        <v>502</v>
      </c>
      <c r="G7" s="64"/>
    </row>
    <row r="8" spans="1:12" ht="14.1" customHeight="1">
      <c r="A8" s="67" t="s">
        <v>350</v>
      </c>
      <c r="B8" s="67" t="s">
        <v>503</v>
      </c>
      <c r="C8" s="67" t="s">
        <v>504</v>
      </c>
      <c r="D8" s="67" t="s">
        <v>505</v>
      </c>
      <c r="E8" s="67" t="s">
        <v>506</v>
      </c>
      <c r="F8" s="67" t="s">
        <v>507</v>
      </c>
      <c r="G8" s="64"/>
    </row>
    <row r="9" spans="1:12" ht="14.1" customHeight="1">
      <c r="A9" s="60"/>
      <c r="B9" s="60"/>
      <c r="C9" s="60"/>
      <c r="D9" s="60"/>
      <c r="E9" s="60"/>
      <c r="F9" s="60"/>
      <c r="G9" s="64"/>
    </row>
    <row r="10" spans="1:12" ht="14.1" customHeight="1">
      <c r="A10" s="324" t="s">
        <v>100</v>
      </c>
      <c r="B10" s="324" t="s">
        <v>101</v>
      </c>
      <c r="C10" s="324" t="s">
        <v>102</v>
      </c>
      <c r="D10" s="324" t="s">
        <v>103</v>
      </c>
      <c r="E10" s="324" t="s">
        <v>104</v>
      </c>
      <c r="F10" s="324" t="s">
        <v>105</v>
      </c>
      <c r="G10" s="64"/>
      <c r="J10" s="60"/>
    </row>
    <row r="11" spans="1:12" ht="14.1" customHeight="1">
      <c r="A11" s="67" t="s">
        <v>508</v>
      </c>
      <c r="B11" s="67" t="s">
        <v>509</v>
      </c>
      <c r="C11" s="67" t="s">
        <v>510</v>
      </c>
      <c r="D11" s="67" t="s">
        <v>511</v>
      </c>
      <c r="E11" s="67" t="s">
        <v>512</v>
      </c>
      <c r="F11" s="67" t="s">
        <v>513</v>
      </c>
      <c r="G11" s="64"/>
      <c r="J11" s="60"/>
    </row>
    <row r="12" spans="1:12" ht="14.1" customHeight="1">
      <c r="A12" s="67" t="s">
        <v>514</v>
      </c>
      <c r="B12" s="67" t="s">
        <v>515</v>
      </c>
      <c r="C12" s="67" t="s">
        <v>516</v>
      </c>
      <c r="D12" s="67" t="s">
        <v>517</v>
      </c>
      <c r="E12" s="67" t="s">
        <v>518</v>
      </c>
      <c r="F12" s="67" t="s">
        <v>519</v>
      </c>
      <c r="G12" s="64"/>
      <c r="J12" s="60"/>
    </row>
    <row r="13" spans="1:12" ht="14.1" customHeight="1">
      <c r="A13" s="67" t="s">
        <v>520</v>
      </c>
      <c r="B13" s="67" t="s">
        <v>521</v>
      </c>
      <c r="C13" s="67" t="s">
        <v>522</v>
      </c>
      <c r="D13" s="67" t="s">
        <v>523</v>
      </c>
      <c r="E13" s="67" t="s">
        <v>524</v>
      </c>
      <c r="F13" s="67" t="s">
        <v>525</v>
      </c>
      <c r="G13" s="64"/>
      <c r="J13" s="60"/>
    </row>
    <row r="14" spans="1:12" ht="14.1" customHeight="1">
      <c r="A14" s="67" t="s">
        <v>526</v>
      </c>
      <c r="B14" s="67" t="s">
        <v>375</v>
      </c>
      <c r="C14" s="67" t="s">
        <v>527</v>
      </c>
      <c r="D14" s="67" t="s">
        <v>528</v>
      </c>
      <c r="E14" s="67" t="s">
        <v>529</v>
      </c>
      <c r="F14" s="67" t="s">
        <v>379</v>
      </c>
      <c r="G14" s="64"/>
      <c r="J14" s="60"/>
    </row>
    <row r="15" spans="1:12" ht="14.1" customHeight="1" thickBot="1">
      <c r="G15" s="62"/>
      <c r="L15" s="62" t="s">
        <v>530</v>
      </c>
    </row>
    <row r="16" spans="1:12" ht="14.1" customHeight="1" thickBot="1">
      <c r="B16" s="60"/>
      <c r="C16" s="60"/>
      <c r="D16" s="68" t="str">
        <f>'CHICLETS MASTER S2'!$Q$3</f>
        <v>UC IRVINE 1</v>
      </c>
      <c r="E16" s="60"/>
      <c r="F16" s="60"/>
      <c r="G16" s="64"/>
      <c r="H16" s="60"/>
      <c r="I16" s="60"/>
      <c r="J16" s="60"/>
      <c r="K16" s="60"/>
      <c r="L16" s="60"/>
    </row>
    <row r="17" spans="1:12" ht="14.1" customHeight="1">
      <c r="A17" s="325" t="s">
        <v>124</v>
      </c>
      <c r="B17" s="326" t="s">
        <v>125</v>
      </c>
      <c r="C17" s="327" t="s">
        <v>126</v>
      </c>
      <c r="D17" s="327" t="s">
        <v>127</v>
      </c>
      <c r="E17" s="327" t="s">
        <v>128</v>
      </c>
      <c r="F17" s="327" t="s">
        <v>129</v>
      </c>
      <c r="G17" s="327" t="s">
        <v>130</v>
      </c>
      <c r="H17" s="327" t="s">
        <v>131</v>
      </c>
      <c r="I17" s="327" t="s">
        <v>130</v>
      </c>
      <c r="J17" s="327" t="s">
        <v>132</v>
      </c>
      <c r="K17" s="327" t="s">
        <v>133</v>
      </c>
      <c r="L17" s="327" t="s">
        <v>134</v>
      </c>
    </row>
    <row r="18" spans="1:12" ht="14.1" customHeight="1">
      <c r="A18" s="69">
        <f t="shared" ref="A18:A29" si="0">$A$2</f>
        <v>46226</v>
      </c>
      <c r="B18" s="70">
        <f>'CHICLETS MASTER S2'!P4</f>
        <v>0.29166666666666669</v>
      </c>
      <c r="C18" s="71" t="s">
        <v>218</v>
      </c>
      <c r="D18" s="71" t="str">
        <f t="shared" ref="D18:D29" si="1">$D$16</f>
        <v>UC IRVINE 1</v>
      </c>
      <c r="E18" s="71">
        <v>1</v>
      </c>
      <c r="F18" s="71" t="str">
        <f>C5</f>
        <v>3-MISSION A</v>
      </c>
      <c r="G18" s="73">
        <v>23</v>
      </c>
      <c r="H18" s="71" t="str">
        <f>C8</f>
        <v>46-LOWPO</v>
      </c>
      <c r="I18" s="71">
        <v>1</v>
      </c>
      <c r="J18" s="71">
        <v>25</v>
      </c>
      <c r="K18" s="71">
        <v>29</v>
      </c>
      <c r="L18" s="71" t="str">
        <f t="shared" ref="L18:L29" si="2">IF(E18="","",$L$15&amp;"-"&amp;TEXT(E18,"000"))</f>
        <v>14B-001</v>
      </c>
    </row>
    <row r="19" spans="1:12" ht="14.1" customHeight="1">
      <c r="A19" s="69">
        <f t="shared" si="0"/>
        <v>46226</v>
      </c>
      <c r="B19" s="70">
        <f>'CHICLETS MASTER S2'!P5</f>
        <v>0.3263888888888889</v>
      </c>
      <c r="C19" s="71" t="s">
        <v>218</v>
      </c>
      <c r="D19" s="71" t="str">
        <f t="shared" si="1"/>
        <v>UC IRVINE 1</v>
      </c>
      <c r="E19" s="71">
        <v>5</v>
      </c>
      <c r="F19" s="71" t="str">
        <f>C6</f>
        <v>22-680 RED</v>
      </c>
      <c r="G19" s="73">
        <v>6</v>
      </c>
      <c r="H19" s="71" t="str">
        <f>C7</f>
        <v>27-CDM BLUE</v>
      </c>
      <c r="I19" s="71">
        <v>9</v>
      </c>
      <c r="J19" s="71">
        <v>25</v>
      </c>
      <c r="K19" s="71">
        <v>29</v>
      </c>
      <c r="L19" s="71" t="str">
        <f t="shared" si="2"/>
        <v>14B-005</v>
      </c>
    </row>
    <row r="20" spans="1:12" ht="14.1" customHeight="1">
      <c r="A20" s="69">
        <f t="shared" si="0"/>
        <v>46226</v>
      </c>
      <c r="B20" s="70">
        <f>'CHICLETS MASTER S2'!P6</f>
        <v>0.36111111111111099</v>
      </c>
      <c r="C20" s="71" t="s">
        <v>218</v>
      </c>
      <c r="D20" s="71" t="str">
        <f t="shared" si="1"/>
        <v>UC IRVINE 1</v>
      </c>
      <c r="E20" s="71">
        <v>9</v>
      </c>
      <c r="F20" s="71" t="str">
        <f>A5</f>
        <v>1-CIU GOLD</v>
      </c>
      <c r="G20" s="73">
        <v>25</v>
      </c>
      <c r="H20" s="71" t="str">
        <f>A8</f>
        <v>48-BARCELONA LIONS</v>
      </c>
      <c r="I20" s="71">
        <v>2</v>
      </c>
      <c r="J20" s="71">
        <v>33</v>
      </c>
      <c r="K20" s="71">
        <v>37</v>
      </c>
      <c r="L20" s="71" t="str">
        <f t="shared" si="2"/>
        <v>14B-009</v>
      </c>
    </row>
    <row r="21" spans="1:12" ht="14.1" customHeight="1">
      <c r="A21" s="69">
        <f t="shared" si="0"/>
        <v>46226</v>
      </c>
      <c r="B21" s="70">
        <f>'CHICLETS MASTER S2'!P7</f>
        <v>0.39583333333333398</v>
      </c>
      <c r="C21" s="71" t="s">
        <v>218</v>
      </c>
      <c r="D21" s="71" t="str">
        <f t="shared" si="1"/>
        <v>UC IRVINE 1</v>
      </c>
      <c r="E21" s="71">
        <v>13</v>
      </c>
      <c r="F21" s="71" t="str">
        <f>A6</f>
        <v>24-CC UNITED BLUE</v>
      </c>
      <c r="G21" s="73">
        <v>5</v>
      </c>
      <c r="H21" s="71" t="str">
        <f>A7</f>
        <v>25-SOUTH COAST RED</v>
      </c>
      <c r="I21" s="71">
        <v>12</v>
      </c>
      <c r="J21" s="71">
        <v>33</v>
      </c>
      <c r="K21" s="71">
        <v>37</v>
      </c>
      <c r="L21" s="71" t="str">
        <f t="shared" si="2"/>
        <v>14B-013</v>
      </c>
    </row>
    <row r="22" spans="1:12" ht="14.1" customHeight="1">
      <c r="A22" s="69">
        <f t="shared" si="0"/>
        <v>46226</v>
      </c>
      <c r="B22" s="70">
        <f>'CHICLETS MASTER S2'!P8</f>
        <v>0.43055555555555602</v>
      </c>
      <c r="C22" s="71" t="s">
        <v>218</v>
      </c>
      <c r="D22" s="71" t="str">
        <f t="shared" si="1"/>
        <v>UC IRVINE 1</v>
      </c>
      <c r="E22" s="71">
        <v>17</v>
      </c>
      <c r="F22" s="71" t="str">
        <f>B5</f>
        <v>2-GREENWICH BLUE</v>
      </c>
      <c r="G22" s="73">
        <v>30</v>
      </c>
      <c r="H22" s="71" t="str">
        <f>B8</f>
        <v>47-TOPAZ TSUNAMI</v>
      </c>
      <c r="I22" s="71">
        <v>0</v>
      </c>
      <c r="J22" s="71">
        <v>41</v>
      </c>
      <c r="K22" s="71">
        <v>45</v>
      </c>
      <c r="L22" s="71" t="str">
        <f t="shared" si="2"/>
        <v>14B-017</v>
      </c>
    </row>
    <row r="23" spans="1:12" ht="14.1" customHeight="1">
      <c r="A23" s="69">
        <f t="shared" si="0"/>
        <v>46226</v>
      </c>
      <c r="B23" s="70">
        <f>'CHICLETS MASTER S2'!P9</f>
        <v>0.46527777777777801</v>
      </c>
      <c r="C23" s="71" t="s">
        <v>218</v>
      </c>
      <c r="D23" s="71" t="str">
        <f t="shared" si="1"/>
        <v>UC IRVINE 1</v>
      </c>
      <c r="E23" s="71">
        <v>21</v>
      </c>
      <c r="F23" s="71" t="str">
        <f>B6</f>
        <v>23-NORTH IRVINE BLACK</v>
      </c>
      <c r="G23" s="73">
        <v>7</v>
      </c>
      <c r="H23" s="71" t="str">
        <f>B7</f>
        <v>26-SAN CLEMENTE RED</v>
      </c>
      <c r="I23" s="71">
        <v>8</v>
      </c>
      <c r="J23" s="71">
        <v>41</v>
      </c>
      <c r="K23" s="71">
        <v>45</v>
      </c>
      <c r="L23" s="71" t="str">
        <f t="shared" si="2"/>
        <v>14B-021</v>
      </c>
    </row>
    <row r="24" spans="1:12" ht="14.1" customHeight="1">
      <c r="A24" s="69">
        <f t="shared" si="0"/>
        <v>46226</v>
      </c>
      <c r="B24" s="70">
        <f>'CHICLETS MASTER S2'!P10</f>
        <v>0.5</v>
      </c>
      <c r="C24" s="71" t="s">
        <v>218</v>
      </c>
      <c r="D24" s="71" t="str">
        <f t="shared" si="1"/>
        <v>UC IRVINE 1</v>
      </c>
      <c r="E24" s="71">
        <v>25</v>
      </c>
      <c r="F24" s="71" t="str">
        <f>IF(G18="","W1",IF(G18&gt;I18,_xlfn.CONCAT("W1-",RIGHT(F18,LEN(F18) - FIND("-",F18))), _xlfn.CONCAT("W1-",RIGHT(H18,LEN(H18) - FIND("-",H18)))))</f>
        <v>W1-MISSION A</v>
      </c>
      <c r="G24" s="81">
        <v>10</v>
      </c>
      <c r="H24" s="71" t="str">
        <f>IF(G19="","W5",IF(G19&gt;I19,_xlfn.CONCAT("W5-",RIGHT(F19,LEN(F19) - FIND("-",F19))), _xlfn.CONCAT("W5-",RIGHT(H19,LEN(H19) - FIND("-",H19)))))</f>
        <v>W5-CDM BLUE</v>
      </c>
      <c r="I24" s="71">
        <v>5</v>
      </c>
      <c r="J24" s="71" t="s">
        <v>381</v>
      </c>
      <c r="K24" s="71">
        <v>50</v>
      </c>
      <c r="L24" s="71" t="str">
        <f t="shared" si="2"/>
        <v>14B-025</v>
      </c>
    </row>
    <row r="25" spans="1:12" ht="14.1" customHeight="1">
      <c r="A25" s="69">
        <f t="shared" si="0"/>
        <v>46226</v>
      </c>
      <c r="B25" s="70">
        <f>'CHICLETS MASTER S2'!P11</f>
        <v>0.53472222222222199</v>
      </c>
      <c r="C25" s="71" t="s">
        <v>218</v>
      </c>
      <c r="D25" s="71" t="str">
        <f t="shared" si="1"/>
        <v>UC IRVINE 1</v>
      </c>
      <c r="E25" s="71">
        <v>29</v>
      </c>
      <c r="F25" s="71" t="str">
        <f>IF(G18="","L1",IF(G18&lt;I18,_xlfn.CONCAT("L1-",RIGHT(F18,LEN(F18) - FIND("-",F18))), _xlfn.CONCAT("L1-",RIGHT(H18,LEN(H18) - FIND("-",H18)))))</f>
        <v>L1-LOWPO</v>
      </c>
      <c r="G25" s="81">
        <v>1</v>
      </c>
      <c r="H25" s="71" t="str">
        <f>IF(G19="","L5",IF(G19&lt;I19,_xlfn.CONCAT("L5-",RIGHT(F19,LEN(F19) - FIND("-",F19))), _xlfn.CONCAT("L5-",RIGHT(H19,LEN(H19) - FIND("-",H19)))))</f>
        <v>L5-680 RED</v>
      </c>
      <c r="I25" s="71">
        <v>13</v>
      </c>
      <c r="J25" s="71">
        <v>49</v>
      </c>
      <c r="K25" s="71" t="s">
        <v>382</v>
      </c>
      <c r="L25" s="71" t="str">
        <f t="shared" si="2"/>
        <v>14B-029</v>
      </c>
    </row>
    <row r="26" spans="1:12" ht="14.1" customHeight="1">
      <c r="A26" s="69">
        <f t="shared" si="0"/>
        <v>46226</v>
      </c>
      <c r="B26" s="70">
        <f>'CHICLETS MASTER S2'!P12</f>
        <v>0.56944444444444497</v>
      </c>
      <c r="C26" s="71" t="s">
        <v>218</v>
      </c>
      <c r="D26" s="71" t="str">
        <f t="shared" si="1"/>
        <v>UC IRVINE 1</v>
      </c>
      <c r="E26" s="71">
        <v>33</v>
      </c>
      <c r="F26" s="71" t="str">
        <f>IF(G20="","W9",IF(G20&gt;I20,_xlfn.CONCAT("W9-",RIGHT(F20,LEN(F20) - FIND("-",F20))), _xlfn.CONCAT("W9-",RIGHT(H20,LEN(H20) - FIND("-",H20)))))</f>
        <v>W9-CIU GOLD</v>
      </c>
      <c r="G26" s="81">
        <v>7</v>
      </c>
      <c r="H26" s="71" t="str">
        <f>IF(G21="","W13",IF(G21&gt;I21,_xlfn.CONCAT("W13-",RIGHT(F21,LEN(F21) - FIND("-",F21))), _xlfn.CONCAT("W13-",RIGHT(H21,LEN(H21) - FIND("-",H21)))))</f>
        <v>W13-SOUTH COAST RED</v>
      </c>
      <c r="I26" s="71">
        <v>6</v>
      </c>
      <c r="J26" s="71" t="s">
        <v>383</v>
      </c>
      <c r="K26" s="71">
        <v>57</v>
      </c>
      <c r="L26" s="71" t="str">
        <f t="shared" si="2"/>
        <v>14B-033</v>
      </c>
    </row>
    <row r="27" spans="1:12" ht="14.1" customHeight="1">
      <c r="A27" s="69">
        <f t="shared" si="0"/>
        <v>46226</v>
      </c>
      <c r="B27" s="70">
        <f>'CHICLETS MASTER S2'!P13</f>
        <v>0.60416666666666696</v>
      </c>
      <c r="C27" s="71" t="s">
        <v>218</v>
      </c>
      <c r="D27" s="71" t="str">
        <f t="shared" si="1"/>
        <v>UC IRVINE 1</v>
      </c>
      <c r="E27" s="71">
        <v>37</v>
      </c>
      <c r="F27" s="71" t="str">
        <f>IF(G20="","L9",IF(G20&lt;I20,_xlfn.CONCAT("L9-",RIGHT(F20,LEN(F20) - FIND("-",F20))), _xlfn.CONCAT("L9-",RIGHT(H20,LEN(H20) - FIND("-",H20)))))</f>
        <v>L9-BARCELONA LIONS</v>
      </c>
      <c r="G27" s="81">
        <v>5</v>
      </c>
      <c r="H27" s="71" t="str">
        <f>IF(G21="","L13",IF(G21&lt;I21,_xlfn.CONCAT("L13-",RIGHT(F21,LEN(F21) - FIND("-",F21))), _xlfn.CONCAT("L13-",RIGHT(H21,LEN(H21) - FIND("-",H21)))))</f>
        <v>L13-CC UNITED BLUE</v>
      </c>
      <c r="I27" s="71">
        <v>14</v>
      </c>
      <c r="J27" s="71">
        <v>53</v>
      </c>
      <c r="K27" s="71" t="s">
        <v>384</v>
      </c>
      <c r="L27" s="71" t="str">
        <f t="shared" si="2"/>
        <v>14B-037</v>
      </c>
    </row>
    <row r="28" spans="1:12" ht="14.1" customHeight="1">
      <c r="A28" s="69">
        <f t="shared" si="0"/>
        <v>46226</v>
      </c>
      <c r="B28" s="70">
        <f>'CHICLETS MASTER S2'!P14</f>
        <v>0.63888888888888895</v>
      </c>
      <c r="C28" s="71" t="s">
        <v>218</v>
      </c>
      <c r="D28" s="71" t="str">
        <f t="shared" si="1"/>
        <v>UC IRVINE 1</v>
      </c>
      <c r="E28" s="71">
        <v>41</v>
      </c>
      <c r="F28" s="71" t="str">
        <f>IF(G22="","W17",IF(G22&gt;I22,_xlfn.CONCAT("W17-",RIGHT(F22,LEN(F22) - FIND("-",F22))), _xlfn.CONCAT("W17-",RIGHT(H22,LEN(H22) - FIND("-",H22)))))</f>
        <v>W17-GREENWICH BLUE</v>
      </c>
      <c r="G28" s="73">
        <v>12</v>
      </c>
      <c r="H28" s="71" t="str">
        <f>IF(G23="","W21",IF(G23&gt;I23,_xlfn.CONCAT("W21-",RIGHT(F23,LEN(F23) - FIND("-",F23))), _xlfn.CONCAT("W21-",RIGHT(H23,LEN(H23) - FIND("-",H23)))))</f>
        <v>W21-SAN CLEMENTE RED</v>
      </c>
      <c r="I28" s="71">
        <v>10</v>
      </c>
      <c r="J28" s="71" t="s">
        <v>385</v>
      </c>
      <c r="K28" s="71">
        <v>53</v>
      </c>
      <c r="L28" s="71" t="str">
        <f t="shared" si="2"/>
        <v>14B-041</v>
      </c>
    </row>
    <row r="29" spans="1:12" ht="14.1" customHeight="1">
      <c r="A29" s="69">
        <f t="shared" si="0"/>
        <v>46226</v>
      </c>
      <c r="B29" s="70">
        <f>'CHICLETS MASTER S2'!P15</f>
        <v>0.67361111111111105</v>
      </c>
      <c r="C29" s="71" t="s">
        <v>218</v>
      </c>
      <c r="D29" s="71" t="str">
        <f t="shared" si="1"/>
        <v>UC IRVINE 1</v>
      </c>
      <c r="E29" s="71">
        <v>45</v>
      </c>
      <c r="F29" s="71" t="str">
        <f>IF(G22="","L17",IF(G22&lt;I22,_xlfn.CONCAT("L17-",RIGHT(F22,LEN(F22) - FIND("-",F22))), _xlfn.CONCAT("L17-",RIGHT(H22,LEN(H22) - FIND("-",H22)))))</f>
        <v>L17-TOPAZ TSUNAMI</v>
      </c>
      <c r="G29" s="73">
        <v>2</v>
      </c>
      <c r="H29" s="71" t="str">
        <f>IF(G23="","L21",IF(G23&lt;I23,_xlfn.CONCAT("L21-",RIGHT(F23,LEN(F23) - FIND("-",F23))), _xlfn.CONCAT("L21-",RIGHT(H23,LEN(H23) - FIND("-",H23)))))</f>
        <v>L21-NORTH IRVINE BLACK</v>
      </c>
      <c r="I29" s="71">
        <v>24</v>
      </c>
      <c r="J29" s="71">
        <v>57</v>
      </c>
      <c r="K29" s="71" t="s">
        <v>386</v>
      </c>
      <c r="L29" s="71" t="str">
        <f t="shared" si="2"/>
        <v>14B-045</v>
      </c>
    </row>
    <row r="30" spans="1:12" ht="14.1" customHeight="1">
      <c r="A30" s="75"/>
      <c r="B30" s="60" t="s">
        <v>139</v>
      </c>
      <c r="C30" s="60"/>
      <c r="D30" s="60"/>
      <c r="E30" s="60"/>
      <c r="F30" s="60"/>
      <c r="G30" s="64"/>
      <c r="H30" s="60"/>
      <c r="I30" s="60"/>
      <c r="J30" s="60"/>
      <c r="K30" s="60"/>
      <c r="L30" s="60"/>
    </row>
    <row r="31" spans="1:12" ht="14.1" customHeight="1">
      <c r="A31" s="69">
        <f>$A$2</f>
        <v>46226</v>
      </c>
      <c r="B31" s="70">
        <f>'CHICLETS MASTER S2'!P17</f>
        <v>0.74305555555555602</v>
      </c>
      <c r="C31" s="71" t="s">
        <v>140</v>
      </c>
      <c r="D31" s="71" t="str">
        <f>$D$16</f>
        <v>UC IRVINE 1</v>
      </c>
      <c r="E31" s="71">
        <v>49</v>
      </c>
      <c r="F31" s="66" t="str">
        <f>IF(G43="","L26",IF(G43&lt;I43,_xlfn.CONCAT("L26-",RIGHT(F43,LEN(F43) - FIND("-",F43))), _xlfn.CONCAT("L26-",RIGHT(H43,LEN(H43) - FIND("-",H43)))))</f>
        <v>L26-SD DONS 13A GOLD</v>
      </c>
      <c r="G31" s="81">
        <v>6</v>
      </c>
      <c r="H31" s="71" t="str">
        <f>IF(G25="","W29",IF(G25&gt;I25,_xlfn.CONCAT("W29-",RIGHT(F25,LEN(F25) - FIND("-",F25))), _xlfn.CONCAT("W29-",RIGHT(H25,LEN(H25) - FIND("-",H25)))))</f>
        <v>W29-680 RED</v>
      </c>
      <c r="I31" s="71">
        <v>11</v>
      </c>
      <c r="J31" s="71" t="s">
        <v>155</v>
      </c>
      <c r="K31" s="71" t="s">
        <v>152</v>
      </c>
      <c r="L31" s="71" t="str">
        <f>IF(E31="","",$L$15&amp;"-"&amp;TEXT(E31,"000"))</f>
        <v>14B-049</v>
      </c>
    </row>
    <row r="32" spans="1:12" ht="14.1" customHeight="1">
      <c r="A32" s="69">
        <f>$A$2</f>
        <v>46226</v>
      </c>
      <c r="B32" s="70">
        <f>'CHICLETS MASTER S2'!P18</f>
        <v>0.77777777777777801</v>
      </c>
      <c r="C32" s="71" t="s">
        <v>140</v>
      </c>
      <c r="D32" s="71" t="str">
        <f>$D$16</f>
        <v>UC IRVINE 1</v>
      </c>
      <c r="E32" s="71">
        <v>53</v>
      </c>
      <c r="F32" s="71" t="str">
        <f>IF(G28="","L41",IF(G28&lt;I28,_xlfn.CONCAT("L41-",RIGHT(F28,LEN(F28) - FIND("-",F28))), _xlfn.CONCAT("L41-",RIGHT(H28,LEN(H28) - FIND("-",H28)))))</f>
        <v>L41-SAN CLEMENTE RED</v>
      </c>
      <c r="G32" s="81">
        <v>11.5</v>
      </c>
      <c r="H32" s="71" t="str">
        <f>IF(G27="","W37",IF(G27&gt;I27,_xlfn.CONCAT("W37-",RIGHT(F27,LEN(F27) - FIND("-",F27))), _xlfn.CONCAT("W37-",RIGHT(H27,LEN(H27) - FIND("-",H27)))))</f>
        <v>W37-CC UNITED BLUE</v>
      </c>
      <c r="I32" s="71">
        <v>11.4</v>
      </c>
      <c r="J32" s="71" t="s">
        <v>147</v>
      </c>
      <c r="K32" s="71" t="s">
        <v>148</v>
      </c>
      <c r="L32" s="71" t="str">
        <f>IF(E32="","",$L$15&amp;"-"&amp;TEXT(E32,"000"))</f>
        <v>14B-053</v>
      </c>
    </row>
    <row r="33" spans="1:12" ht="14.1" customHeight="1">
      <c r="A33" s="69">
        <f>$A$2</f>
        <v>46226</v>
      </c>
      <c r="B33" s="70">
        <f>'CHICLETS MASTER S2'!P19</f>
        <v>0.8125</v>
      </c>
      <c r="C33" s="71" t="s">
        <v>140</v>
      </c>
      <c r="D33" s="71" t="str">
        <f>$D$16</f>
        <v>UC IRVINE 1</v>
      </c>
      <c r="E33" s="71">
        <v>57</v>
      </c>
      <c r="F33" s="71" t="str">
        <f>IF(G26="","L33",IF(G26&lt;I26,_xlfn.CONCAT("L33-",RIGHT(F26,LEN(F26) - FIND("-",F26))), _xlfn.CONCAT("L33-",RIGHT(H26,LEN(H26) - FIND("-",H26)))))</f>
        <v>L33-SOUTH COAST RED</v>
      </c>
      <c r="G33" s="81">
        <v>7</v>
      </c>
      <c r="H33" s="71" t="str">
        <f>IF(G29="","W45",IF(G29&gt;I29,_xlfn.CONCAT("W45-",RIGHT(F29,LEN(F29) - FIND("-",F29))), _xlfn.CONCAT("W45-",RIGHT(H29,LEN(H29) - FIND("-",H29)))))</f>
        <v>W45-NORTH IRVINE BLACK</v>
      </c>
      <c r="I33" s="71">
        <v>6</v>
      </c>
      <c r="J33" s="71" t="s">
        <v>143</v>
      </c>
      <c r="K33" s="71" t="s">
        <v>144</v>
      </c>
      <c r="L33" s="71" t="str">
        <f>IF(E33="","",$L$15&amp;"-"&amp;TEXT(E33,"000"))</f>
        <v>14B-057</v>
      </c>
    </row>
    <row r="34" spans="1:12" ht="14.1" customHeight="1" thickBot="1">
      <c r="A34" s="78"/>
      <c r="B34" s="79"/>
      <c r="C34" s="60"/>
      <c r="D34" s="60"/>
      <c r="E34" s="60"/>
      <c r="I34" s="60"/>
      <c r="J34" s="60"/>
      <c r="K34" s="60"/>
      <c r="L34" s="60"/>
    </row>
    <row r="35" spans="1:12" ht="14.1" customHeight="1" thickBot="1">
      <c r="B35" s="79"/>
      <c r="C35" s="60"/>
      <c r="D35" s="328" t="str">
        <f>'CHICLETS MASTER S2'!$R$3</f>
        <v>UC IRVINE 2</v>
      </c>
      <c r="E35" s="60"/>
      <c r="I35" s="60"/>
      <c r="J35" s="60"/>
      <c r="K35" s="60"/>
      <c r="L35" s="60"/>
    </row>
    <row r="36" spans="1:12" ht="14.1" customHeight="1">
      <c r="A36" s="325" t="s">
        <v>124</v>
      </c>
      <c r="B36" s="327" t="s">
        <v>125</v>
      </c>
      <c r="C36" s="327" t="s">
        <v>126</v>
      </c>
      <c r="D36" s="327" t="s">
        <v>127</v>
      </c>
      <c r="E36" s="327" t="s">
        <v>128</v>
      </c>
      <c r="F36" s="327" t="s">
        <v>129</v>
      </c>
      <c r="G36" s="327" t="s">
        <v>130</v>
      </c>
      <c r="H36" s="327" t="s">
        <v>131</v>
      </c>
      <c r="I36" s="327" t="s">
        <v>130</v>
      </c>
      <c r="J36" s="327" t="s">
        <v>132</v>
      </c>
      <c r="K36" s="327" t="s">
        <v>133</v>
      </c>
      <c r="L36" s="327" t="s">
        <v>134</v>
      </c>
    </row>
    <row r="37" spans="1:12" ht="14.1" customHeight="1">
      <c r="A37" s="69">
        <f t="shared" ref="A37:A48" si="3">$A$2</f>
        <v>46226</v>
      </c>
      <c r="B37" s="70">
        <f>'CHICLETS MASTER S2'!P4</f>
        <v>0.29166666666666669</v>
      </c>
      <c r="C37" s="71" t="s">
        <v>218</v>
      </c>
      <c r="D37" s="71" t="str">
        <f t="shared" ref="D37:D48" si="4">$D$35</f>
        <v>UC IRVINE 2</v>
      </c>
      <c r="E37" s="71">
        <v>2</v>
      </c>
      <c r="F37" s="71" t="str">
        <f>D5</f>
        <v>4-LA JOLLA UNITED</v>
      </c>
      <c r="G37" s="73">
        <v>25</v>
      </c>
      <c r="H37" s="71" t="str">
        <f>D8</f>
        <v>45-AMERICAN RIVER A</v>
      </c>
      <c r="I37" s="71">
        <v>7</v>
      </c>
      <c r="J37" s="71">
        <v>26</v>
      </c>
      <c r="K37" s="71">
        <v>30</v>
      </c>
      <c r="L37" s="71" t="str">
        <f t="shared" ref="L37:L48" si="5">IF(E37="","",$L$15&amp;"-"&amp;TEXT(E37,"000"))</f>
        <v>14B-002</v>
      </c>
    </row>
    <row r="38" spans="1:12" ht="14.1" customHeight="1">
      <c r="A38" s="69">
        <f t="shared" si="3"/>
        <v>46226</v>
      </c>
      <c r="B38" s="70">
        <f>'CHICLETS MASTER S2'!P5</f>
        <v>0.3263888888888889</v>
      </c>
      <c r="C38" s="71" t="s">
        <v>218</v>
      </c>
      <c r="D38" s="71" t="str">
        <f t="shared" si="4"/>
        <v>UC IRVINE 2</v>
      </c>
      <c r="E38" s="71">
        <v>6</v>
      </c>
      <c r="F38" s="71" t="str">
        <f>D6</f>
        <v>21-SD DONS 13A GOLD</v>
      </c>
      <c r="G38" s="73">
        <v>16</v>
      </c>
      <c r="H38" s="71" t="str">
        <f>D7</f>
        <v>28-SANTA BARBARA WPC A</v>
      </c>
      <c r="I38" s="71">
        <v>3</v>
      </c>
      <c r="J38" s="71">
        <v>26</v>
      </c>
      <c r="K38" s="71">
        <v>30</v>
      </c>
      <c r="L38" s="71" t="str">
        <f t="shared" si="5"/>
        <v>14B-006</v>
      </c>
    </row>
    <row r="39" spans="1:12" ht="14.1" customHeight="1">
      <c r="A39" s="69">
        <f t="shared" si="3"/>
        <v>46226</v>
      </c>
      <c r="B39" s="70">
        <f>'CHICLETS MASTER S2'!P6</f>
        <v>0.36111111111111099</v>
      </c>
      <c r="C39" s="71" t="s">
        <v>218</v>
      </c>
      <c r="D39" s="71" t="str">
        <f t="shared" si="4"/>
        <v>UC IRVINE 2</v>
      </c>
      <c r="E39" s="71">
        <v>10</v>
      </c>
      <c r="F39" s="71" t="str">
        <f>E5</f>
        <v>5-NEWPORT BEACH BLUE</v>
      </c>
      <c r="G39" s="73">
        <v>25</v>
      </c>
      <c r="H39" s="71" t="str">
        <f>E8</f>
        <v>44-PUGET SOUND</v>
      </c>
      <c r="I39" s="71">
        <v>3</v>
      </c>
      <c r="J39" s="71">
        <v>34</v>
      </c>
      <c r="K39" s="71">
        <v>38</v>
      </c>
      <c r="L39" s="71" t="str">
        <f t="shared" si="5"/>
        <v>14B-010</v>
      </c>
    </row>
    <row r="40" spans="1:12" ht="14.1" customHeight="1">
      <c r="A40" s="69">
        <f t="shared" si="3"/>
        <v>46226</v>
      </c>
      <c r="B40" s="70">
        <f>'CHICLETS MASTER S2'!P7</f>
        <v>0.39583333333333398</v>
      </c>
      <c r="C40" s="71" t="s">
        <v>218</v>
      </c>
      <c r="D40" s="71" t="str">
        <f t="shared" si="4"/>
        <v>UC IRVINE 2</v>
      </c>
      <c r="E40" s="71">
        <v>14</v>
      </c>
      <c r="F40" s="71" t="str">
        <f>E6</f>
        <v>20-HONOLULU A</v>
      </c>
      <c r="G40" s="73">
        <v>8</v>
      </c>
      <c r="H40" s="71" t="str">
        <f>E7</f>
        <v>29-NORTHWEST</v>
      </c>
      <c r="I40" s="73">
        <v>16</v>
      </c>
      <c r="J40" s="71">
        <v>34</v>
      </c>
      <c r="K40" s="71">
        <v>38</v>
      </c>
      <c r="L40" s="71" t="str">
        <f t="shared" si="5"/>
        <v>14B-014</v>
      </c>
    </row>
    <row r="41" spans="1:12" ht="14.1" customHeight="1">
      <c r="A41" s="69">
        <f t="shared" si="3"/>
        <v>46226</v>
      </c>
      <c r="B41" s="70">
        <f>'CHICLETS MASTER S2'!P8</f>
        <v>0.43055555555555602</v>
      </c>
      <c r="C41" s="71" t="s">
        <v>218</v>
      </c>
      <c r="D41" s="71" t="str">
        <f t="shared" si="4"/>
        <v>UC IRVINE 2</v>
      </c>
      <c r="E41" s="71">
        <v>18</v>
      </c>
      <c r="F41" s="71" t="str">
        <f>F5</f>
        <v>6-908 YELLOW A</v>
      </c>
      <c r="G41" s="73">
        <v>22</v>
      </c>
      <c r="H41" s="71" t="str">
        <f>F8</f>
        <v>43-COLORADO</v>
      </c>
      <c r="I41" s="71">
        <v>2</v>
      </c>
      <c r="J41" s="71">
        <v>42</v>
      </c>
      <c r="K41" s="71">
        <v>46</v>
      </c>
      <c r="L41" s="71" t="str">
        <f t="shared" si="5"/>
        <v>14B-018</v>
      </c>
    </row>
    <row r="42" spans="1:12" ht="14.1" customHeight="1">
      <c r="A42" s="69">
        <f t="shared" si="3"/>
        <v>46226</v>
      </c>
      <c r="B42" s="70">
        <f>'CHICLETS MASTER S2'!P9</f>
        <v>0.46527777777777801</v>
      </c>
      <c r="C42" s="71" t="s">
        <v>218</v>
      </c>
      <c r="D42" s="71" t="str">
        <f t="shared" si="4"/>
        <v>UC IRVINE 2</v>
      </c>
      <c r="E42" s="71">
        <v>22</v>
      </c>
      <c r="F42" s="71" t="str">
        <f>F6</f>
        <v>19-VANGUARD BLUE</v>
      </c>
      <c r="G42" s="73">
        <v>16</v>
      </c>
      <c r="H42" s="71" t="str">
        <f>F7</f>
        <v>30-SHAQ</v>
      </c>
      <c r="I42" s="71">
        <v>6</v>
      </c>
      <c r="J42" s="71">
        <v>42</v>
      </c>
      <c r="K42" s="71">
        <v>46</v>
      </c>
      <c r="L42" s="71" t="str">
        <f t="shared" si="5"/>
        <v>14B-022</v>
      </c>
    </row>
    <row r="43" spans="1:12" ht="14.1" customHeight="1">
      <c r="A43" s="69">
        <f t="shared" si="3"/>
        <v>46226</v>
      </c>
      <c r="B43" s="70">
        <f>'CHICLETS MASTER S2'!P10</f>
        <v>0.5</v>
      </c>
      <c r="C43" s="71" t="s">
        <v>218</v>
      </c>
      <c r="D43" s="71" t="str">
        <f t="shared" si="4"/>
        <v>UC IRVINE 2</v>
      </c>
      <c r="E43" s="71">
        <v>26</v>
      </c>
      <c r="F43" s="71" t="str">
        <f>IF(G37="","W2",IF(G37&gt;I37,_xlfn.CONCAT("W2-",RIGHT(F37,LEN(F37) - FIND("-",F37))), _xlfn.CONCAT("W2-",RIGHT(H37,LEN(H37) - FIND("-",H37)))))</f>
        <v>W2-LA JOLLA UNITED</v>
      </c>
      <c r="G43" s="81">
        <v>12</v>
      </c>
      <c r="H43" s="71" t="str">
        <f>IF(G38="","W6",IF(G38&gt;I38,_xlfn.CONCAT("W6-",RIGHT(F38,LEN(F38) - FIND("-",F38))), _xlfn.CONCAT("W6-",RIGHT(H38,LEN(H38) - FIND("-",H38)))))</f>
        <v>W6-SD DONS 13A GOLD</v>
      </c>
      <c r="I43" s="71">
        <v>6</v>
      </c>
      <c r="J43" s="71" t="s">
        <v>387</v>
      </c>
      <c r="K43" s="71">
        <v>49</v>
      </c>
      <c r="L43" s="71" t="str">
        <f t="shared" si="5"/>
        <v>14B-026</v>
      </c>
    </row>
    <row r="44" spans="1:12" ht="14.1" customHeight="1">
      <c r="A44" s="69">
        <f t="shared" si="3"/>
        <v>46226</v>
      </c>
      <c r="B44" s="70">
        <f>'CHICLETS MASTER S2'!P11</f>
        <v>0.53472222222222199</v>
      </c>
      <c r="C44" s="71" t="s">
        <v>218</v>
      </c>
      <c r="D44" s="71" t="str">
        <f t="shared" si="4"/>
        <v>UC IRVINE 2</v>
      </c>
      <c r="E44" s="71">
        <v>30</v>
      </c>
      <c r="F44" s="71" t="str">
        <f>IF(G37="","L2",IF(G37&lt;I37,_xlfn.CONCAT("L2-",RIGHT(F37,LEN(F37) - FIND("-",F37))), _xlfn.CONCAT("L2-",RIGHT(H37,LEN(H37) - FIND("-",H37)))))</f>
        <v>L2-AMERICAN RIVER A</v>
      </c>
      <c r="G44" s="81">
        <v>10.199999999999999</v>
      </c>
      <c r="H44" s="71" t="str">
        <f>IF(G38="","L6",IF(G38&lt;I38,_xlfn.CONCAT("L6-",RIGHT(F38,LEN(F38) - FIND("-",F38))), _xlfn.CONCAT("L6-",RIGHT(H38,LEN(H38) - FIND("-",H38)))))</f>
        <v>L6-SANTA BARBARA WPC A</v>
      </c>
      <c r="I44" s="71">
        <v>10.4</v>
      </c>
      <c r="J44" s="71">
        <v>50</v>
      </c>
      <c r="K44" s="71" t="s">
        <v>388</v>
      </c>
      <c r="L44" s="71" t="str">
        <f t="shared" si="5"/>
        <v>14B-030</v>
      </c>
    </row>
    <row r="45" spans="1:12" ht="14.1" customHeight="1">
      <c r="A45" s="69">
        <f t="shared" si="3"/>
        <v>46226</v>
      </c>
      <c r="B45" s="70">
        <f>'CHICLETS MASTER S2'!P12</f>
        <v>0.56944444444444497</v>
      </c>
      <c r="C45" s="71" t="s">
        <v>218</v>
      </c>
      <c r="D45" s="71" t="str">
        <f t="shared" si="4"/>
        <v>UC IRVINE 2</v>
      </c>
      <c r="E45" s="71">
        <v>34</v>
      </c>
      <c r="F45" s="71" t="str">
        <f>IF(G39="","W10",IF(G39&gt;I39,_xlfn.CONCAT("W10-",RIGHT(F39,LEN(F39) - FIND("-",F39))), _xlfn.CONCAT("W10-",RIGHT(H39,LEN(H39) - FIND("-",H39)))))</f>
        <v>W10-NEWPORT BEACH BLUE</v>
      </c>
      <c r="G45" s="73">
        <v>22</v>
      </c>
      <c r="H45" s="71" t="str">
        <f>IF(G40="","W14",IF(G40&gt;I40,_xlfn.CONCAT("W14-",RIGHT(F40,LEN(F40) - FIND("-",F40))), _xlfn.CONCAT("W14-",RIGHT(H40,LEN(H40) - FIND("-",H40)))))</f>
        <v>W14-NORTHWEST</v>
      </c>
      <c r="I45" s="71">
        <v>2</v>
      </c>
      <c r="J45" s="71" t="s">
        <v>389</v>
      </c>
      <c r="K45" s="71">
        <v>58</v>
      </c>
      <c r="L45" s="71" t="str">
        <f t="shared" si="5"/>
        <v>14B-034</v>
      </c>
    </row>
    <row r="46" spans="1:12" ht="14.1" customHeight="1">
      <c r="A46" s="69">
        <f t="shared" si="3"/>
        <v>46226</v>
      </c>
      <c r="B46" s="70">
        <f>'CHICLETS MASTER S2'!P13</f>
        <v>0.60416666666666696</v>
      </c>
      <c r="C46" s="71" t="s">
        <v>218</v>
      </c>
      <c r="D46" s="71" t="str">
        <f t="shared" si="4"/>
        <v>UC IRVINE 2</v>
      </c>
      <c r="E46" s="71">
        <v>38</v>
      </c>
      <c r="F46" s="71" t="str">
        <f>IF(G39="","L10",IF(G39&lt;I39,_xlfn.CONCAT("L10-",RIGHT(F39,LEN(F39) - FIND("-",F39))), _xlfn.CONCAT("L10-",RIGHT(H39,LEN(H39) - FIND("-",H39)))))</f>
        <v>L10-PUGET SOUND</v>
      </c>
      <c r="G46" s="73">
        <v>13</v>
      </c>
      <c r="H46" s="71" t="str">
        <f>IF(G40="","L14",IF(G40&lt;I40,_xlfn.CONCAT("L14-",RIGHT(F40,LEN(F40) - FIND("-",F40))), _xlfn.CONCAT("L14-",RIGHT(H40,LEN(H40) - FIND("-",H40)))))</f>
        <v>L14-HONOLULU A</v>
      </c>
      <c r="I46" s="71">
        <v>8</v>
      </c>
      <c r="J46" s="71">
        <v>54</v>
      </c>
      <c r="K46" s="71" t="s">
        <v>390</v>
      </c>
      <c r="L46" s="71" t="str">
        <f t="shared" si="5"/>
        <v>14B-038</v>
      </c>
    </row>
    <row r="47" spans="1:12" ht="14.1" customHeight="1">
      <c r="A47" s="69">
        <f t="shared" si="3"/>
        <v>46226</v>
      </c>
      <c r="B47" s="70">
        <f>'CHICLETS MASTER S2'!P14</f>
        <v>0.63888888888888895</v>
      </c>
      <c r="C47" s="71" t="s">
        <v>218</v>
      </c>
      <c r="D47" s="71" t="str">
        <f t="shared" si="4"/>
        <v>UC IRVINE 2</v>
      </c>
      <c r="E47" s="71">
        <v>42</v>
      </c>
      <c r="F47" s="71" t="str">
        <f>IF(G41="","W18",IF(G41&gt;I41,_xlfn.CONCAT("W18-",RIGHT(F41,LEN(F41) - FIND("-",F41))), _xlfn.CONCAT("W18-",RIGHT(H41,LEN(H41) - FIND("-",H41)))))</f>
        <v>W18-908 YELLOW A</v>
      </c>
      <c r="G47" s="73">
        <v>11</v>
      </c>
      <c r="H47" s="71" t="str">
        <f>IF(G42="","W22",IF(G42&gt;I42,_xlfn.CONCAT("W22-",RIGHT(F42,LEN(F42) - FIND("-",F42))), _xlfn.CONCAT("W22-",RIGHT(H42,LEN(H42) - FIND("-",H42)))))</f>
        <v>W22-VANGUARD BLUE</v>
      </c>
      <c r="I47" s="71">
        <v>6</v>
      </c>
      <c r="J47" s="71" t="s">
        <v>391</v>
      </c>
      <c r="K47" s="71">
        <v>54</v>
      </c>
      <c r="L47" s="71" t="str">
        <f t="shared" si="5"/>
        <v>14B-042</v>
      </c>
    </row>
    <row r="48" spans="1:12" ht="14.1" customHeight="1">
      <c r="A48" s="69">
        <f t="shared" si="3"/>
        <v>46226</v>
      </c>
      <c r="B48" s="70">
        <f>'CHICLETS MASTER S2'!P15</f>
        <v>0.67361111111111105</v>
      </c>
      <c r="C48" s="71" t="s">
        <v>218</v>
      </c>
      <c r="D48" s="71" t="str">
        <f t="shared" si="4"/>
        <v>UC IRVINE 2</v>
      </c>
      <c r="E48" s="71">
        <v>46</v>
      </c>
      <c r="F48" s="71" t="str">
        <f>IF(G41="","L18",IF(G41&lt;I41,_xlfn.CONCAT("L18-",RIGHT(F41,LEN(F41) - FIND("-",F41))), _xlfn.CONCAT("L18-",RIGHT(H41,LEN(H41) - FIND("-",H41)))))</f>
        <v>L18-COLORADO</v>
      </c>
      <c r="G48" s="73">
        <v>7</v>
      </c>
      <c r="H48" s="71" t="str">
        <f>IF(G42="","L22",IF(G42&lt;I42,_xlfn.CONCAT("L22-",RIGHT(F42,LEN(F42) - FIND("-",F42))), _xlfn.CONCAT("L22-",RIGHT(H42,LEN(H42) - FIND("-",H42)))))</f>
        <v>L22-SHAQ</v>
      </c>
      <c r="I48" s="71">
        <v>17</v>
      </c>
      <c r="J48" s="71">
        <v>58</v>
      </c>
      <c r="K48" s="71" t="s">
        <v>392</v>
      </c>
      <c r="L48" s="71" t="str">
        <f t="shared" si="5"/>
        <v>14B-046</v>
      </c>
    </row>
    <row r="49" spans="1:12" ht="14.1" customHeight="1">
      <c r="A49" s="75"/>
      <c r="B49" s="60" t="s">
        <v>139</v>
      </c>
      <c r="C49" s="60"/>
      <c r="D49" s="60"/>
      <c r="E49" s="60"/>
      <c r="F49" s="60"/>
      <c r="G49" s="64"/>
      <c r="H49" s="60"/>
      <c r="I49" s="60"/>
      <c r="J49" s="60"/>
      <c r="K49" s="60"/>
      <c r="L49" s="60"/>
    </row>
    <row r="50" spans="1:12" ht="14.1" customHeight="1">
      <c r="A50" s="69">
        <f>$A$2</f>
        <v>46226</v>
      </c>
      <c r="B50" s="70">
        <f>'CHICLETS MASTER S2'!P17</f>
        <v>0.74305555555555602</v>
      </c>
      <c r="C50" s="71" t="s">
        <v>140</v>
      </c>
      <c r="D50" s="71" t="str">
        <f>$D$35</f>
        <v>UC IRVINE 2</v>
      </c>
      <c r="E50" s="71">
        <v>50</v>
      </c>
      <c r="F50" s="76" t="str">
        <f>IF(G24="","L25",IF(G24&lt;I24,_xlfn.CONCAT("L25-",RIGHT(F24,LEN(F24) - FIND("-",F24))), _xlfn.CONCAT("L25-",RIGHT(H24,LEN(H24) - FIND("-",H24)))))</f>
        <v>L25-CDM BLUE</v>
      </c>
      <c r="G50" s="81">
        <v>15</v>
      </c>
      <c r="H50" s="71" t="str">
        <f>IF(G44="","W30",IF(G44&gt;I44,_xlfn.CONCAT("W30-",RIGHT(F44,LEN(F44) - FIND("-",F44))), _xlfn.CONCAT("W30-",RIGHT(H44,LEN(H44) - FIND("-",H44)))))</f>
        <v>W30-SANTA BARBARA WPC A</v>
      </c>
      <c r="I50" s="71">
        <v>1</v>
      </c>
      <c r="J50" s="71" t="s">
        <v>151</v>
      </c>
      <c r="K50" s="71" t="s">
        <v>393</v>
      </c>
      <c r="L50" s="71" t="str">
        <f>IF(E50="","",$L$15&amp;"-"&amp;TEXT(E50,"000"))</f>
        <v>14B-050</v>
      </c>
    </row>
    <row r="51" spans="1:12" ht="14.1" customHeight="1">
      <c r="A51" s="69">
        <f>$A$2</f>
        <v>46226</v>
      </c>
      <c r="B51" s="70">
        <f>'CHICLETS MASTER S2'!P18</f>
        <v>0.77777777777777801</v>
      </c>
      <c r="C51" s="71" t="s">
        <v>140</v>
      </c>
      <c r="D51" s="71" t="str">
        <f>$D$35</f>
        <v>UC IRVINE 2</v>
      </c>
      <c r="E51" s="71">
        <v>54</v>
      </c>
      <c r="F51" s="71" t="str">
        <f>IF(G47="","L42",IF(G47&lt;I47,_xlfn.CONCAT("L42-",RIGHT(F47,LEN(F47) - FIND("-",F47))), _xlfn.CONCAT("L42-",RIGHT(H47,LEN(H47) - FIND("-",H47)))))</f>
        <v>L42-VANGUARD BLUE</v>
      </c>
      <c r="G51" s="81">
        <v>18</v>
      </c>
      <c r="H51" s="71" t="str">
        <f>IF(G46="","W38",IF(G46&gt;I46,_xlfn.CONCAT("W38-",RIGHT(F46,LEN(F46) - FIND("-",F46))), _xlfn.CONCAT("W38-",RIGHT(H46,LEN(H46) - FIND("-",H46)))))</f>
        <v>W38-PUGET SOUND</v>
      </c>
      <c r="I51" s="71">
        <v>2</v>
      </c>
      <c r="J51" s="71" t="s">
        <v>171</v>
      </c>
      <c r="K51" s="71" t="s">
        <v>394</v>
      </c>
      <c r="L51" s="71" t="str">
        <f>IF(E51="","",$L$15&amp;"-"&amp;TEXT(E51,"000"))</f>
        <v>14B-054</v>
      </c>
    </row>
    <row r="52" spans="1:12" ht="14.1" customHeight="1">
      <c r="A52" s="69">
        <f>$A$2</f>
        <v>46226</v>
      </c>
      <c r="B52" s="70">
        <f>'CHICLETS MASTER S2'!P19</f>
        <v>0.8125</v>
      </c>
      <c r="C52" s="71" t="s">
        <v>140</v>
      </c>
      <c r="D52" s="71" t="str">
        <f>$D$35</f>
        <v>UC IRVINE 2</v>
      </c>
      <c r="E52" s="71">
        <v>58</v>
      </c>
      <c r="F52" s="71" t="str">
        <f>IF(G45="","L34",IF(G45&lt;I45,_xlfn.CONCAT("L34-",RIGHT(F45,LEN(F45) - FIND("-",F45))), _xlfn.CONCAT("L34-",RIGHT(H45,LEN(H45) - FIND("-",H45)))))</f>
        <v>L34-NORTHWEST</v>
      </c>
      <c r="G52" s="81">
        <v>10</v>
      </c>
      <c r="H52" s="71" t="str">
        <f>IF(G48="","W46",IF(G48&gt;I48,_xlfn.CONCAT("W46-",RIGHT(F48,LEN(F48) - FIND("-",F48))), _xlfn.CONCAT("W46-",RIGHT(H48,LEN(H48) - FIND("-",H48)))))</f>
        <v>W46-SHAQ</v>
      </c>
      <c r="I52" s="71">
        <v>15</v>
      </c>
      <c r="J52" s="71" t="s">
        <v>175</v>
      </c>
      <c r="K52" s="71" t="s">
        <v>172</v>
      </c>
      <c r="L52" s="71" t="str">
        <f>IF(E52="","",$L$15&amp;"-"&amp;TEXT(E52,"000"))</f>
        <v>14B-058</v>
      </c>
    </row>
    <row r="53" spans="1:12" ht="14.1" customHeight="1" thickBot="1"/>
    <row r="54" spans="1:12" ht="14.1" customHeight="1" thickBot="1">
      <c r="B54" s="60"/>
      <c r="C54" s="60"/>
      <c r="D54" s="68" t="str">
        <f>'CHICLETS MASTER S2'!$S$3</f>
        <v>EL MODENA HS</v>
      </c>
      <c r="I54" s="60"/>
      <c r="J54" s="60"/>
      <c r="K54" s="60"/>
      <c r="L54" s="60"/>
    </row>
    <row r="55" spans="1:12" ht="14.1" customHeight="1">
      <c r="A55" s="325" t="s">
        <v>124</v>
      </c>
      <c r="B55" s="327" t="s">
        <v>125</v>
      </c>
      <c r="C55" s="327" t="s">
        <v>126</v>
      </c>
      <c r="D55" s="327" t="s">
        <v>127</v>
      </c>
      <c r="E55" s="327" t="s">
        <v>128</v>
      </c>
      <c r="F55" s="327" t="s">
        <v>129</v>
      </c>
      <c r="G55" s="327" t="s">
        <v>130</v>
      </c>
      <c r="H55" s="327" t="s">
        <v>131</v>
      </c>
      <c r="I55" s="327" t="s">
        <v>130</v>
      </c>
      <c r="J55" s="327" t="s">
        <v>132</v>
      </c>
      <c r="K55" s="327" t="s">
        <v>133</v>
      </c>
      <c r="L55" s="327" t="s">
        <v>134</v>
      </c>
    </row>
    <row r="56" spans="1:12" ht="14.1" customHeight="1">
      <c r="A56" s="69">
        <f t="shared" ref="A56:A67" si="6">$A$2</f>
        <v>46226</v>
      </c>
      <c r="B56" s="70">
        <f>'CHICLETS MASTER S2'!P4</f>
        <v>0.29166666666666669</v>
      </c>
      <c r="C56" s="71" t="s">
        <v>218</v>
      </c>
      <c r="D56" s="71" t="str">
        <f t="shared" ref="D56:D67" si="7">$D$54</f>
        <v>EL MODENA HS</v>
      </c>
      <c r="E56" s="71">
        <v>3</v>
      </c>
      <c r="F56" s="71" t="str">
        <f>C11</f>
        <v>9-DIABLO ALLIANCE A</v>
      </c>
      <c r="G56" s="73">
        <v>10</v>
      </c>
      <c r="H56" s="71" t="str">
        <f>C14</f>
        <v>40-DEVILS GATE</v>
      </c>
      <c r="I56" s="71">
        <v>9</v>
      </c>
      <c r="J56" s="71">
        <v>27</v>
      </c>
      <c r="K56" s="71">
        <v>31</v>
      </c>
      <c r="L56" s="71" t="str">
        <f t="shared" ref="L56:L67" si="8">IF(E56="","",$L$15&amp;"-"&amp;TEXT(E56,"000"))</f>
        <v>14B-003</v>
      </c>
    </row>
    <row r="57" spans="1:12" ht="14.1" customHeight="1">
      <c r="A57" s="69">
        <f t="shared" si="6"/>
        <v>46226</v>
      </c>
      <c r="B57" s="70">
        <f>'CHICLETS MASTER S2'!P5</f>
        <v>0.3263888888888889</v>
      </c>
      <c r="C57" s="71" t="s">
        <v>218</v>
      </c>
      <c r="D57" s="71" t="str">
        <f t="shared" si="7"/>
        <v>EL MODENA HS</v>
      </c>
      <c r="E57" s="71">
        <v>7</v>
      </c>
      <c r="F57" s="71" t="str">
        <f>C12</f>
        <v>16-PATRIOT NAVY</v>
      </c>
      <c r="G57" s="73">
        <v>24</v>
      </c>
      <c r="H57" s="71" t="str">
        <f>C13</f>
        <v>33-PRINCETON</v>
      </c>
      <c r="I57" s="71">
        <v>1</v>
      </c>
      <c r="J57" s="71">
        <v>27</v>
      </c>
      <c r="K57" s="71">
        <v>31</v>
      </c>
      <c r="L57" s="71" t="str">
        <f t="shared" si="8"/>
        <v>14B-007</v>
      </c>
    </row>
    <row r="58" spans="1:12" ht="14.1" customHeight="1">
      <c r="A58" s="69">
        <f t="shared" si="6"/>
        <v>46226</v>
      </c>
      <c r="B58" s="70">
        <f>'CHICLETS MASTER S2'!P6</f>
        <v>0.36111111111111099</v>
      </c>
      <c r="C58" s="71" t="s">
        <v>218</v>
      </c>
      <c r="D58" s="71" t="str">
        <f t="shared" si="7"/>
        <v>EL MODENA HS</v>
      </c>
      <c r="E58" s="71">
        <v>11</v>
      </c>
      <c r="F58" s="71" t="str">
        <f>A11</f>
        <v>7-SD DONS RED</v>
      </c>
      <c r="G58" s="73">
        <v>28</v>
      </c>
      <c r="H58" s="71" t="str">
        <f>A14</f>
        <v>42-PUNAHOU</v>
      </c>
      <c r="I58" s="71">
        <v>3</v>
      </c>
      <c r="J58" s="71">
        <v>35</v>
      </c>
      <c r="K58" s="71">
        <v>39</v>
      </c>
      <c r="L58" s="71" t="str">
        <f t="shared" si="8"/>
        <v>14B-011</v>
      </c>
    </row>
    <row r="59" spans="1:12" ht="14.1" customHeight="1">
      <c r="A59" s="69">
        <f t="shared" si="6"/>
        <v>46226</v>
      </c>
      <c r="B59" s="70">
        <f>'CHICLETS MASTER S2'!P7</f>
        <v>0.39583333333333398</v>
      </c>
      <c r="C59" s="71" t="s">
        <v>218</v>
      </c>
      <c r="D59" s="71" t="str">
        <f t="shared" si="7"/>
        <v>EL MODENA HS</v>
      </c>
      <c r="E59" s="71">
        <v>15</v>
      </c>
      <c r="F59" s="71" t="str">
        <f>A12</f>
        <v>18-CC UNITED BLACK</v>
      </c>
      <c r="G59" s="73">
        <v>15</v>
      </c>
      <c r="H59" s="71" t="str">
        <f>A13</f>
        <v>31-TEXAS THUNDER</v>
      </c>
      <c r="I59" s="71">
        <v>7</v>
      </c>
      <c r="J59" s="71">
        <v>35</v>
      </c>
      <c r="K59" s="71">
        <v>39</v>
      </c>
      <c r="L59" s="71" t="str">
        <f t="shared" si="8"/>
        <v>14B-015</v>
      </c>
    </row>
    <row r="60" spans="1:12" ht="14.1" customHeight="1">
      <c r="A60" s="69">
        <f t="shared" si="6"/>
        <v>46226</v>
      </c>
      <c r="B60" s="70">
        <f>'CHICLETS MASTER S2'!P8</f>
        <v>0.43055555555555602</v>
      </c>
      <c r="C60" s="71" t="s">
        <v>218</v>
      </c>
      <c r="D60" s="71" t="str">
        <f t="shared" si="7"/>
        <v>EL MODENA HS</v>
      </c>
      <c r="E60" s="71">
        <v>19</v>
      </c>
      <c r="F60" s="71" t="str">
        <f>B11</f>
        <v>8-NORCAL BLACK</v>
      </c>
      <c r="G60" s="73">
        <v>16</v>
      </c>
      <c r="H60" s="71" t="str">
        <f>B14</f>
        <v>41-LYONS AQUATICS</v>
      </c>
      <c r="I60" s="71">
        <v>1</v>
      </c>
      <c r="J60" s="71">
        <v>43</v>
      </c>
      <c r="K60" s="71">
        <v>47</v>
      </c>
      <c r="L60" s="71" t="str">
        <f t="shared" si="8"/>
        <v>14B-019</v>
      </c>
    </row>
    <row r="61" spans="1:12" ht="14.1" customHeight="1">
      <c r="A61" s="69">
        <f t="shared" si="6"/>
        <v>46226</v>
      </c>
      <c r="B61" s="70">
        <f>'CHICLETS MASTER S2'!P9</f>
        <v>0.46527777777777801</v>
      </c>
      <c r="C61" s="71" t="s">
        <v>218</v>
      </c>
      <c r="D61" s="71" t="str">
        <f t="shared" si="7"/>
        <v>EL MODENA HS</v>
      </c>
      <c r="E61" s="71">
        <v>23</v>
      </c>
      <c r="F61" s="71" t="str">
        <f>B12</f>
        <v>17-SD SHORES BLACK</v>
      </c>
      <c r="G61" s="73">
        <v>24</v>
      </c>
      <c r="H61" s="71" t="str">
        <f>B13</f>
        <v>32-NIPC</v>
      </c>
      <c r="I61" s="71">
        <v>3</v>
      </c>
      <c r="J61" s="71">
        <v>43</v>
      </c>
      <c r="K61" s="71">
        <v>47</v>
      </c>
      <c r="L61" s="71" t="str">
        <f t="shared" si="8"/>
        <v>14B-023</v>
      </c>
    </row>
    <row r="62" spans="1:12" ht="14.1" customHeight="1">
      <c r="A62" s="69">
        <f t="shared" si="6"/>
        <v>46226</v>
      </c>
      <c r="B62" s="70">
        <f>'CHICLETS MASTER S2'!P10</f>
        <v>0.5</v>
      </c>
      <c r="C62" s="71" t="s">
        <v>218</v>
      </c>
      <c r="D62" s="71" t="str">
        <f t="shared" si="7"/>
        <v>EL MODENA HS</v>
      </c>
      <c r="E62" s="71">
        <v>27</v>
      </c>
      <c r="F62" s="71" t="str">
        <f>IF(G56="","W3",IF(G56&gt;I56,_xlfn.CONCAT("W3-",RIGHT(F56,LEN(F56) - FIND("-",F56))), _xlfn.CONCAT("W3-",RIGHT(H56,LEN(H56) - FIND("-",H56)))))</f>
        <v>W3-DIABLO ALLIANCE A</v>
      </c>
      <c r="G62" s="73">
        <v>10</v>
      </c>
      <c r="H62" s="71" t="str">
        <f>IF(G57="","W7",IF(G57&gt;I57,_xlfn.CONCAT("W7-",RIGHT(F57,LEN(F57) - FIND("-",F57))), _xlfn.CONCAT("W7-",RIGHT(H57,LEN(H57) - FIND("-",H57)))))</f>
        <v>W7-PATRIOT NAVY</v>
      </c>
      <c r="I62" s="71">
        <v>16</v>
      </c>
      <c r="J62" s="71" t="s">
        <v>395</v>
      </c>
      <c r="K62" s="71">
        <v>52</v>
      </c>
      <c r="L62" s="71" t="str">
        <f t="shared" si="8"/>
        <v>14B-027</v>
      </c>
    </row>
    <row r="63" spans="1:12" ht="14.1" customHeight="1">
      <c r="A63" s="69">
        <f t="shared" si="6"/>
        <v>46226</v>
      </c>
      <c r="B63" s="70">
        <f>'CHICLETS MASTER S2'!P11</f>
        <v>0.53472222222222199</v>
      </c>
      <c r="C63" s="71" t="s">
        <v>218</v>
      </c>
      <c r="D63" s="71" t="str">
        <f t="shared" si="7"/>
        <v>EL MODENA HS</v>
      </c>
      <c r="E63" s="71">
        <v>31</v>
      </c>
      <c r="F63" s="71" t="str">
        <f>IF(G56="","L3",IF(G56&lt;I56,_xlfn.CONCAT("L3-",RIGHT(F56,LEN(F56) - FIND("-",F56))), _xlfn.CONCAT("L3-",RIGHT(H56,LEN(H56) - FIND("-",H56)))))</f>
        <v>L3-DEVILS GATE</v>
      </c>
      <c r="G63" s="73">
        <v>13</v>
      </c>
      <c r="H63" s="71" t="str">
        <f>IF(G57="","L7",IF(G57&lt;I57,_xlfn.CONCAT("L7-",RIGHT(F57,LEN(F57) - FIND("-",F57))), _xlfn.CONCAT("L7-",RIGHT(H57,LEN(H57) - FIND("-",H57)))))</f>
        <v>L7-PRINCETON</v>
      </c>
      <c r="I63" s="71">
        <v>4</v>
      </c>
      <c r="J63" s="71">
        <v>51</v>
      </c>
      <c r="K63" s="71" t="s">
        <v>396</v>
      </c>
      <c r="L63" s="71" t="str">
        <f t="shared" si="8"/>
        <v>14B-031</v>
      </c>
    </row>
    <row r="64" spans="1:12" ht="14.1" customHeight="1">
      <c r="A64" s="69">
        <f t="shared" si="6"/>
        <v>46226</v>
      </c>
      <c r="B64" s="70">
        <f>'CHICLETS MASTER S2'!P12</f>
        <v>0.56944444444444497</v>
      </c>
      <c r="C64" s="71" t="s">
        <v>218</v>
      </c>
      <c r="D64" s="71" t="str">
        <f t="shared" si="7"/>
        <v>EL MODENA HS</v>
      </c>
      <c r="E64" s="71">
        <v>35</v>
      </c>
      <c r="F64" s="71" t="str">
        <f>IF(G58="","W11",IF(G58&gt;I58,_xlfn.CONCAT("W11-",RIGHT(F58,LEN(F58) - FIND("-",F58))), _xlfn.CONCAT("W11-",RIGHT(H58,LEN(H58) - FIND("-",H58)))))</f>
        <v>W11-SD DONS RED</v>
      </c>
      <c r="G64" s="73">
        <v>12</v>
      </c>
      <c r="H64" s="71" t="str">
        <f>IF(G59="","W15",IF(G59&gt;I59,_xlfn.CONCAT("W15-",RIGHT(F59,LEN(F59) - FIND("-",F59))), _xlfn.CONCAT("W15-",RIGHT(H59,LEN(H59) - FIND("-",H59)))))</f>
        <v>W15-CC UNITED BLACK</v>
      </c>
      <c r="I64" s="71">
        <v>4</v>
      </c>
      <c r="J64" s="71" t="s">
        <v>397</v>
      </c>
      <c r="K64" s="71">
        <v>59</v>
      </c>
      <c r="L64" s="71" t="str">
        <f t="shared" si="8"/>
        <v>14B-035</v>
      </c>
    </row>
    <row r="65" spans="1:12" ht="14.1" customHeight="1">
      <c r="A65" s="69">
        <f t="shared" si="6"/>
        <v>46226</v>
      </c>
      <c r="B65" s="70">
        <f>'CHICLETS MASTER S2'!P13</f>
        <v>0.60416666666666696</v>
      </c>
      <c r="C65" s="71" t="s">
        <v>218</v>
      </c>
      <c r="D65" s="71" t="str">
        <f t="shared" si="7"/>
        <v>EL MODENA HS</v>
      </c>
      <c r="E65" s="71">
        <v>39</v>
      </c>
      <c r="F65" s="71" t="str">
        <f>IF(G58="","L11",IF(G58&lt;I58,_xlfn.CONCAT("L11-",RIGHT(F58,LEN(F58) - FIND("-",F58))), _xlfn.CONCAT("L11-",RIGHT(H58,LEN(H58) - FIND("-",H58)))))</f>
        <v>L11-PUNAHOU</v>
      </c>
      <c r="G65" s="73">
        <v>5</v>
      </c>
      <c r="H65" s="71" t="str">
        <f>IF(G59="","L15",IF(G59&lt;I59,_xlfn.CONCAT("L15-",RIGHT(F59,LEN(F59) - FIND("-",F59))), _xlfn.CONCAT("L15-",RIGHT(H59,LEN(H59) - FIND("-",H59)))))</f>
        <v>L15-TEXAS THUNDER</v>
      </c>
      <c r="I65" s="71">
        <v>15</v>
      </c>
      <c r="J65" s="71">
        <v>55</v>
      </c>
      <c r="K65" s="71" t="s">
        <v>398</v>
      </c>
      <c r="L65" s="71" t="str">
        <f t="shared" si="8"/>
        <v>14B-039</v>
      </c>
    </row>
    <row r="66" spans="1:12" ht="14.1" customHeight="1">
      <c r="A66" s="69">
        <f t="shared" si="6"/>
        <v>46226</v>
      </c>
      <c r="B66" s="70">
        <f>'CHICLETS MASTER S2'!P14</f>
        <v>0.63888888888888895</v>
      </c>
      <c r="C66" s="71" t="s">
        <v>218</v>
      </c>
      <c r="D66" s="71" t="str">
        <f t="shared" si="7"/>
        <v>EL MODENA HS</v>
      </c>
      <c r="E66" s="71">
        <v>43</v>
      </c>
      <c r="F66" s="71" t="str">
        <f>IF(G60="","W19",IF(G60&gt;I60,_xlfn.CONCAT("W19-",RIGHT(F60,LEN(F60) - FIND("-",F60))), _xlfn.CONCAT("W19-",RIGHT(H60,LEN(H60) - FIND("-",H60)))))</f>
        <v>W19-NORCAL BLACK</v>
      </c>
      <c r="G66" s="74">
        <v>6.6</v>
      </c>
      <c r="H66" s="71" t="str">
        <f>IF(G61="","W23",IF(G61&gt;I61,_xlfn.CONCAT("W23-",RIGHT(F61,LEN(F61) - FIND("-",F61))), _xlfn.CONCAT("W23-",RIGHT(H61,LEN(H61) - FIND("-",H61)))))</f>
        <v>W23-SD SHORES BLACK</v>
      </c>
      <c r="I66" s="71">
        <v>6.5</v>
      </c>
      <c r="J66" s="71" t="s">
        <v>399</v>
      </c>
      <c r="K66" s="71">
        <v>55</v>
      </c>
      <c r="L66" s="71" t="str">
        <f t="shared" si="8"/>
        <v>14B-043</v>
      </c>
    </row>
    <row r="67" spans="1:12" ht="14.1" customHeight="1">
      <c r="A67" s="69">
        <f t="shared" si="6"/>
        <v>46226</v>
      </c>
      <c r="B67" s="70">
        <f>'CHICLETS MASTER S2'!P15</f>
        <v>0.67361111111111105</v>
      </c>
      <c r="C67" s="71" t="s">
        <v>218</v>
      </c>
      <c r="D67" s="71" t="str">
        <f t="shared" si="7"/>
        <v>EL MODENA HS</v>
      </c>
      <c r="E67" s="71">
        <v>47</v>
      </c>
      <c r="F67" s="71" t="str">
        <f>IF(G60="","L19",IF(G60&lt;I60,_xlfn.CONCAT("L19-",RIGHT(F60,LEN(F60) - FIND("-",F60))), _xlfn.CONCAT("L19-",RIGHT(H60,LEN(H60) - FIND("-",H60)))))</f>
        <v>L19-LYONS AQUATICS</v>
      </c>
      <c r="G67" s="73">
        <v>8</v>
      </c>
      <c r="H67" s="71" t="str">
        <f>IF(G61="","L23",IF(G61&lt;I61,_xlfn.CONCAT("L23-",RIGHT(F61,LEN(F61) - FIND("-",F61))), _xlfn.CONCAT("L23-",RIGHT(H61,LEN(H61) - FIND("-",H61)))))</f>
        <v>L23-NIPC</v>
      </c>
      <c r="I67" s="71">
        <v>11</v>
      </c>
      <c r="J67" s="71">
        <v>59</v>
      </c>
      <c r="K67" s="71" t="s">
        <v>400</v>
      </c>
      <c r="L67" s="71" t="str">
        <f t="shared" si="8"/>
        <v>14B-047</v>
      </c>
    </row>
    <row r="68" spans="1:12" ht="14.1" customHeight="1">
      <c r="A68" s="75"/>
      <c r="B68" s="60" t="s">
        <v>139</v>
      </c>
      <c r="C68" s="60"/>
      <c r="D68" s="60"/>
      <c r="E68" s="60"/>
      <c r="F68" s="60"/>
      <c r="G68" s="64"/>
      <c r="H68" s="60"/>
      <c r="I68" s="60"/>
      <c r="J68" s="60"/>
      <c r="K68" s="60"/>
      <c r="L68" s="60"/>
    </row>
    <row r="69" spans="1:12" ht="14.1" customHeight="1">
      <c r="A69" s="69">
        <f>$A$2</f>
        <v>46226</v>
      </c>
      <c r="B69" s="70">
        <f>'CHICLETS MASTER S2'!P17</f>
        <v>0.74305555555555602</v>
      </c>
      <c r="C69" s="71" t="s">
        <v>140</v>
      </c>
      <c r="D69" s="71" t="str">
        <f>$D$54</f>
        <v>EL MODENA HS</v>
      </c>
      <c r="E69" s="71">
        <v>51</v>
      </c>
      <c r="F69" s="76" t="str">
        <f>IF(G81="","L28",IF(G81&lt;I81,_xlfn.CONCAT("L28-",RIGHT(F81,LEN(F81) - FIND("-",F81))), _xlfn.CONCAT("L28-",RIGHT(H81,LEN(H81) - FIND("-",H81)))))</f>
        <v>L28-PALOS VERDES BLACK</v>
      </c>
      <c r="G69" s="73">
        <v>8</v>
      </c>
      <c r="H69" s="77" t="str">
        <f>IF(G63="","W31",IF(G63&gt;I63,_xlfn.CONCAT("W31-",RIGHT(F63,LEN(F63) - FIND("-",F63))), _xlfn.CONCAT("W31-",RIGHT(H63,LEN(H63) - FIND("-",H63)))))</f>
        <v>W31-DEVILS GATE</v>
      </c>
      <c r="I69" s="73">
        <v>6</v>
      </c>
      <c r="J69" s="71" t="s">
        <v>190</v>
      </c>
      <c r="K69" s="71" t="s">
        <v>191</v>
      </c>
      <c r="L69" s="71" t="str">
        <f>IF(E69="","",$L$15&amp;"-"&amp;TEXT(E69,"000"))</f>
        <v>14B-051</v>
      </c>
    </row>
    <row r="70" spans="1:12" ht="14.1" customHeight="1">
      <c r="A70" s="69">
        <f>$A$2</f>
        <v>46226</v>
      </c>
      <c r="B70" s="70">
        <f>'CHICLETS MASTER S2'!P18</f>
        <v>0.77777777777777801</v>
      </c>
      <c r="C70" s="71" t="s">
        <v>140</v>
      </c>
      <c r="D70" s="71" t="str">
        <f>$D$54</f>
        <v>EL MODENA HS</v>
      </c>
      <c r="E70" s="71">
        <v>55</v>
      </c>
      <c r="F70" s="71" t="str">
        <f>IF(G66="","L43",IF(G66&lt;I66,_xlfn.CONCAT("L43-",RIGHT(F66,LEN(F66) - FIND("-",F66))), _xlfn.CONCAT("L43-",RIGHT(H66,LEN(H66) - FIND("-",H66)))))</f>
        <v>L43-SD SHORES BLACK</v>
      </c>
      <c r="G70" s="73">
        <v>17</v>
      </c>
      <c r="H70" s="71" t="str">
        <f>IF(G65="","W39",IF(G65&gt;I65,_xlfn.CONCAT("W39-",RIGHT(F65,LEN(F65) - FIND("-",F65))), _xlfn.CONCAT("W39-",RIGHT(H65,LEN(H65) - FIND("-",H65)))))</f>
        <v>W39-TEXAS THUNDER</v>
      </c>
      <c r="I70" s="71">
        <v>4</v>
      </c>
      <c r="J70" s="71" t="s">
        <v>163</v>
      </c>
      <c r="K70" s="71" t="s">
        <v>164</v>
      </c>
      <c r="L70" s="71" t="str">
        <f>IF(E70="","",$L$15&amp;"-"&amp;TEXT(E70,"000"))</f>
        <v>14B-055</v>
      </c>
    </row>
    <row r="71" spans="1:12" ht="14.1" customHeight="1">
      <c r="A71" s="69">
        <f>$A$2</f>
        <v>46226</v>
      </c>
      <c r="B71" s="70">
        <f>'CHICLETS MASTER S2'!P19</f>
        <v>0.8125</v>
      </c>
      <c r="C71" s="71" t="s">
        <v>140</v>
      </c>
      <c r="D71" s="71" t="str">
        <f>$D$54</f>
        <v>EL MODENA HS</v>
      </c>
      <c r="E71" s="71">
        <v>59</v>
      </c>
      <c r="F71" s="71" t="str">
        <f>IF(G64="","L35",IF(G64&lt;I64,_xlfn.CONCAT("L35-",RIGHT(F64,LEN(F64) - FIND("-",F64))), _xlfn.CONCAT("L35-",RIGHT(H64,LEN(H64) - FIND("-",H64)))))</f>
        <v>L35-CC UNITED BLACK</v>
      </c>
      <c r="G71" s="81">
        <v>24</v>
      </c>
      <c r="H71" s="71" t="str">
        <f>IF(G67="","W47",IF(G67&gt;I67,_xlfn.CONCAT("W47-",RIGHT(F67,LEN(F67) - FIND("-",F67))), _xlfn.CONCAT("W47-",RIGHT(H67,LEN(H67) - FIND("-",H67)))))</f>
        <v>W47-NIPC</v>
      </c>
      <c r="I71" s="71">
        <v>1</v>
      </c>
      <c r="J71" s="71" t="s">
        <v>167</v>
      </c>
      <c r="K71" s="71" t="s">
        <v>168</v>
      </c>
      <c r="L71" s="71" t="str">
        <f>IF(E71="","",$L$15&amp;"-"&amp;TEXT(E71,"000"))</f>
        <v>14B-059</v>
      </c>
    </row>
    <row r="72" spans="1:12" ht="14.1" customHeight="1" thickBot="1"/>
    <row r="73" spans="1:12" ht="14.1" customHeight="1" thickBot="1">
      <c r="A73" s="60"/>
      <c r="B73" s="60"/>
      <c r="C73" s="60"/>
      <c r="D73" s="68" t="str">
        <f>'CHICLETS MASTER S2'!$T$3</f>
        <v>GARDEN GROVE HS</v>
      </c>
      <c r="I73" s="60"/>
      <c r="J73" s="60"/>
      <c r="K73" s="60"/>
      <c r="L73" s="60"/>
    </row>
    <row r="74" spans="1:12" ht="14.1" customHeight="1">
      <c r="A74" s="325" t="s">
        <v>124</v>
      </c>
      <c r="B74" s="327" t="s">
        <v>125</v>
      </c>
      <c r="C74" s="327" t="s">
        <v>126</v>
      </c>
      <c r="D74" s="327" t="s">
        <v>127</v>
      </c>
      <c r="E74" s="327" t="s">
        <v>128</v>
      </c>
      <c r="F74" s="327" t="s">
        <v>129</v>
      </c>
      <c r="G74" s="327" t="s">
        <v>130</v>
      </c>
      <c r="H74" s="327" t="s">
        <v>131</v>
      </c>
      <c r="I74" s="327" t="s">
        <v>130</v>
      </c>
      <c r="J74" s="327" t="s">
        <v>132</v>
      </c>
      <c r="K74" s="327" t="s">
        <v>133</v>
      </c>
      <c r="L74" s="327" t="s">
        <v>134</v>
      </c>
    </row>
    <row r="75" spans="1:12" ht="14.1" customHeight="1">
      <c r="A75" s="69">
        <f t="shared" ref="A75:A86" si="9">$A$2</f>
        <v>46226</v>
      </c>
      <c r="B75" s="70">
        <f>'CHICLETS MASTER S2'!P4</f>
        <v>0.29166666666666669</v>
      </c>
      <c r="C75" s="71" t="s">
        <v>218</v>
      </c>
      <c r="D75" s="72" t="str">
        <f t="shared" ref="D75:D86" si="10">$D$73</f>
        <v>GARDEN GROVE HS</v>
      </c>
      <c r="E75" s="71">
        <v>4</v>
      </c>
      <c r="F75" s="71" t="str">
        <f>D11</f>
        <v>10-PEGASUS</v>
      </c>
      <c r="G75" s="73">
        <v>7</v>
      </c>
      <c r="H75" s="71" t="str">
        <f>D14</f>
        <v>39-COMMERCE</v>
      </c>
      <c r="I75" s="71">
        <v>13</v>
      </c>
      <c r="J75" s="71">
        <v>28</v>
      </c>
      <c r="K75" s="71">
        <v>32</v>
      </c>
      <c r="L75" s="71" t="str">
        <f t="shared" ref="L75:L86" si="11">IF(E75="","",$L$15&amp;"-"&amp;TEXT(E75,"000"))</f>
        <v>14B-004</v>
      </c>
    </row>
    <row r="76" spans="1:12" ht="14.1" customHeight="1">
      <c r="A76" s="69">
        <f t="shared" si="9"/>
        <v>46226</v>
      </c>
      <c r="B76" s="70">
        <f>'CHICLETS MASTER S2'!P5</f>
        <v>0.3263888888888889</v>
      </c>
      <c r="C76" s="71" t="s">
        <v>218</v>
      </c>
      <c r="D76" s="72" t="str">
        <f t="shared" si="10"/>
        <v>GARDEN GROVE HS</v>
      </c>
      <c r="E76" s="71">
        <v>8</v>
      </c>
      <c r="F76" s="71" t="str">
        <f>D12</f>
        <v>15-PALOS VERDES BLACK</v>
      </c>
      <c r="G76" s="73">
        <v>23</v>
      </c>
      <c r="H76" s="71" t="str">
        <f>D13</f>
        <v>34-KEARNS</v>
      </c>
      <c r="I76" s="71">
        <v>3</v>
      </c>
      <c r="J76" s="71">
        <v>28</v>
      </c>
      <c r="K76" s="71">
        <v>32</v>
      </c>
      <c r="L76" s="71" t="str">
        <f t="shared" si="11"/>
        <v>14B-008</v>
      </c>
    </row>
    <row r="77" spans="1:12" ht="14.1" customHeight="1">
      <c r="A77" s="69">
        <f t="shared" si="9"/>
        <v>46226</v>
      </c>
      <c r="B77" s="70">
        <f>'CHICLETS MASTER S2'!P6</f>
        <v>0.36111111111111099</v>
      </c>
      <c r="C77" s="71" t="s">
        <v>218</v>
      </c>
      <c r="D77" s="72" t="str">
        <f t="shared" si="10"/>
        <v>GARDEN GROVE HS</v>
      </c>
      <c r="E77" s="71">
        <v>12</v>
      </c>
      <c r="F77" s="71" t="str">
        <f>E11</f>
        <v>11-LAMORINDA A</v>
      </c>
      <c r="G77" s="73">
        <v>23</v>
      </c>
      <c r="H77" s="71" t="str">
        <f>E14</f>
        <v>38-LONGHORN</v>
      </c>
      <c r="I77" s="71">
        <v>10</v>
      </c>
      <c r="J77" s="71">
        <v>36</v>
      </c>
      <c r="K77" s="71">
        <v>40</v>
      </c>
      <c r="L77" s="71" t="str">
        <f t="shared" si="11"/>
        <v>14B-012</v>
      </c>
    </row>
    <row r="78" spans="1:12" ht="14.1" customHeight="1">
      <c r="A78" s="69">
        <f t="shared" si="9"/>
        <v>46226</v>
      </c>
      <c r="B78" s="70">
        <f>'CHICLETS MASTER S2'!P7</f>
        <v>0.39583333333333398</v>
      </c>
      <c r="C78" s="71" t="s">
        <v>218</v>
      </c>
      <c r="D78" s="72" t="str">
        <f t="shared" si="10"/>
        <v>GARDEN GROVE HS</v>
      </c>
      <c r="E78" s="71">
        <v>16</v>
      </c>
      <c r="F78" s="71" t="str">
        <f>E12</f>
        <v>14-GREENWICH WHITE</v>
      </c>
      <c r="G78" s="73">
        <v>7</v>
      </c>
      <c r="H78" s="71" t="str">
        <f>E13</f>
        <v>35-DAVIS</v>
      </c>
      <c r="I78" s="71">
        <v>17</v>
      </c>
      <c r="J78" s="71">
        <v>36</v>
      </c>
      <c r="K78" s="71">
        <v>40</v>
      </c>
      <c r="L78" s="71" t="str">
        <f t="shared" si="11"/>
        <v>14B-016</v>
      </c>
    </row>
    <row r="79" spans="1:12" ht="14.1" customHeight="1">
      <c r="A79" s="69">
        <f t="shared" si="9"/>
        <v>46226</v>
      </c>
      <c r="B79" s="70">
        <f>'CHICLETS MASTER S2'!P8</f>
        <v>0.43055555555555602</v>
      </c>
      <c r="C79" s="71" t="s">
        <v>218</v>
      </c>
      <c r="D79" s="72" t="str">
        <f t="shared" si="10"/>
        <v>GARDEN GROVE HS</v>
      </c>
      <c r="E79" s="71">
        <v>20</v>
      </c>
      <c r="F79" s="71" t="str">
        <f>F11</f>
        <v>12-LA PREMIER BLACK</v>
      </c>
      <c r="G79" s="73">
        <v>15</v>
      </c>
      <c r="H79" s="71" t="str">
        <f>F14</f>
        <v>37-CENTRAL COAST</v>
      </c>
      <c r="I79" s="71">
        <v>3</v>
      </c>
      <c r="J79" s="71">
        <v>44</v>
      </c>
      <c r="K79" s="71">
        <v>48</v>
      </c>
      <c r="L79" s="71" t="str">
        <f t="shared" si="11"/>
        <v>14B-020</v>
      </c>
    </row>
    <row r="80" spans="1:12" ht="14.1" customHeight="1">
      <c r="A80" s="69">
        <f t="shared" si="9"/>
        <v>46226</v>
      </c>
      <c r="B80" s="70">
        <f>'CHICLETS MASTER S2'!P9</f>
        <v>0.46527777777777801</v>
      </c>
      <c r="C80" s="71" t="s">
        <v>218</v>
      </c>
      <c r="D80" s="72" t="str">
        <f t="shared" si="10"/>
        <v>GARDEN GROVE HS</v>
      </c>
      <c r="E80" s="71">
        <v>24</v>
      </c>
      <c r="F80" s="71" t="str">
        <f>F12</f>
        <v>13-STANFORD RED</v>
      </c>
      <c r="G80" s="73">
        <v>13</v>
      </c>
      <c r="H80" s="71" t="str">
        <f>F13</f>
        <v>36-CLOVIS</v>
      </c>
      <c r="I80" s="71">
        <v>2</v>
      </c>
      <c r="J80" s="71">
        <v>44</v>
      </c>
      <c r="K80" s="71">
        <v>48</v>
      </c>
      <c r="L80" s="71" t="str">
        <f t="shared" si="11"/>
        <v>14B-024</v>
      </c>
    </row>
    <row r="81" spans="1:12" ht="14.1" customHeight="1">
      <c r="A81" s="69">
        <f t="shared" si="9"/>
        <v>46226</v>
      </c>
      <c r="B81" s="70">
        <f>'CHICLETS MASTER S2'!P10</f>
        <v>0.5</v>
      </c>
      <c r="C81" s="71" t="s">
        <v>218</v>
      </c>
      <c r="D81" s="72" t="str">
        <f t="shared" si="10"/>
        <v>GARDEN GROVE HS</v>
      </c>
      <c r="E81" s="71">
        <v>28</v>
      </c>
      <c r="F81" s="71" t="str">
        <f>IF(G75="","W4",IF(G75&gt;I75,_xlfn.CONCAT("W4-",RIGHT(F75,LEN(F75) - FIND("-",F75))), _xlfn.CONCAT("W4-",RIGHT(H75,LEN(H75) - FIND("-",H75)))))</f>
        <v>W4-COMMERCE</v>
      </c>
      <c r="G81" s="73">
        <v>10</v>
      </c>
      <c r="H81" s="71" t="str">
        <f>IF(G76="","W8",IF(G76&gt;I76,_xlfn.CONCAT("W8-",RIGHT(F76,LEN(F76) - FIND("-",F76))), _xlfn.CONCAT("W8-",RIGHT(H76,LEN(H76) - FIND("-",H76)))))</f>
        <v>W8-PALOS VERDES BLACK</v>
      </c>
      <c r="I81" s="71">
        <v>9</v>
      </c>
      <c r="J81" s="71" t="s">
        <v>401</v>
      </c>
      <c r="K81" s="71">
        <v>51</v>
      </c>
      <c r="L81" s="71" t="str">
        <f t="shared" si="11"/>
        <v>14B-028</v>
      </c>
    </row>
    <row r="82" spans="1:12" ht="14.1" customHeight="1">
      <c r="A82" s="69">
        <f t="shared" si="9"/>
        <v>46226</v>
      </c>
      <c r="B82" s="70">
        <f>'CHICLETS MASTER S2'!P11</f>
        <v>0.53472222222222199</v>
      </c>
      <c r="C82" s="71" t="s">
        <v>218</v>
      </c>
      <c r="D82" s="72" t="str">
        <f t="shared" si="10"/>
        <v>GARDEN GROVE HS</v>
      </c>
      <c r="E82" s="71">
        <v>32</v>
      </c>
      <c r="F82" s="71" t="str">
        <f>IF(G75="","L4",IF(G75&lt;I75,_xlfn.CONCAT("L4-",RIGHT(F75,LEN(F75) - FIND("-",F75))), _xlfn.CONCAT("L4-",RIGHT(H75,LEN(H75) - FIND("-",H75)))))</f>
        <v>L4-PEGASUS</v>
      </c>
      <c r="G82" s="73">
        <v>23</v>
      </c>
      <c r="H82" s="71" t="str">
        <f>IF(G76="","L8",IF(G76&lt;I76,_xlfn.CONCAT("L8-",RIGHT(F76,LEN(F76) - FIND("-",F76))), _xlfn.CONCAT("L8-",RIGHT(H76,LEN(H76) - FIND("-",H76)))))</f>
        <v>L8-KEARNS</v>
      </c>
      <c r="I82" s="71">
        <v>9</v>
      </c>
      <c r="J82" s="71">
        <v>52</v>
      </c>
      <c r="K82" s="71" t="s">
        <v>402</v>
      </c>
      <c r="L82" s="71" t="str">
        <f t="shared" si="11"/>
        <v>14B-032</v>
      </c>
    </row>
    <row r="83" spans="1:12" ht="14.1" customHeight="1">
      <c r="A83" s="69">
        <f t="shared" si="9"/>
        <v>46226</v>
      </c>
      <c r="B83" s="70">
        <f>'CHICLETS MASTER S2'!P12</f>
        <v>0.56944444444444497</v>
      </c>
      <c r="C83" s="71" t="s">
        <v>218</v>
      </c>
      <c r="D83" s="72" t="str">
        <f t="shared" si="10"/>
        <v>GARDEN GROVE HS</v>
      </c>
      <c r="E83" s="71">
        <v>36</v>
      </c>
      <c r="F83" s="71" t="str">
        <f>IF(G77="","W12",IF(G77&gt;I77,_xlfn.CONCAT("W12-",RIGHT(F77,LEN(F77) - FIND("-",F77))), _xlfn.CONCAT("W12-",RIGHT(H77,LEN(H77) - FIND("-",H77)))))</f>
        <v>W12-LAMORINDA A</v>
      </c>
      <c r="G83" s="73">
        <v>21</v>
      </c>
      <c r="H83" s="71" t="str">
        <f>IF(G78="","W16",IF(G78&gt;I78,_xlfn.CONCAT("W16-",RIGHT(F78,LEN(F78) - FIND("-",F78))), _xlfn.CONCAT("W16-",RIGHT(H78,LEN(H78) - FIND("-",H78)))))</f>
        <v>W16-DAVIS</v>
      </c>
      <c r="I83" s="71">
        <v>10</v>
      </c>
      <c r="J83" s="71" t="s">
        <v>182</v>
      </c>
      <c r="K83" s="71">
        <v>60</v>
      </c>
      <c r="L83" s="71" t="str">
        <f t="shared" si="11"/>
        <v>14B-036</v>
      </c>
    </row>
    <row r="84" spans="1:12" ht="14.1" customHeight="1">
      <c r="A84" s="69">
        <f t="shared" si="9"/>
        <v>46226</v>
      </c>
      <c r="B84" s="70">
        <f>'CHICLETS MASTER S2'!P13</f>
        <v>0.60416666666666696</v>
      </c>
      <c r="C84" s="71" t="s">
        <v>218</v>
      </c>
      <c r="D84" s="72" t="str">
        <f t="shared" si="10"/>
        <v>GARDEN GROVE HS</v>
      </c>
      <c r="E84" s="71">
        <v>40</v>
      </c>
      <c r="F84" s="71" t="str">
        <f>IF(G77="","L12",IF(G77&lt;I77,_xlfn.CONCAT("L12-",RIGHT(F77,LEN(F77) - FIND("-",F77))), _xlfn.CONCAT("L12-",RIGHT(H77,LEN(H77) - FIND("-",H77)))))</f>
        <v>L12-LONGHORN</v>
      </c>
      <c r="G84" s="74">
        <v>9.1999999999999993</v>
      </c>
      <c r="H84" s="71" t="str">
        <f>IF(G78="","L16",IF(G78&lt;I78,_xlfn.CONCAT("L16-",RIGHT(F78,LEN(F78) - FIND("-",F78))), _xlfn.CONCAT("L16-",RIGHT(H78,LEN(H78) - FIND("-",H78)))))</f>
        <v>L16-GREENWICH WHITE</v>
      </c>
      <c r="I84" s="71">
        <v>9.4</v>
      </c>
      <c r="J84" s="71">
        <v>56</v>
      </c>
      <c r="K84" s="71" t="s">
        <v>403</v>
      </c>
      <c r="L84" s="71" t="str">
        <f t="shared" si="11"/>
        <v>14B-040</v>
      </c>
    </row>
    <row r="85" spans="1:12" ht="14.1" customHeight="1">
      <c r="A85" s="69">
        <f t="shared" si="9"/>
        <v>46226</v>
      </c>
      <c r="B85" s="70">
        <f>'CHICLETS MASTER S2'!P14</f>
        <v>0.63888888888888895</v>
      </c>
      <c r="C85" s="71" t="s">
        <v>218</v>
      </c>
      <c r="D85" s="72" t="str">
        <f t="shared" si="10"/>
        <v>GARDEN GROVE HS</v>
      </c>
      <c r="E85" s="71">
        <v>44</v>
      </c>
      <c r="F85" s="71" t="str">
        <f>IF(G79="","W20",IF(G79&gt;I79,_xlfn.CONCAT("W20-",RIGHT(F79,LEN(F79) - FIND("-",F79))), _xlfn.CONCAT("W20-",RIGHT(H79,LEN(H79) - FIND("-",H79)))))</f>
        <v>W20-LA PREMIER BLACK</v>
      </c>
      <c r="G85" s="73">
        <v>13</v>
      </c>
      <c r="H85" s="71" t="str">
        <f>IF(G80="","W24",IF(G80&gt;I80,_xlfn.CONCAT("W24-",RIGHT(F80,LEN(F80) - FIND("-",F80))), _xlfn.CONCAT("W24-",RIGHT(H80,LEN(H80) - FIND("-",H80)))))</f>
        <v>W24-STANFORD RED</v>
      </c>
      <c r="I85" s="71">
        <v>10</v>
      </c>
      <c r="J85" s="71" t="s">
        <v>404</v>
      </c>
      <c r="K85" s="71">
        <v>56</v>
      </c>
      <c r="L85" s="71" t="str">
        <f t="shared" si="11"/>
        <v>14B-044</v>
      </c>
    </row>
    <row r="86" spans="1:12" ht="14.1" customHeight="1">
      <c r="A86" s="69">
        <f t="shared" si="9"/>
        <v>46226</v>
      </c>
      <c r="B86" s="70">
        <f>'CHICLETS MASTER S2'!P15</f>
        <v>0.67361111111111105</v>
      </c>
      <c r="C86" s="71" t="s">
        <v>218</v>
      </c>
      <c r="D86" s="72" t="str">
        <f t="shared" si="10"/>
        <v>GARDEN GROVE HS</v>
      </c>
      <c r="E86" s="71">
        <v>48</v>
      </c>
      <c r="F86" s="71" t="str">
        <f>IF(G79="","L20",IF(G79&lt;I79,_xlfn.CONCAT("L20-",RIGHT(F79,LEN(F79) - FIND("-",F79))), _xlfn.CONCAT("L20-",RIGHT(H79,LEN(H79) - FIND("-",H79)))))</f>
        <v>L20-CENTRAL COAST</v>
      </c>
      <c r="G86" s="73">
        <v>6</v>
      </c>
      <c r="H86" s="71" t="str">
        <f>IF(G80="","L24",IF(G80&lt;I80,_xlfn.CONCAT("L24-",RIGHT(F80,LEN(F80) - FIND("-",F80))), _xlfn.CONCAT("L24-",RIGHT(H80,LEN(H80) - FIND("-",H80)))))</f>
        <v>L24-CLOVIS</v>
      </c>
      <c r="I86" s="71">
        <v>12</v>
      </c>
      <c r="J86" s="71">
        <v>60</v>
      </c>
      <c r="K86" s="71" t="s">
        <v>405</v>
      </c>
      <c r="L86" s="71" t="str">
        <f t="shared" si="11"/>
        <v>14B-048</v>
      </c>
    </row>
    <row r="87" spans="1:12" ht="14.1" customHeight="1">
      <c r="A87" s="75"/>
      <c r="B87" s="60" t="s">
        <v>139</v>
      </c>
      <c r="C87" s="60"/>
      <c r="D87" s="60"/>
      <c r="E87" s="60"/>
      <c r="F87" s="60"/>
      <c r="G87" s="64"/>
      <c r="H87" s="60"/>
      <c r="I87" s="60"/>
      <c r="J87" s="60"/>
      <c r="K87" s="60"/>
      <c r="L87" s="60"/>
    </row>
    <row r="88" spans="1:12" ht="14.1" customHeight="1">
      <c r="A88" s="69">
        <f>$A$2</f>
        <v>46226</v>
      </c>
      <c r="B88" s="70">
        <f>'CHICLETS MASTER S2'!P17</f>
        <v>0.74305555555555602</v>
      </c>
      <c r="C88" s="71" t="s">
        <v>140</v>
      </c>
      <c r="D88" s="72" t="str">
        <f>$D$73</f>
        <v>GARDEN GROVE HS</v>
      </c>
      <c r="E88" s="71">
        <v>52</v>
      </c>
      <c r="F88" s="76" t="str">
        <f>IF(G62="","L27",IF(G62&lt;I62,_xlfn.CONCAT("L27-",RIGHT(F62,LEN(F62) - FIND("-",F62))), _xlfn.CONCAT("L27-",RIGHT(H62,LEN(H62) - FIND("-",H62)))))</f>
        <v>L27-DIABLO ALLIANCE A</v>
      </c>
      <c r="G88" s="73">
        <v>17</v>
      </c>
      <c r="H88" s="77" t="str">
        <f>IF(G82="","W32",IF(G82&gt;I82,_xlfn.CONCAT("W32-",RIGHT(F82,LEN(F82) - FIND("-",F82))), _xlfn.CONCAT("W32-",RIGHT(H82,LEN(H82) - FIND("-",H82)))))</f>
        <v>W32-PEGASUS</v>
      </c>
      <c r="I88" s="71">
        <v>12</v>
      </c>
      <c r="J88" s="71" t="s">
        <v>186</v>
      </c>
      <c r="K88" s="71" t="s">
        <v>187</v>
      </c>
      <c r="L88" s="71" t="str">
        <f>IF(E88="","",$L$15&amp;"-"&amp;TEXT(E88,"000"))</f>
        <v>14B-052</v>
      </c>
    </row>
    <row r="89" spans="1:12" ht="14.1" customHeight="1">
      <c r="A89" s="69">
        <f>$A$2</f>
        <v>46226</v>
      </c>
      <c r="B89" s="70">
        <f>'CHICLETS MASTER S2'!P18</f>
        <v>0.77777777777777801</v>
      </c>
      <c r="C89" s="71" t="s">
        <v>140</v>
      </c>
      <c r="D89" s="72" t="str">
        <f>$D$73</f>
        <v>GARDEN GROVE HS</v>
      </c>
      <c r="E89" s="71">
        <v>56</v>
      </c>
      <c r="F89" s="71" t="str">
        <f>IF(G85="","L44",IF(G85&lt;I85,_xlfn.CONCAT("L44-",RIGHT(F85,LEN(F85) - FIND("-",F85))), _xlfn.CONCAT("L44-",RIGHT(H85,LEN(H85) - FIND("-",H85)))))</f>
        <v>L44-STANFORD RED</v>
      </c>
      <c r="G89" s="73">
        <v>17</v>
      </c>
      <c r="H89" s="71" t="str">
        <f>IF(G84="","W40",IF(G84&gt;I84,_xlfn.CONCAT("W40-",RIGHT(F84,LEN(F84) - FIND("-",F84))), _xlfn.CONCAT("W40-",RIGHT(H84,LEN(H84) - FIND("-",H84)))))</f>
        <v>W40-GREENWICH WHITE</v>
      </c>
      <c r="I89" s="71">
        <v>3</v>
      </c>
      <c r="J89" s="71" t="s">
        <v>406</v>
      </c>
      <c r="K89" s="71" t="s">
        <v>194</v>
      </c>
      <c r="L89" s="71" t="str">
        <f>IF(E89="","",$L$15&amp;"-"&amp;TEXT(E89,"000"))</f>
        <v>14B-056</v>
      </c>
    </row>
    <row r="90" spans="1:12" ht="14.1" customHeight="1">
      <c r="A90" s="69">
        <f>$A$2</f>
        <v>46226</v>
      </c>
      <c r="B90" s="70">
        <f>'CHICLETS MASTER S2'!P19</f>
        <v>0.8125</v>
      </c>
      <c r="C90" s="71" t="s">
        <v>140</v>
      </c>
      <c r="D90" s="72" t="str">
        <f>$D$73</f>
        <v>GARDEN GROVE HS</v>
      </c>
      <c r="E90" s="71">
        <v>60</v>
      </c>
      <c r="F90" s="71" t="str">
        <f>IF(G83="","L36",IF(G83&lt;I83,_xlfn.CONCAT("L36-",RIGHT(F83,LEN(F83) - FIND("-",F83))), _xlfn.CONCAT("L36-",RIGHT(H83,LEN(H83) - FIND("-",H83)))))</f>
        <v>L36-DAVIS</v>
      </c>
      <c r="G90" s="73">
        <v>6</v>
      </c>
      <c r="H90" s="71" t="str">
        <f>IF(G86="","W48",IF(G86&gt;I86,_xlfn.CONCAT("W48-",RIGHT(F86,LEN(F86) - FIND("-",F86))), _xlfn.CONCAT("W48-",RIGHT(H86,LEN(H86) - FIND("-",H86)))))</f>
        <v>W48-CLOVIS</v>
      </c>
      <c r="I90" s="71">
        <v>5</v>
      </c>
      <c r="J90" s="71" t="s">
        <v>193</v>
      </c>
      <c r="K90" s="71" t="s">
        <v>407</v>
      </c>
      <c r="L90" s="71" t="str">
        <f>IF(E90="","",$L$15&amp;"-"&amp;TEXT(E90,"000"))</f>
        <v>14B-060</v>
      </c>
    </row>
    <row r="91" spans="1:12" ht="14.1" customHeight="1" thickBot="1"/>
    <row r="92" spans="1:12" ht="14.1" customHeight="1" thickTop="1" thickBot="1">
      <c r="A92" s="68" t="s">
        <v>196</v>
      </c>
      <c r="B92" s="82"/>
      <c r="C92" s="82"/>
      <c r="D92" s="82"/>
      <c r="E92" s="82"/>
      <c r="F92" s="82"/>
      <c r="G92" s="83"/>
      <c r="H92" s="82"/>
      <c r="I92" s="82"/>
      <c r="J92" s="82"/>
      <c r="K92" s="82"/>
      <c r="L92" s="82"/>
    </row>
    <row r="93" spans="1:12" s="60" customFormat="1" ht="14.1" customHeight="1">
      <c r="A93" s="61">
        <v>46227</v>
      </c>
    </row>
    <row r="94" spans="1:12" ht="14.1" customHeight="1">
      <c r="B94" s="84" t="s">
        <v>197</v>
      </c>
      <c r="C94" s="60"/>
      <c r="D94" s="60"/>
      <c r="E94" s="60"/>
    </row>
    <row r="95" spans="1:12" ht="14.1" customHeight="1">
      <c r="A95" s="60"/>
      <c r="B95" s="85" t="s">
        <v>198</v>
      </c>
      <c r="C95" s="85" t="s">
        <v>199</v>
      </c>
      <c r="D95" s="85" t="s">
        <v>200</v>
      </c>
      <c r="E95" s="85" t="s">
        <v>201</v>
      </c>
    </row>
    <row r="96" spans="1:12" ht="14.1" customHeight="1">
      <c r="A96" s="60">
        <v>1</v>
      </c>
      <c r="B96" s="86" t="str">
        <f>IF(G26="","pt_M1(W33)",IF(G26&gt;I26,_xlfn.CONCAT("pt_M1(W33)-",RIGHT(F26,LEN(F26) - FIND("-",F26))), _xlfn.CONCAT("pt_M1(W33)-",RIGHT(H26,LEN(H26) - FIND("-",H26)))))</f>
        <v>pt_M1(W33)-CIU GOLD</v>
      </c>
      <c r="C96" s="87" t="str">
        <f>IF(G28="","pt_N1(W41)",IF(G28&gt;I28,_xlfn.CONCAT("pt_N1(W41)-",RIGHT(F28,LEN(F28) - FIND("-",F28))), _xlfn.CONCAT("pt_N1(W41)-",RIGHT(H28,LEN(H28) - FIND("-",H28)))))</f>
        <v>pt_N1(W41)-GREENWICH BLUE</v>
      </c>
      <c r="D96" s="87" t="str">
        <f>IF(G24="","pt_O1(W25)",IF(G24&gt;I24,_xlfn.CONCAT("pt_O1(W25)-",RIGHT(F24,LEN(F24) - FIND("-",F24))), _xlfn.CONCAT("pt_O1(W25)-",RIGHT(H24,LEN(H24) - FIND("-",H24)))))</f>
        <v>pt_O1(W25)-MISSION A</v>
      </c>
      <c r="E96" s="86" t="str">
        <f>IF(G43="","pt_P1(W26)",IF(G43&gt;I43,_xlfn.CONCAT("pt_P1(W26)-",RIGHT(F43,LEN(F43) - FIND("-",F43))), _xlfn.CONCAT("pt_P1(W26)-",RIGHT(H43,LEN(H43) - FIND("-",H43)))))</f>
        <v>pt_P1(W26)-LA JOLLA UNITED</v>
      </c>
    </row>
    <row r="97" spans="1:5" ht="14.1" customHeight="1">
      <c r="A97" s="60">
        <v>2</v>
      </c>
      <c r="B97" s="87" t="str">
        <f>IF(G66="","pt_M2(W43)",IF(G66&gt;I66,_xlfn.CONCAT("pt_M2(W43)-",RIGHT(F66,LEN(F66) - FIND("-",F66))), _xlfn.CONCAT("pt_M2(W43)-",RIGHT(H66,LEN(H66) - FIND("-",H66)))))</f>
        <v>pt_M2(W43)-NORCAL BLACK</v>
      </c>
      <c r="C97" s="86" t="str">
        <f>IF(G64="","pt_N2(W35)",IF(G64&gt;I64,_xlfn.CONCAT("pt_N2(W35)-",RIGHT(F64,LEN(F64) - FIND("-",F64))), _xlfn.CONCAT("pt_N2(W35)-",RIGHT(H64,LEN(H64) - FIND("-",H64)))))</f>
        <v>pt_N2(W35)-SD DONS RED</v>
      </c>
      <c r="D97" s="87" t="str">
        <f>IF(G47="","pt_O2(W42)",IF(G47&gt;I47,_xlfn.CONCAT("pt_O2(W42)-",RIGHT(F47,LEN(F47) - FIND("-",F47))), _xlfn.CONCAT("pt_O2(W42)-",RIGHT(H47,LEN(H47) - FIND("-",H47)))))</f>
        <v>pt_O2(W42)-908 YELLOW A</v>
      </c>
      <c r="E97" s="87" t="str">
        <f>IF(G45="","pt_P2(W34)",IF(G45&gt;I45,_xlfn.CONCAT("pt_P2(W34)-",RIGHT(F45,LEN(F45) - FIND("-",F45))), _xlfn.CONCAT("pt_P2(W34)-",RIGHT(H45,LEN(H45) - FIND("-",H45)))))</f>
        <v>pt_P2(W34)-NEWPORT BEACH BLUE</v>
      </c>
    </row>
    <row r="98" spans="1:5" ht="14.1" customHeight="1">
      <c r="A98" s="60">
        <v>3</v>
      </c>
      <c r="B98" s="87" t="str">
        <f>IF(G62="","pt_M3(W27)",IF(G62&gt;I62,_xlfn.CONCAT("pt_M3(W27)-",RIGHT(F62,LEN(F62) - FIND("-",F62))), _xlfn.CONCAT("pt_M3(W27)-",RIGHT(H62,LEN(H62) - FIND("-",H62)))))</f>
        <v>pt_M3(W27)-PATRIOT NAVY</v>
      </c>
      <c r="C98" s="87" t="str">
        <f>IF(G81="","pt_N3(W28)",IF(G81&gt;I81,_xlfn.CONCAT("pt_N3(W28)-",RIGHT(F81,LEN(F81) - FIND("-",F81))), _xlfn.CONCAT("pt_N3(W28)-",RIGHT(H81,LEN(H81) - FIND("-",H81)))))</f>
        <v>pt_N3(W28)-COMMERCE</v>
      </c>
      <c r="D98" s="87" t="str">
        <f>IF(G83="","pt_O3(W36)",IF(G83&gt;I83,_xlfn.CONCAT("pt_O3(W36)-",RIGHT(F83,LEN(F83) - FIND("-",F83))), _xlfn.CONCAT("pt_O3(W36)-",RIGHT(H83,LEN(H83) - FIND("-",H83)))))</f>
        <v>pt_O3(W36)-LAMORINDA A</v>
      </c>
      <c r="E98" s="87" t="str">
        <f>IF(G85="","pt_P3(W44)",IF(G85&gt;I85,_xlfn.CONCAT("pt_P3(W44)-",RIGHT(F85,LEN(F85) - FIND("-",F85))), _xlfn.CONCAT("pt_P3(W44)-",RIGHT(H85,LEN(H85) - FIND("-",H85)))))</f>
        <v>pt_P3(W44)-LA PREMIER BLACK</v>
      </c>
    </row>
    <row r="100" spans="1:5" ht="14.1" customHeight="1">
      <c r="B100" s="85" t="s">
        <v>213</v>
      </c>
      <c r="C100" s="85" t="s">
        <v>214</v>
      </c>
      <c r="D100" s="85" t="s">
        <v>215</v>
      </c>
      <c r="E100" s="85" t="s">
        <v>216</v>
      </c>
    </row>
    <row r="101" spans="1:5" ht="14.1" customHeight="1">
      <c r="A101" s="60">
        <v>1</v>
      </c>
      <c r="B101" s="87" t="str">
        <f>IF(G89="","pt_R1(W56)",IF(G89&gt;I89,_xlfn.CONCAT("pt_R1(W56)-",RIGHT(F89,LEN(F89) - FIND("-",F89))), _xlfn.CONCAT("pt_R1(W56)-",RIGHT(H89,LEN(H89) - FIND("-",H89)))))</f>
        <v>pt_R1(W56)-STANFORD RED</v>
      </c>
      <c r="C101" s="87" t="str">
        <f>IF(G90="","pt_S1(W60)",IF(G90&gt;I90,_xlfn.CONCAT("pt_S1(W60)-",RIGHT(F90,LEN(F90) - FIND("-",F90))), _xlfn.CONCAT("pt_S1(W60)-",RIGHT(H90,LEN(H90) - FIND("-",H90)))))</f>
        <v>pt_S1(W60)-DAVIS</v>
      </c>
      <c r="D101" s="87" t="str">
        <f>IF(G69="","pt_T1(W51)",IF(G69&gt;I69,_xlfn.CONCAT("pt_T1(W51)-",RIGHT(F69,LEN(F69) - FIND("-",F69))), _xlfn.CONCAT("pt_T1(W51)-",RIGHT(H69,LEN(H69) - FIND("-",H69)))))</f>
        <v>pt_T1(W51)-PALOS VERDES BLACK</v>
      </c>
      <c r="E101" s="86" t="str">
        <f>IF(G88="","pt_U1(W52)",IF(G88&gt;I88,_xlfn.CONCAT("pt_U1(W52)-",RIGHT(F88,LEN(F88) - FIND("-",F88))), _xlfn.CONCAT("pt_U1(W52)-",RIGHT(H88,LEN(H88) - FIND("-",H88)))))</f>
        <v>pt_U1(W52)-DIABLO ALLIANCE A</v>
      </c>
    </row>
    <row r="102" spans="1:5" ht="14.1" customHeight="1">
      <c r="A102" s="60">
        <v>2</v>
      </c>
      <c r="B102" s="87" t="str">
        <f>IF(G52="","pt_R2(W58)",IF(G52&gt;I52,_xlfn.CONCAT("pt_R2(W58)-",RIGHT(F52,LEN(F52) - FIND("-",F52))), _xlfn.CONCAT("pt_R2(W58)-",RIGHT(H52,LEN(H52) - FIND("-",H52)))))</f>
        <v>pt_R2(W58)-SHAQ</v>
      </c>
      <c r="C102" s="87" t="str">
        <f>IF(G51="","pt_S2(W54)",IF(G51&gt;I51,_xlfn.CONCAT("pt_S2(W54)-",RIGHT(F51,LEN(F51) - FIND("-",F51))), _xlfn.CONCAT("pt_S2(W54)-",RIGHT(H51,LEN(H51) - FIND("-",H51)))))</f>
        <v>pt_S2(W54)-VANGUARD BLUE</v>
      </c>
      <c r="D102" s="86" t="str">
        <f>IF(G71="","pt_T2(W59)",IF(G71&gt;I71,_xlfn.CONCAT("pt_T2(W59)-",RIGHT(F71,LEN(F71) - FIND("-",F71))), _xlfn.CONCAT("pt_T2(W59)-",RIGHT(H71,LEN(H71) - FIND("-",H71)))))</f>
        <v>pt_T2(W59)-CC UNITED BLACK</v>
      </c>
      <c r="E102" s="86" t="str">
        <f>IF(G70="","pt_U2(W55)",IF(G70&gt;I70,_xlfn.CONCAT("pt_U2(W55)-",RIGHT(F70,LEN(F70) - FIND("-",F70))), _xlfn.CONCAT("pt_U2(W55)-",RIGHT(H70,LEN(H70) - FIND("-",H70)))))</f>
        <v>pt_U2(W55)-SD SHORES BLACK</v>
      </c>
    </row>
    <row r="103" spans="1:5" ht="14.1" customHeight="1">
      <c r="A103" s="60">
        <v>3</v>
      </c>
      <c r="B103" s="87" t="str">
        <f>IF(G31="","pt_R3(W49)",IF(G31&gt;I31,_xlfn.CONCAT("pt_R3(W49)-",RIGHT(F31,LEN(F31) - FIND("-",F31))), _xlfn.CONCAT("pt_R3(W49)-",RIGHT(H31,LEN(H31) - FIND("-",H31)))))</f>
        <v>pt_R3(W49)-680 RED</v>
      </c>
      <c r="C103" s="87" t="str">
        <f>IF(G50="","pt_S3(W50)",IF(G50&gt;I50,_xlfn.CONCAT("pt_S3(W50)-",RIGHT(F50,LEN(F50) - FIND("-",F50))), _xlfn.CONCAT("pt_S3(W50)-",RIGHT(H50,LEN(H50) - FIND("-",H50)))))</f>
        <v>pt_S3(W50)-CDM BLUE</v>
      </c>
      <c r="D103" s="87" t="str">
        <f>IF(G32="","pt_T3(W53)",IF(G32&gt;I32,_xlfn.CONCAT("pt_T3(W53)-",RIGHT(F32,LEN(F32) - FIND("-",F32))), _xlfn.CONCAT("pt_T3(W53)-",RIGHT(H32,LEN(H32) - FIND("-",H32)))))</f>
        <v>pt_T3(W53)-SAN CLEMENTE RED</v>
      </c>
      <c r="E103" s="87" t="str">
        <f>IF(G33="","pt_U3(W57)",IF(G33&gt;I33,_xlfn.CONCAT("pt_U3(W57)-",RIGHT(F33,LEN(F33) - FIND("-",F33))), _xlfn.CONCAT("pt_U3(W57)-",RIGHT(H33,LEN(H33) - FIND("-",H33)))))</f>
        <v>pt_U3(W57)-SOUTH COAST RED</v>
      </c>
    </row>
    <row r="105" spans="1:5" ht="14.1" customHeight="1">
      <c r="A105" s="60"/>
      <c r="B105" s="84" t="s">
        <v>408</v>
      </c>
      <c r="C105" s="60"/>
      <c r="D105" s="60"/>
      <c r="E105" s="60"/>
    </row>
    <row r="106" spans="1:5" ht="14.1" customHeight="1">
      <c r="A106" s="60"/>
      <c r="B106" s="153" t="s">
        <v>229</v>
      </c>
      <c r="C106" s="153" t="s">
        <v>230</v>
      </c>
      <c r="D106" s="153" t="s">
        <v>231</v>
      </c>
      <c r="E106" s="153" t="s">
        <v>409</v>
      </c>
    </row>
    <row r="107" spans="1:5" ht="14.1" customHeight="1">
      <c r="A107" s="60">
        <v>1</v>
      </c>
      <c r="B107" s="87" t="str">
        <f>IF(G32="","au_M1(L53)",IF(G32&lt;I32,_xlfn.CONCAT("au_M1(L53)-",RIGHT(F32,LEN(F32) - FIND("-",F32))), _xlfn.CONCAT("au_M1(L53)-",RIGHT(H32,LEN(H32) - FIND("-",H32)))))</f>
        <v>au_M1(L53)-CC UNITED BLUE</v>
      </c>
      <c r="C107" s="87" t="str">
        <f>IF(G33="","au_N1(L57)",IF(G33&lt;I33,_xlfn.CONCAT("au_N1(L57)-",RIGHT(F33,LEN(F33) - FIND("-",F33))), _xlfn.CONCAT("au_N1(L57)-",RIGHT(H33,LEN(H33) - FIND("-",H33)))))</f>
        <v>au_N1(L57)-NORTH IRVINE BLACK</v>
      </c>
      <c r="D107" s="87" t="str">
        <f>IF(G31="","au_O1(L49)",IF(G31&lt;I31,_xlfn.CONCAT("au_O1(L49)-",RIGHT(F31,LEN(F31) - FIND("-",F31))), _xlfn.CONCAT("au_O1(L49)-",RIGHT(H31,LEN(H31) - FIND("-",H31)))))</f>
        <v>au_O1(L49)-SD DONS 13A GOLD</v>
      </c>
      <c r="E107" s="87" t="str">
        <f>IF(G50="","au_P1(L50)",IF(G50&lt;I50,_xlfn.CONCAT("au_P1(L50)-",RIGHT(F50,LEN(F50) - FIND("-",F50))), _xlfn.CONCAT("au_P1(L50)-",RIGHT(H50,LEN(H50) - FIND("-",H50)))))</f>
        <v>au_P1(L50)-SANTA BARBARA WPC A</v>
      </c>
    </row>
    <row r="108" spans="1:5" ht="14.1" customHeight="1">
      <c r="A108" s="60">
        <v>2</v>
      </c>
      <c r="B108" s="86" t="str">
        <f>IF(G71="","au_M2(L59)",IF(G71&lt;I71,_xlfn.CONCAT("au_M2(L59)-",RIGHT(F71,LEN(F71) - FIND("-",F71))), _xlfn.CONCAT("au_M2(L59)-",RIGHT(H71,LEN(H71) - FIND("-",H71)))))</f>
        <v>au_M2(L59)-NIPC</v>
      </c>
      <c r="C108" s="86" t="str">
        <f>IF(G70="","au_N2(L55)",IF(G70&lt;I70,_xlfn.CONCAT("au_N2(L55)-",RIGHT(F70,LEN(F70) - FIND("-",F70))), _xlfn.CONCAT("au_N2(L55)-",RIGHT(H70,LEN(H70) - FIND("-",H70)))))</f>
        <v>au_N2(L55)-TEXAS THUNDER</v>
      </c>
      <c r="D108" s="87" t="str">
        <f>IF(G52="","au_O2(L58)",IF(G52&lt;I52,_xlfn.CONCAT("au_O2(L58)-",RIGHT(F52,LEN(F52) - FIND("-",F52))), _xlfn.CONCAT("au_O2(L58)-",RIGHT(H52,LEN(H52) - FIND("-",H52)))))</f>
        <v>au_O2(L58)-NORTHWEST</v>
      </c>
      <c r="E108" s="87" t="str">
        <f>IF(G51="","au_P2(L54)",IF(G51&lt;I51,_xlfn.CONCAT("au_P2(L54)-",RIGHT(F51,LEN(F51) - FIND("-",F51))), _xlfn.CONCAT("au_P2(L54)-",RIGHT(H51,LEN(H51) - FIND("-",H51)))))</f>
        <v>au_P2(L54)-PUGET SOUND</v>
      </c>
    </row>
    <row r="109" spans="1:5" ht="14.1" customHeight="1">
      <c r="A109" s="60">
        <v>3</v>
      </c>
      <c r="B109" s="86" t="str">
        <f>IF(G69="","au_M3(L51)",IF(G69&lt;I69,_xlfn.CONCAT("au_M3(L51)-",RIGHT(F69,LEN(F69) - FIND("-",F69))), _xlfn.CONCAT("au_M3(L51)-",RIGHT(H69,LEN(H69) - FIND("-",H69)))))</f>
        <v>au_M3(L51)-DEVILS GATE</v>
      </c>
      <c r="C109" s="86" t="str">
        <f>IF(G88="","au_N3(L52)",IF(G88&lt;I88,_xlfn.CONCAT("au_N3(L52)-",RIGHT(F88,LEN(F88) - FIND("-",F88))), _xlfn.CONCAT("au_N3(L52)-",RIGHT(H88,LEN(H88) - FIND("-",H88)))))</f>
        <v>au_N3(L52)-PEGASUS</v>
      </c>
      <c r="D109" s="87" t="str">
        <f>IF(G89="","au_O3(L56)",IF(G89&lt;I89,_xlfn.CONCAT("au_O3(L56)-",RIGHT(F89,LEN(F89) - FIND("-",F89))), _xlfn.CONCAT("au_O3(L56)-",RIGHT(H89,LEN(H89) - FIND("-",H89)))))</f>
        <v>au_O3(L56)-GREENWICH WHITE</v>
      </c>
      <c r="E109" s="87" t="str">
        <f>IF(G90="","au_P3(L60)",IF(G90&lt;I90,_xlfn.CONCAT("au_P3(L60)-",RIGHT(F90,LEN(F90) - FIND("-",F90))), _xlfn.CONCAT("au_P3(L60)-",RIGHT(H90,LEN(H90) - FIND("-",H90)))))</f>
        <v>au_P3(L60)-CLOVIS</v>
      </c>
    </row>
    <row r="110" spans="1:5" ht="14.1" customHeight="1">
      <c r="B110" s="60"/>
      <c r="C110" s="60"/>
      <c r="D110" s="60"/>
      <c r="E110" s="60"/>
    </row>
    <row r="111" spans="1:5" ht="14.1" customHeight="1">
      <c r="B111" s="153" t="s">
        <v>410</v>
      </c>
      <c r="C111" s="153" t="s">
        <v>411</v>
      </c>
      <c r="D111" s="153" t="s">
        <v>412</v>
      </c>
      <c r="E111" s="153" t="s">
        <v>413</v>
      </c>
    </row>
    <row r="112" spans="1:5" ht="14.1" customHeight="1">
      <c r="A112" s="60">
        <v>1</v>
      </c>
      <c r="B112" s="87" t="str">
        <f>IF(G86="","au_R1(L48)",IF(G86&lt;I86,_xlfn.CONCAT("au_R1(L48)-",RIGHT(F86,LEN(F86) - FIND("-",F86))), _xlfn.CONCAT("au_R1(L48)-",RIGHT(H86,LEN(H86) - FIND("-",H86)))))</f>
        <v>au_R1(L48)-CENTRAL COAST</v>
      </c>
      <c r="C112" s="87" t="str">
        <f>IF(G84="","au_S1(L40)",IF(G84&lt;I84,_xlfn.CONCAT("au_S1(L40)-",RIGHT(F84,LEN(F84) - FIND("-",F84))), _xlfn.CONCAT("au_S1(L40)-",RIGHT(H84,LEN(H84) - FIND("-",H84)))))</f>
        <v>au_S1(L40)-LONGHORN</v>
      </c>
      <c r="D112" s="87" t="str">
        <f>IF(G82="","au_T1(L32)",IF(G82&lt;I82,_xlfn.CONCAT("au_T1(L32)-",RIGHT(F82,LEN(F82) - FIND("-",F82))), _xlfn.CONCAT("au_T1(L32)-",RIGHT(H82,LEN(H82) - FIND("-",H82)))))</f>
        <v>au_T1(L32)-KEARNS</v>
      </c>
      <c r="E112" s="86" t="str">
        <f>IF(G63="","au_U1(L31)",IF(G63&lt;I63,_xlfn.CONCAT("au_U1(L31)-",RIGHT(F63,LEN(F63) - FIND("-",F63))), _xlfn.CONCAT("au_U1(L31)-",RIGHT(H63,LEN(H63) - FIND("-",H63)))))</f>
        <v>au_U1(L31)-PRINCETON</v>
      </c>
    </row>
    <row r="113" spans="1:14" ht="14.1" customHeight="1">
      <c r="A113" s="60">
        <v>2</v>
      </c>
      <c r="B113" s="87" t="str">
        <f>IF(G46="","au_R2(L38)",IF(G46&lt;I46,_xlfn.CONCAT("au_R2(L38)-",RIGHT(F46,LEN(F46) - FIND("-",F46))), _xlfn.CONCAT("au_R2(L38)-",RIGHT(H46,LEN(H46) - FIND("-",H46)))))</f>
        <v>au_R2(L38)-HONOLULU A</v>
      </c>
      <c r="C113" s="87" t="str">
        <f>IF(G48="","au_S2(L46)",IF(G48&lt;I48,_xlfn.CONCAT("au_S2(L46)-",RIGHT(F48,LEN(F48) - FIND("-",F48))), _xlfn.CONCAT("au_S2(L46)-",RIGHT(H48,LEN(H48) - FIND("-",H48)))))</f>
        <v>au_S2(L46)-COLORADO</v>
      </c>
      <c r="D113" s="86" t="str">
        <f>IF(G65="","au_T2(L39)",IF(G65&lt;I65,_xlfn.CONCAT("au_T2(L39)-",RIGHT(F65,LEN(F65) - FIND("-",F65))), _xlfn.CONCAT("au_T2(L39)-",RIGHT(H65,LEN(H65) - FIND("-",H65)))))</f>
        <v>au_T2(L39)-PUNAHOU</v>
      </c>
      <c r="E113" s="86" t="str">
        <f>IF(G67="","au_U2(L47)",IF(G67&lt;I67,_xlfn.CONCAT("au_U2(L47)-",RIGHT(F67,LEN(F67) - FIND("-",F67))), _xlfn.CONCAT("au_U2(L47)-",RIGHT(H67,LEN(H67) - FIND("-",H67)))))</f>
        <v>au_U2(L47)-LYONS AQUATICS</v>
      </c>
    </row>
    <row r="114" spans="1:14" ht="14.1" customHeight="1">
      <c r="A114" s="60">
        <v>3</v>
      </c>
      <c r="B114" s="86" t="str">
        <f>IF(G44="","au_R3(L30)",IF(G44&lt;I44,_xlfn.CONCAT("au_R3(L30)-",RIGHT(F44,LEN(F44) - FIND("-",F44))), _xlfn.CONCAT("au_R3(L30)-",RIGHT(H44,LEN(H44) - FIND("-",H44)))))</f>
        <v>au_R3(L30)-AMERICAN RIVER A</v>
      </c>
      <c r="C114" s="87" t="str">
        <f>IF(G25="","au_S3(L29)",IF(G25&lt;I25,_xlfn.CONCAT("au_S3(L29)-",RIGHT(F25,LEN(F25) - FIND("-",F25))), _xlfn.CONCAT("au_S3(L29)-",RIGHT(H25,LEN(H25) - FIND("-",H25)))))</f>
        <v>au_S3(L29)-LOWPO</v>
      </c>
      <c r="D114" s="87" t="str">
        <f>IF(G29="","au_T3(L45)",IF(G29&lt;I29,_xlfn.CONCAT("au_T3(L45)-",RIGHT(F29,LEN(F29) - FIND("-",F29))), _xlfn.CONCAT("au_T3(L45)-",RIGHT(H29,LEN(H29) - FIND("-",H29)))))</f>
        <v>au_T3(L45)-TOPAZ TSUNAMI</v>
      </c>
      <c r="E114" s="86" t="str">
        <f>IF(G27="","au_U3(L37)",IF(G27&lt;I27,_xlfn.CONCAT("au_U3(L37)-",RIGHT(F27,LEN(F27) - FIND("-",F27))), _xlfn.CONCAT("au_U3(L37)-",RIGHT(H27,LEN(H27) - FIND("-",H27)))))</f>
        <v>au_U3(L37)-BARCELONA LIONS</v>
      </c>
    </row>
    <row r="115" spans="1:14" ht="14.1" customHeight="1" thickBot="1">
      <c r="B115" s="60"/>
      <c r="C115" s="60"/>
      <c r="D115" s="60"/>
      <c r="E115" s="60"/>
      <c r="F115" s="60"/>
      <c r="G115" s="64"/>
      <c r="H115" s="60"/>
      <c r="I115" s="60"/>
      <c r="J115" s="60"/>
      <c r="K115" s="60"/>
      <c r="L115" s="60"/>
    </row>
    <row r="116" spans="1:14" ht="14.1" customHeight="1" thickBot="1">
      <c r="B116" s="60"/>
      <c r="C116" s="60"/>
      <c r="D116" s="68" t="str">
        <f>'CHICLETS MASTER S2'!$Q$27</f>
        <v>UC IRVINE 1</v>
      </c>
      <c r="E116" s="60"/>
      <c r="F116" s="60"/>
      <c r="G116" s="64"/>
      <c r="H116" s="60"/>
      <c r="I116" s="60"/>
      <c r="J116" s="60"/>
      <c r="K116" s="60"/>
      <c r="L116" s="60"/>
    </row>
    <row r="117" spans="1:14" ht="14.1" customHeight="1">
      <c r="A117" s="325" t="s">
        <v>124</v>
      </c>
      <c r="B117" s="327" t="s">
        <v>125</v>
      </c>
      <c r="C117" s="327" t="s">
        <v>126</v>
      </c>
      <c r="D117" s="327" t="s">
        <v>127</v>
      </c>
      <c r="E117" s="327" t="s">
        <v>128</v>
      </c>
      <c r="F117" s="327" t="s">
        <v>129</v>
      </c>
      <c r="G117" s="327" t="s">
        <v>130</v>
      </c>
      <c r="H117" s="327" t="s">
        <v>131</v>
      </c>
      <c r="I117" s="327" t="s">
        <v>130</v>
      </c>
      <c r="J117" s="327" t="s">
        <v>132</v>
      </c>
      <c r="K117" s="327" t="s">
        <v>133</v>
      </c>
      <c r="L117" s="327" t="s">
        <v>134</v>
      </c>
    </row>
    <row r="118" spans="1:14" ht="14.1" customHeight="1">
      <c r="A118" s="89">
        <f t="shared" ref="A118:A129" si="12">$A$93</f>
        <v>46227</v>
      </c>
      <c r="B118" s="70">
        <f>'CHICLETS MASTER S2'!P28</f>
        <v>0.29166666666666669</v>
      </c>
      <c r="C118" s="71" t="s">
        <v>218</v>
      </c>
      <c r="D118" s="71" t="str">
        <f t="shared" ref="D118:D129" si="13">$D$116</f>
        <v>UC IRVINE 1</v>
      </c>
      <c r="E118" s="71">
        <v>61</v>
      </c>
      <c r="F118" s="90" t="str">
        <f>B97</f>
        <v>pt_M2(W43)-NORCAL BLACK</v>
      </c>
      <c r="G118" s="90">
        <v>9</v>
      </c>
      <c r="H118" s="90" t="str">
        <f>B98</f>
        <v>pt_M3(W27)-PATRIOT NAVY</v>
      </c>
      <c r="I118" s="90">
        <v>13</v>
      </c>
      <c r="J118" s="90"/>
      <c r="K118" s="90"/>
      <c r="L118" s="90" t="str">
        <f t="shared" ref="L118:L129" si="14">IF(E118="","",$L$15&amp;"-"&amp;TEXT(E118,"000"))</f>
        <v>14B-061</v>
      </c>
      <c r="N118" s="62" t="str">
        <f t="shared" ref="N118:N129" si="15">$K$255&amp;C118</f>
        <v>pt_Group</v>
      </c>
    </row>
    <row r="119" spans="1:14" ht="14.1" customHeight="1">
      <c r="A119" s="89">
        <f t="shared" si="12"/>
        <v>46227</v>
      </c>
      <c r="B119" s="70">
        <f>'CHICLETS MASTER S2'!P29</f>
        <v>0.3263888888888889</v>
      </c>
      <c r="C119" s="71" t="s">
        <v>218</v>
      </c>
      <c r="D119" s="71" t="str">
        <f t="shared" si="13"/>
        <v>UC IRVINE 1</v>
      </c>
      <c r="E119" s="71">
        <v>65</v>
      </c>
      <c r="F119" s="90" t="str">
        <f>C97</f>
        <v>pt_N2(W35)-SD DONS RED</v>
      </c>
      <c r="G119" s="90">
        <v>10</v>
      </c>
      <c r="H119" s="90" t="str">
        <f>C98</f>
        <v>pt_N3(W28)-COMMERCE</v>
      </c>
      <c r="I119" s="90">
        <v>6</v>
      </c>
      <c r="J119" s="90"/>
      <c r="K119" s="90"/>
      <c r="L119" s="90" t="str">
        <f t="shared" si="14"/>
        <v>14B-065</v>
      </c>
      <c r="N119" s="62" t="str">
        <f t="shared" si="15"/>
        <v>pt_Group</v>
      </c>
    </row>
    <row r="120" spans="1:14" ht="14.1" customHeight="1">
      <c r="A120" s="89">
        <f t="shared" si="12"/>
        <v>46227</v>
      </c>
      <c r="B120" s="70">
        <f>'CHICLETS MASTER S2'!P30</f>
        <v>0.36111111111111099</v>
      </c>
      <c r="C120" s="71" t="s">
        <v>218</v>
      </c>
      <c r="D120" s="71" t="str">
        <f t="shared" si="13"/>
        <v>UC IRVINE 1</v>
      </c>
      <c r="E120" s="71">
        <v>69</v>
      </c>
      <c r="F120" s="90" t="str">
        <f>C101</f>
        <v>pt_S1(W60)-DAVIS</v>
      </c>
      <c r="G120" s="90">
        <v>7</v>
      </c>
      <c r="H120" s="90" t="str">
        <f>C102</f>
        <v>pt_S2(W54)-VANGUARD BLUE</v>
      </c>
      <c r="I120" s="90">
        <v>17</v>
      </c>
      <c r="J120" s="90"/>
      <c r="K120" s="90"/>
      <c r="L120" s="90" t="str">
        <f t="shared" si="14"/>
        <v>14B-069</v>
      </c>
      <c r="N120" s="62" t="str">
        <f t="shared" si="15"/>
        <v>pt_Group</v>
      </c>
    </row>
    <row r="121" spans="1:14" ht="14.1" customHeight="1">
      <c r="A121" s="89">
        <f t="shared" si="12"/>
        <v>46227</v>
      </c>
      <c r="B121" s="70">
        <f>'CHICLETS MASTER S2'!P31</f>
        <v>0.39583333333333398</v>
      </c>
      <c r="C121" s="71" t="s">
        <v>218</v>
      </c>
      <c r="D121" s="71" t="str">
        <f t="shared" si="13"/>
        <v>UC IRVINE 1</v>
      </c>
      <c r="E121" s="71">
        <v>73</v>
      </c>
      <c r="F121" s="90" t="str">
        <f>B101</f>
        <v>pt_R1(W56)-STANFORD RED</v>
      </c>
      <c r="G121" s="90">
        <v>13</v>
      </c>
      <c r="H121" s="90" t="str">
        <f>B102</f>
        <v>pt_R2(W58)-SHAQ</v>
      </c>
      <c r="I121" s="90">
        <v>5</v>
      </c>
      <c r="J121" s="90"/>
      <c r="K121" s="90"/>
      <c r="L121" s="90" t="str">
        <f t="shared" si="14"/>
        <v>14B-073</v>
      </c>
      <c r="N121" s="62" t="str">
        <f t="shared" si="15"/>
        <v>pt_Group</v>
      </c>
    </row>
    <row r="122" spans="1:14" ht="14.1" customHeight="1">
      <c r="A122" s="89">
        <f t="shared" si="12"/>
        <v>46227</v>
      </c>
      <c r="B122" s="70">
        <f>'CHICLETS MASTER S2'!P32</f>
        <v>0.43055555555555602</v>
      </c>
      <c r="C122" s="71" t="s">
        <v>218</v>
      </c>
      <c r="D122" s="71" t="str">
        <f t="shared" si="13"/>
        <v>UC IRVINE 1</v>
      </c>
      <c r="E122" s="71">
        <v>77</v>
      </c>
      <c r="F122" s="90" t="str">
        <f>B96</f>
        <v>pt_M1(W33)-CIU GOLD</v>
      </c>
      <c r="G122" s="90">
        <v>13</v>
      </c>
      <c r="H122" s="90" t="str">
        <f>B98</f>
        <v>pt_M3(W27)-PATRIOT NAVY</v>
      </c>
      <c r="I122" s="90">
        <v>10</v>
      </c>
      <c r="J122" s="90"/>
      <c r="K122" s="90"/>
      <c r="L122" s="90" t="str">
        <f t="shared" si="14"/>
        <v>14B-077</v>
      </c>
      <c r="N122" s="62" t="str">
        <f t="shared" si="15"/>
        <v>pt_Group</v>
      </c>
    </row>
    <row r="123" spans="1:14" ht="14.1" customHeight="1">
      <c r="A123" s="89">
        <f t="shared" si="12"/>
        <v>46227</v>
      </c>
      <c r="B123" s="70">
        <f>'CHICLETS MASTER S2'!P33</f>
        <v>0.46527777777777801</v>
      </c>
      <c r="C123" s="71" t="s">
        <v>218</v>
      </c>
      <c r="D123" s="71" t="str">
        <f t="shared" si="13"/>
        <v>UC IRVINE 1</v>
      </c>
      <c r="E123" s="71">
        <v>81</v>
      </c>
      <c r="F123" s="90" t="str">
        <f>C96</f>
        <v>pt_N1(W41)-GREENWICH BLUE</v>
      </c>
      <c r="G123" s="90">
        <v>7</v>
      </c>
      <c r="H123" s="90" t="str">
        <f>C98</f>
        <v>pt_N3(W28)-COMMERCE</v>
      </c>
      <c r="I123" s="90">
        <v>10</v>
      </c>
      <c r="J123" s="90"/>
      <c r="K123" s="90"/>
      <c r="L123" s="90" t="str">
        <f t="shared" si="14"/>
        <v>14B-081</v>
      </c>
      <c r="N123" s="62" t="str">
        <f t="shared" si="15"/>
        <v>pt_Group</v>
      </c>
    </row>
    <row r="124" spans="1:14" ht="14.1" customHeight="1">
      <c r="A124" s="89">
        <f t="shared" si="12"/>
        <v>46227</v>
      </c>
      <c r="B124" s="70">
        <f>'CHICLETS MASTER S2'!P34</f>
        <v>0.5</v>
      </c>
      <c r="C124" s="71" t="s">
        <v>218</v>
      </c>
      <c r="D124" s="71" t="str">
        <f t="shared" si="13"/>
        <v>UC IRVINE 1</v>
      </c>
      <c r="E124" s="71">
        <v>85</v>
      </c>
      <c r="F124" s="90" t="str">
        <f>C101</f>
        <v>pt_S1(W60)-DAVIS</v>
      </c>
      <c r="G124" s="90">
        <v>8</v>
      </c>
      <c r="H124" s="90" t="str">
        <f>C103</f>
        <v>pt_S3(W50)-CDM BLUE</v>
      </c>
      <c r="I124" s="90">
        <v>14</v>
      </c>
      <c r="J124" s="90"/>
      <c r="K124" s="90"/>
      <c r="L124" s="90" t="str">
        <f t="shared" si="14"/>
        <v>14B-085</v>
      </c>
      <c r="N124" s="62" t="str">
        <f t="shared" si="15"/>
        <v>pt_Group</v>
      </c>
    </row>
    <row r="125" spans="1:14" ht="14.1" customHeight="1">
      <c r="A125" s="89">
        <f t="shared" si="12"/>
        <v>46227</v>
      </c>
      <c r="B125" s="70">
        <f>'CHICLETS MASTER S2'!P35</f>
        <v>0.53472222222222199</v>
      </c>
      <c r="C125" s="71" t="s">
        <v>218</v>
      </c>
      <c r="D125" s="71" t="str">
        <f t="shared" si="13"/>
        <v>UC IRVINE 1</v>
      </c>
      <c r="E125" s="71">
        <v>89</v>
      </c>
      <c r="F125" s="90" t="str">
        <f>B101</f>
        <v>pt_R1(W56)-STANFORD RED</v>
      </c>
      <c r="G125" s="90">
        <v>12</v>
      </c>
      <c r="H125" s="90" t="str">
        <f>B103</f>
        <v>pt_R3(W49)-680 RED</v>
      </c>
      <c r="I125" s="90">
        <v>9</v>
      </c>
      <c r="J125" s="90"/>
      <c r="K125" s="90"/>
      <c r="L125" s="90" t="str">
        <f t="shared" si="14"/>
        <v>14B-089</v>
      </c>
      <c r="N125" s="62" t="str">
        <f t="shared" si="15"/>
        <v>pt_Group</v>
      </c>
    </row>
    <row r="126" spans="1:14" ht="14.1" customHeight="1">
      <c r="A126" s="89">
        <f t="shared" si="12"/>
        <v>46227</v>
      </c>
      <c r="B126" s="70">
        <f>'CHICLETS MASTER S2'!P36</f>
        <v>0.56944444444444497</v>
      </c>
      <c r="C126" s="71" t="s">
        <v>218</v>
      </c>
      <c r="D126" s="71" t="str">
        <f t="shared" si="13"/>
        <v>UC IRVINE 1</v>
      </c>
      <c r="E126" s="71">
        <v>93</v>
      </c>
      <c r="F126" s="90" t="str">
        <f>B96</f>
        <v>pt_M1(W33)-CIU GOLD</v>
      </c>
      <c r="G126" s="90">
        <v>15</v>
      </c>
      <c r="H126" s="90" t="str">
        <f>B97</f>
        <v>pt_M2(W43)-NORCAL BLACK</v>
      </c>
      <c r="I126" s="90">
        <v>8</v>
      </c>
      <c r="J126" s="90"/>
      <c r="K126" s="90"/>
      <c r="L126" s="90" t="str">
        <f t="shared" si="14"/>
        <v>14B-093</v>
      </c>
      <c r="N126" s="62" t="str">
        <f t="shared" si="15"/>
        <v>pt_Group</v>
      </c>
    </row>
    <row r="127" spans="1:14" ht="14.1" customHeight="1">
      <c r="A127" s="89">
        <f t="shared" si="12"/>
        <v>46227</v>
      </c>
      <c r="B127" s="70">
        <f>'CHICLETS MASTER S2'!P37</f>
        <v>0.60416666666666696</v>
      </c>
      <c r="C127" s="71" t="s">
        <v>218</v>
      </c>
      <c r="D127" s="71" t="str">
        <f t="shared" si="13"/>
        <v>UC IRVINE 1</v>
      </c>
      <c r="E127" s="71">
        <v>97</v>
      </c>
      <c r="F127" s="90" t="str">
        <f>C96</f>
        <v>pt_N1(W41)-GREENWICH BLUE</v>
      </c>
      <c r="G127" s="90">
        <v>6</v>
      </c>
      <c r="H127" s="90" t="str">
        <f>C97</f>
        <v>pt_N2(W35)-SD DONS RED</v>
      </c>
      <c r="I127" s="90">
        <v>13</v>
      </c>
      <c r="J127" s="90"/>
      <c r="K127" s="90"/>
      <c r="L127" s="90" t="str">
        <f t="shared" si="14"/>
        <v>14B-097</v>
      </c>
      <c r="N127" s="62" t="str">
        <f t="shared" si="15"/>
        <v>pt_Group</v>
      </c>
    </row>
    <row r="128" spans="1:14" ht="14.1" customHeight="1">
      <c r="A128" s="89">
        <f t="shared" si="12"/>
        <v>46227</v>
      </c>
      <c r="B128" s="70">
        <f>'CHICLETS MASTER S2'!P38</f>
        <v>0.63888888888888895</v>
      </c>
      <c r="C128" s="71" t="s">
        <v>218</v>
      </c>
      <c r="D128" s="71" t="str">
        <f t="shared" si="13"/>
        <v>UC IRVINE 1</v>
      </c>
      <c r="E128" s="71">
        <v>101</v>
      </c>
      <c r="F128" s="90" t="str">
        <f>C102</f>
        <v>pt_S2(W54)-VANGUARD BLUE</v>
      </c>
      <c r="G128" s="90">
        <v>16</v>
      </c>
      <c r="H128" s="90" t="str">
        <f>C103</f>
        <v>pt_S3(W50)-CDM BLUE</v>
      </c>
      <c r="I128" s="90">
        <v>8</v>
      </c>
      <c r="J128" s="90"/>
      <c r="K128" s="90"/>
      <c r="L128" s="90" t="str">
        <f t="shared" si="14"/>
        <v>14B-101</v>
      </c>
      <c r="N128" s="62" t="str">
        <f t="shared" si="15"/>
        <v>pt_Group</v>
      </c>
    </row>
    <row r="129" spans="1:14" ht="14.1" customHeight="1">
      <c r="A129" s="89">
        <f t="shared" si="12"/>
        <v>46227</v>
      </c>
      <c r="B129" s="70">
        <f>'CHICLETS MASTER S2'!P39</f>
        <v>0.67361111111111105</v>
      </c>
      <c r="C129" s="71" t="s">
        <v>218</v>
      </c>
      <c r="D129" s="71" t="str">
        <f t="shared" si="13"/>
        <v>UC IRVINE 1</v>
      </c>
      <c r="E129" s="71">
        <v>105</v>
      </c>
      <c r="F129" s="90" t="str">
        <f>B102</f>
        <v>pt_R2(W58)-SHAQ</v>
      </c>
      <c r="G129" s="90">
        <v>8</v>
      </c>
      <c r="H129" s="90" t="str">
        <f>B103</f>
        <v>pt_R3(W49)-680 RED</v>
      </c>
      <c r="I129" s="90">
        <v>13</v>
      </c>
      <c r="J129" s="90"/>
      <c r="K129" s="90"/>
      <c r="L129" s="90" t="str">
        <f t="shared" si="14"/>
        <v>14B-105</v>
      </c>
      <c r="N129" s="62" t="str">
        <f t="shared" si="15"/>
        <v>pt_Group</v>
      </c>
    </row>
    <row r="130" spans="1:14" ht="14.1" customHeight="1">
      <c r="A130" s="75"/>
      <c r="B130" s="60" t="s">
        <v>139</v>
      </c>
      <c r="C130" s="60"/>
      <c r="D130" s="60"/>
      <c r="E130" s="60"/>
      <c r="F130" s="60"/>
      <c r="G130" s="64"/>
      <c r="H130" s="60"/>
      <c r="I130" s="60"/>
      <c r="J130" s="60"/>
      <c r="K130" s="60"/>
      <c r="L130" s="60"/>
    </row>
    <row r="131" spans="1:14" ht="14.1" customHeight="1">
      <c r="A131" s="75"/>
      <c r="B131" s="60" t="s">
        <v>139</v>
      </c>
      <c r="C131" s="60"/>
      <c r="D131" s="60"/>
      <c r="E131" s="60"/>
      <c r="F131" s="60"/>
      <c r="G131" s="64"/>
      <c r="H131" s="60"/>
      <c r="I131" s="60"/>
      <c r="J131" s="60"/>
      <c r="K131" s="60"/>
      <c r="L131" s="60"/>
    </row>
    <row r="132" spans="1:14" ht="14.1" customHeight="1">
      <c r="A132" s="89">
        <f>$A$93</f>
        <v>46227</v>
      </c>
      <c r="B132" s="70">
        <f>'CHICLETS MASTER S2'!P42</f>
        <v>0.77777777777777801</v>
      </c>
      <c r="C132" s="71" t="s">
        <v>219</v>
      </c>
      <c r="D132" s="71" t="str">
        <f>$D$116</f>
        <v>UC IRVINE 1</v>
      </c>
      <c r="E132" s="71">
        <v>109</v>
      </c>
      <c r="F132" s="90" t="s">
        <v>531</v>
      </c>
      <c r="G132" s="90">
        <v>10</v>
      </c>
      <c r="H132" s="90" t="s">
        <v>532</v>
      </c>
      <c r="I132" s="90">
        <v>7</v>
      </c>
      <c r="J132" s="90">
        <v>129</v>
      </c>
      <c r="K132" s="90">
        <v>134</v>
      </c>
      <c r="L132" s="90" t="str">
        <f>IF(E132="","",$L$15&amp;"-"&amp;TEXT(E132,"000"))</f>
        <v>14B-109</v>
      </c>
      <c r="N132" s="62" t="str">
        <f>$K$255&amp;C132</f>
        <v>pt_Play-in</v>
      </c>
    </row>
    <row r="133" spans="1:14" ht="14.1" customHeight="1">
      <c r="A133" s="89">
        <f>$A$93</f>
        <v>46227</v>
      </c>
      <c r="B133" s="70">
        <f>'CHICLETS MASTER S2'!P43</f>
        <v>0.8125</v>
      </c>
      <c r="C133" s="71" t="s">
        <v>219</v>
      </c>
      <c r="D133" s="71" t="str">
        <f>$D$116</f>
        <v>UC IRVINE 1</v>
      </c>
      <c r="E133" s="71">
        <v>113</v>
      </c>
      <c r="F133" s="90" t="s">
        <v>533</v>
      </c>
      <c r="G133" s="90">
        <v>11</v>
      </c>
      <c r="H133" s="90" t="s">
        <v>534</v>
      </c>
      <c r="I133" s="90">
        <v>10</v>
      </c>
      <c r="J133" s="90">
        <v>121</v>
      </c>
      <c r="K133" s="90">
        <v>126</v>
      </c>
      <c r="L133" s="90" t="str">
        <f>IF(E133="","",$L$15&amp;"-"&amp;TEXT(E133,"000"))</f>
        <v>14B-113</v>
      </c>
      <c r="N133" s="62" t="str">
        <f>$K$255&amp;C133</f>
        <v>pt_Play-in</v>
      </c>
    </row>
    <row r="134" spans="1:14" ht="14.1" customHeight="1" thickBot="1">
      <c r="A134" s="78"/>
      <c r="B134" s="79"/>
      <c r="C134" s="60"/>
      <c r="D134" s="60"/>
      <c r="E134" s="60"/>
      <c r="F134" s="60" t="s">
        <v>418</v>
      </c>
      <c r="G134" s="64"/>
      <c r="H134" s="60" t="s">
        <v>418</v>
      </c>
      <c r="I134" s="60"/>
      <c r="J134" s="60"/>
      <c r="K134" s="60"/>
      <c r="L134" s="60"/>
    </row>
    <row r="135" spans="1:14" ht="14.1" customHeight="1" thickBot="1">
      <c r="A135" s="78"/>
      <c r="B135" s="79"/>
      <c r="C135" s="60"/>
      <c r="D135" s="68" t="str">
        <f>'CHICLETS MASTER S2'!R27</f>
        <v>UC IRVINE 2</v>
      </c>
      <c r="E135" s="60"/>
      <c r="F135" s="60"/>
      <c r="G135" s="64"/>
      <c r="H135" s="60"/>
      <c r="I135" s="60"/>
      <c r="J135" s="60"/>
      <c r="K135" s="60"/>
      <c r="L135" s="60"/>
    </row>
    <row r="136" spans="1:14" ht="14.1" customHeight="1">
      <c r="A136" s="325" t="s">
        <v>124</v>
      </c>
      <c r="B136" s="327" t="s">
        <v>125</v>
      </c>
      <c r="C136" s="327" t="s">
        <v>126</v>
      </c>
      <c r="D136" s="327" t="s">
        <v>127</v>
      </c>
      <c r="E136" s="327" t="s">
        <v>128</v>
      </c>
      <c r="F136" s="327" t="s">
        <v>129</v>
      </c>
      <c r="G136" s="327" t="s">
        <v>130</v>
      </c>
      <c r="H136" s="327" t="s">
        <v>131</v>
      </c>
      <c r="I136" s="327"/>
      <c r="J136" s="327" t="s">
        <v>132</v>
      </c>
      <c r="K136" s="327" t="s">
        <v>133</v>
      </c>
      <c r="L136" s="327" t="s">
        <v>134</v>
      </c>
    </row>
    <row r="137" spans="1:14" ht="14.1" customHeight="1">
      <c r="A137" s="89">
        <f t="shared" ref="A137:A148" si="16">$A$93</f>
        <v>46227</v>
      </c>
      <c r="B137" s="70">
        <f>'CHICLETS MASTER S2'!P28</f>
        <v>0.29166666666666669</v>
      </c>
      <c r="C137" s="71" t="s">
        <v>218</v>
      </c>
      <c r="D137" s="71" t="str">
        <f t="shared" ref="D137:D148" si="17">$D$135</f>
        <v>UC IRVINE 2</v>
      </c>
      <c r="E137" s="71">
        <v>62</v>
      </c>
      <c r="F137" s="90" t="str">
        <f>D97</f>
        <v>pt_O2(W42)-908 YELLOW A</v>
      </c>
      <c r="G137" s="90">
        <v>12</v>
      </c>
      <c r="H137" s="90" t="str">
        <f>D98</f>
        <v>pt_O3(W36)-LAMORINDA A</v>
      </c>
      <c r="I137" s="90">
        <v>9</v>
      </c>
      <c r="J137" s="90"/>
      <c r="K137" s="90"/>
      <c r="L137" s="90" t="str">
        <f t="shared" ref="L137:L148" si="18">IF(E137="","",$L$15&amp;"-"&amp;TEXT(E137,"000"))</f>
        <v>14B-062</v>
      </c>
      <c r="N137" s="62" t="str">
        <f t="shared" ref="N137:N148" si="19">$K$255&amp;C137</f>
        <v>pt_Group</v>
      </c>
    </row>
    <row r="138" spans="1:14" ht="14.1" customHeight="1">
      <c r="A138" s="89">
        <f t="shared" si="16"/>
        <v>46227</v>
      </c>
      <c r="B138" s="70">
        <f>'CHICLETS MASTER S2'!P29</f>
        <v>0.3263888888888889</v>
      </c>
      <c r="C138" s="71" t="s">
        <v>218</v>
      </c>
      <c r="D138" s="71" t="str">
        <f t="shared" si="17"/>
        <v>UC IRVINE 2</v>
      </c>
      <c r="E138" s="71">
        <v>66</v>
      </c>
      <c r="F138" s="90" t="str">
        <f>E97</f>
        <v>pt_P2(W34)-NEWPORT BEACH BLUE</v>
      </c>
      <c r="G138" s="90">
        <v>6</v>
      </c>
      <c r="H138" s="90" t="str">
        <f>E98</f>
        <v>pt_P3(W44)-LA PREMIER BLACK</v>
      </c>
      <c r="I138" s="90">
        <v>9</v>
      </c>
      <c r="J138" s="90"/>
      <c r="K138" s="90"/>
      <c r="L138" s="90" t="str">
        <f t="shared" si="18"/>
        <v>14B-066</v>
      </c>
      <c r="N138" s="62" t="str">
        <f t="shared" si="19"/>
        <v>pt_Group</v>
      </c>
    </row>
    <row r="139" spans="1:14" ht="14.1" customHeight="1">
      <c r="A139" s="89">
        <f t="shared" si="16"/>
        <v>46227</v>
      </c>
      <c r="B139" s="70">
        <f>'CHICLETS MASTER S2'!P30</f>
        <v>0.36111111111111099</v>
      </c>
      <c r="C139" s="71" t="s">
        <v>218</v>
      </c>
      <c r="D139" s="71" t="str">
        <f t="shared" si="17"/>
        <v>UC IRVINE 2</v>
      </c>
      <c r="E139" s="71">
        <v>70</v>
      </c>
      <c r="F139" s="90" t="str">
        <f>E101</f>
        <v>pt_U1(W52)-DIABLO ALLIANCE A</v>
      </c>
      <c r="G139" s="90">
        <v>10</v>
      </c>
      <c r="H139" s="90" t="str">
        <f>E102</f>
        <v>pt_U2(W55)-SD SHORES BLACK</v>
      </c>
      <c r="I139" s="90">
        <v>9</v>
      </c>
      <c r="J139" s="90"/>
      <c r="K139" s="90"/>
      <c r="L139" s="90" t="str">
        <f t="shared" si="18"/>
        <v>14B-070</v>
      </c>
      <c r="N139" s="62" t="str">
        <f t="shared" si="19"/>
        <v>pt_Group</v>
      </c>
    </row>
    <row r="140" spans="1:14" ht="14.1" customHeight="1">
      <c r="A140" s="89">
        <f t="shared" si="16"/>
        <v>46227</v>
      </c>
      <c r="B140" s="70">
        <f>'CHICLETS MASTER S2'!P31</f>
        <v>0.39583333333333398</v>
      </c>
      <c r="C140" s="71" t="s">
        <v>218</v>
      </c>
      <c r="D140" s="71" t="str">
        <f t="shared" si="17"/>
        <v>UC IRVINE 2</v>
      </c>
      <c r="E140" s="71">
        <v>74</v>
      </c>
      <c r="F140" s="90" t="str">
        <f>D101</f>
        <v>pt_T1(W51)-PALOS VERDES BLACK</v>
      </c>
      <c r="G140" s="90">
        <v>10</v>
      </c>
      <c r="H140" s="90" t="str">
        <f>D102</f>
        <v>pt_T2(W59)-CC UNITED BLACK</v>
      </c>
      <c r="I140" s="90">
        <v>8</v>
      </c>
      <c r="J140" s="90"/>
      <c r="K140" s="90"/>
      <c r="L140" s="90" t="str">
        <f t="shared" si="18"/>
        <v>14B-074</v>
      </c>
      <c r="N140" s="62" t="str">
        <f t="shared" si="19"/>
        <v>pt_Group</v>
      </c>
    </row>
    <row r="141" spans="1:14" ht="14.1" customHeight="1">
      <c r="A141" s="89">
        <f t="shared" si="16"/>
        <v>46227</v>
      </c>
      <c r="B141" s="70">
        <f>'CHICLETS MASTER S2'!P32</f>
        <v>0.43055555555555602</v>
      </c>
      <c r="C141" s="71" t="s">
        <v>218</v>
      </c>
      <c r="D141" s="71" t="str">
        <f t="shared" si="17"/>
        <v>UC IRVINE 2</v>
      </c>
      <c r="E141" s="71">
        <v>78</v>
      </c>
      <c r="F141" s="90" t="str">
        <f>D96</f>
        <v>pt_O1(W25)-MISSION A</v>
      </c>
      <c r="G141" s="90">
        <v>15</v>
      </c>
      <c r="H141" s="90" t="str">
        <f>D98</f>
        <v>pt_O3(W36)-LAMORINDA A</v>
      </c>
      <c r="I141" s="90">
        <v>5</v>
      </c>
      <c r="J141" s="90"/>
      <c r="K141" s="90"/>
      <c r="L141" s="90" t="str">
        <f t="shared" si="18"/>
        <v>14B-078</v>
      </c>
      <c r="N141" s="62" t="str">
        <f t="shared" si="19"/>
        <v>pt_Group</v>
      </c>
    </row>
    <row r="142" spans="1:14" ht="14.1" customHeight="1">
      <c r="A142" s="89">
        <f t="shared" si="16"/>
        <v>46227</v>
      </c>
      <c r="B142" s="70">
        <f>'CHICLETS MASTER S2'!P33</f>
        <v>0.46527777777777801</v>
      </c>
      <c r="C142" s="71" t="s">
        <v>218</v>
      </c>
      <c r="D142" s="71" t="str">
        <f t="shared" si="17"/>
        <v>UC IRVINE 2</v>
      </c>
      <c r="E142" s="71">
        <v>82</v>
      </c>
      <c r="F142" s="90" t="str">
        <f>E96</f>
        <v>pt_P1(W26)-LA JOLLA UNITED</v>
      </c>
      <c r="G142" s="90">
        <v>14</v>
      </c>
      <c r="H142" s="90" t="str">
        <f>E98</f>
        <v>pt_P3(W44)-LA PREMIER BLACK</v>
      </c>
      <c r="I142" s="90">
        <v>9</v>
      </c>
      <c r="J142" s="90"/>
      <c r="K142" s="90"/>
      <c r="L142" s="90" t="str">
        <f t="shared" si="18"/>
        <v>14B-082</v>
      </c>
      <c r="N142" s="62" t="str">
        <f t="shared" si="19"/>
        <v>pt_Group</v>
      </c>
    </row>
    <row r="143" spans="1:14" ht="14.1" customHeight="1">
      <c r="A143" s="89">
        <f t="shared" si="16"/>
        <v>46227</v>
      </c>
      <c r="B143" s="70">
        <f>'CHICLETS MASTER S2'!P34</f>
        <v>0.5</v>
      </c>
      <c r="C143" s="71" t="s">
        <v>218</v>
      </c>
      <c r="D143" s="71" t="str">
        <f t="shared" si="17"/>
        <v>UC IRVINE 2</v>
      </c>
      <c r="E143" s="71">
        <v>86</v>
      </c>
      <c r="F143" s="90" t="str">
        <f>E101</f>
        <v>pt_U1(W52)-DIABLO ALLIANCE A</v>
      </c>
      <c r="G143" s="90">
        <v>10.3</v>
      </c>
      <c r="H143" s="90" t="str">
        <f>E103</f>
        <v>pt_U3(W57)-SOUTH COAST RED</v>
      </c>
      <c r="I143" s="90">
        <v>10.199999999999999</v>
      </c>
      <c r="J143" s="90"/>
      <c r="K143" s="90"/>
      <c r="L143" s="90" t="str">
        <f t="shared" si="18"/>
        <v>14B-086</v>
      </c>
      <c r="N143" s="62" t="str">
        <f t="shared" si="19"/>
        <v>pt_Group</v>
      </c>
    </row>
    <row r="144" spans="1:14" ht="14.1" customHeight="1">
      <c r="A144" s="89">
        <f t="shared" si="16"/>
        <v>46227</v>
      </c>
      <c r="B144" s="70">
        <f>'CHICLETS MASTER S2'!P35</f>
        <v>0.53472222222222199</v>
      </c>
      <c r="C144" s="71" t="s">
        <v>218</v>
      </c>
      <c r="D144" s="71" t="str">
        <f t="shared" si="17"/>
        <v>UC IRVINE 2</v>
      </c>
      <c r="E144" s="71">
        <v>90</v>
      </c>
      <c r="F144" s="90" t="str">
        <f>D101</f>
        <v>pt_T1(W51)-PALOS VERDES BLACK</v>
      </c>
      <c r="G144" s="90">
        <v>14</v>
      </c>
      <c r="H144" s="90" t="str">
        <f>D103</f>
        <v>pt_T3(W53)-SAN CLEMENTE RED</v>
      </c>
      <c r="I144" s="90">
        <v>6</v>
      </c>
      <c r="J144" s="90"/>
      <c r="K144" s="90"/>
      <c r="L144" s="90" t="str">
        <f t="shared" si="18"/>
        <v>14B-090</v>
      </c>
      <c r="N144" s="62" t="str">
        <f t="shared" si="19"/>
        <v>pt_Group</v>
      </c>
    </row>
    <row r="145" spans="1:14" ht="14.1" customHeight="1">
      <c r="A145" s="89">
        <f t="shared" si="16"/>
        <v>46227</v>
      </c>
      <c r="B145" s="70">
        <f>'CHICLETS MASTER S2'!P36</f>
        <v>0.56944444444444497</v>
      </c>
      <c r="C145" s="71" t="s">
        <v>218</v>
      </c>
      <c r="D145" s="71" t="str">
        <f t="shared" si="17"/>
        <v>UC IRVINE 2</v>
      </c>
      <c r="E145" s="71">
        <v>94</v>
      </c>
      <c r="F145" s="90" t="str">
        <f>D96</f>
        <v>pt_O1(W25)-MISSION A</v>
      </c>
      <c r="G145" s="90">
        <v>10</v>
      </c>
      <c r="H145" s="90" t="str">
        <f>D97</f>
        <v>pt_O2(W42)-908 YELLOW A</v>
      </c>
      <c r="I145" s="90">
        <v>3</v>
      </c>
      <c r="J145" s="90"/>
      <c r="K145" s="90"/>
      <c r="L145" s="90" t="str">
        <f t="shared" si="18"/>
        <v>14B-094</v>
      </c>
      <c r="N145" s="62" t="str">
        <f t="shared" si="19"/>
        <v>pt_Group</v>
      </c>
    </row>
    <row r="146" spans="1:14" ht="14.1" customHeight="1">
      <c r="A146" s="89">
        <f t="shared" si="16"/>
        <v>46227</v>
      </c>
      <c r="B146" s="70">
        <f>'CHICLETS MASTER S2'!P37</f>
        <v>0.60416666666666696</v>
      </c>
      <c r="C146" s="71" t="s">
        <v>218</v>
      </c>
      <c r="D146" s="71" t="str">
        <f t="shared" si="17"/>
        <v>UC IRVINE 2</v>
      </c>
      <c r="E146" s="71">
        <v>98</v>
      </c>
      <c r="F146" s="90" t="str">
        <f>E96</f>
        <v>pt_P1(W26)-LA JOLLA UNITED</v>
      </c>
      <c r="G146" s="90">
        <v>10</v>
      </c>
      <c r="H146" s="90" t="str">
        <f>E97</f>
        <v>pt_P2(W34)-NEWPORT BEACH BLUE</v>
      </c>
      <c r="I146" s="90">
        <v>14</v>
      </c>
      <c r="J146" s="90"/>
      <c r="K146" s="90"/>
      <c r="L146" s="90" t="str">
        <f t="shared" si="18"/>
        <v>14B-098</v>
      </c>
      <c r="N146" s="62" t="str">
        <f t="shared" si="19"/>
        <v>pt_Group</v>
      </c>
    </row>
    <row r="147" spans="1:14" ht="14.1" customHeight="1">
      <c r="A147" s="89">
        <f t="shared" si="16"/>
        <v>46227</v>
      </c>
      <c r="B147" s="70">
        <f>'CHICLETS MASTER S2'!P38</f>
        <v>0.63888888888888895</v>
      </c>
      <c r="C147" s="71" t="s">
        <v>218</v>
      </c>
      <c r="D147" s="71" t="str">
        <f t="shared" si="17"/>
        <v>UC IRVINE 2</v>
      </c>
      <c r="E147" s="71">
        <v>102</v>
      </c>
      <c r="F147" s="90" t="str">
        <f>E102</f>
        <v>pt_U2(W55)-SD SHORES BLACK</v>
      </c>
      <c r="G147" s="90">
        <v>11</v>
      </c>
      <c r="H147" s="90" t="str">
        <f>E103</f>
        <v>pt_U3(W57)-SOUTH COAST RED</v>
      </c>
      <c r="I147" s="90">
        <v>8</v>
      </c>
      <c r="J147" s="90"/>
      <c r="K147" s="90"/>
      <c r="L147" s="90" t="str">
        <f t="shared" si="18"/>
        <v>14B-102</v>
      </c>
      <c r="N147" s="62" t="str">
        <f t="shared" si="19"/>
        <v>pt_Group</v>
      </c>
    </row>
    <row r="148" spans="1:14" ht="14.1" customHeight="1">
      <c r="A148" s="89">
        <f t="shared" si="16"/>
        <v>46227</v>
      </c>
      <c r="B148" s="70">
        <f>'CHICLETS MASTER S2'!P39</f>
        <v>0.67361111111111105</v>
      </c>
      <c r="C148" s="71" t="s">
        <v>218</v>
      </c>
      <c r="D148" s="71" t="str">
        <f t="shared" si="17"/>
        <v>UC IRVINE 2</v>
      </c>
      <c r="E148" s="71">
        <v>106</v>
      </c>
      <c r="F148" s="90" t="str">
        <f>D102</f>
        <v>pt_T2(W59)-CC UNITED BLACK</v>
      </c>
      <c r="G148" s="90">
        <v>13</v>
      </c>
      <c r="H148" s="90" t="str">
        <f>D103</f>
        <v>pt_T3(W53)-SAN CLEMENTE RED</v>
      </c>
      <c r="I148" s="90">
        <v>5</v>
      </c>
      <c r="J148" s="90"/>
      <c r="K148" s="90"/>
      <c r="L148" s="90" t="str">
        <f t="shared" si="18"/>
        <v>14B-106</v>
      </c>
      <c r="N148" s="62" t="str">
        <f t="shared" si="19"/>
        <v>pt_Group</v>
      </c>
    </row>
    <row r="149" spans="1:14" ht="14.1" customHeight="1">
      <c r="A149" s="75"/>
      <c r="B149" s="60" t="s">
        <v>139</v>
      </c>
      <c r="C149" s="60"/>
      <c r="D149" s="60"/>
      <c r="E149" s="60"/>
      <c r="F149" s="60"/>
      <c r="G149" s="64"/>
      <c r="H149" s="60"/>
      <c r="I149" s="60"/>
      <c r="J149" s="60"/>
      <c r="K149" s="60"/>
      <c r="L149" s="60"/>
    </row>
    <row r="150" spans="1:14" ht="14.1" customHeight="1">
      <c r="A150" s="75"/>
      <c r="B150" s="60" t="s">
        <v>139</v>
      </c>
      <c r="C150" s="60"/>
      <c r="D150" s="60"/>
      <c r="E150" s="60"/>
      <c r="F150" s="60"/>
      <c r="G150" s="64"/>
      <c r="H150" s="60"/>
      <c r="I150" s="60"/>
      <c r="J150" s="60"/>
      <c r="K150" s="60"/>
      <c r="L150" s="60"/>
    </row>
    <row r="151" spans="1:14" ht="14.1" customHeight="1">
      <c r="A151" s="89">
        <f>$A$93</f>
        <v>46227</v>
      </c>
      <c r="B151" s="70">
        <f>'CHICLETS MASTER S2'!P42</f>
        <v>0.77777777777777801</v>
      </c>
      <c r="C151" s="71" t="s">
        <v>219</v>
      </c>
      <c r="D151" s="71" t="str">
        <f>$D$135</f>
        <v>UC IRVINE 2</v>
      </c>
      <c r="E151" s="71">
        <v>110</v>
      </c>
      <c r="F151" s="90" t="s">
        <v>535</v>
      </c>
      <c r="G151" s="90">
        <v>9</v>
      </c>
      <c r="H151" s="90" t="s">
        <v>536</v>
      </c>
      <c r="I151" s="90">
        <v>7</v>
      </c>
      <c r="J151" s="90">
        <v>117</v>
      </c>
      <c r="K151" s="90">
        <v>138</v>
      </c>
      <c r="L151" s="90" t="str">
        <f>IF(E151="","",$L$15&amp;"-"&amp;TEXT(E151,"000"))</f>
        <v>14B-110</v>
      </c>
      <c r="N151" s="62" t="str">
        <f>$K$255&amp;C151</f>
        <v>pt_Play-in</v>
      </c>
    </row>
    <row r="152" spans="1:14" ht="14.1" customHeight="1">
      <c r="A152" s="89">
        <f>$A$93</f>
        <v>46227</v>
      </c>
      <c r="B152" s="70">
        <f>'CHICLETS MASTER S2'!P43</f>
        <v>0.8125</v>
      </c>
      <c r="C152" s="71" t="s">
        <v>219</v>
      </c>
      <c r="D152" s="71" t="str">
        <f>$D$135</f>
        <v>UC IRVINE 2</v>
      </c>
      <c r="E152" s="71">
        <v>114</v>
      </c>
      <c r="F152" s="90" t="s">
        <v>537</v>
      </c>
      <c r="G152" s="90">
        <v>8</v>
      </c>
      <c r="H152" s="90" t="s">
        <v>538</v>
      </c>
      <c r="I152" s="90">
        <v>6</v>
      </c>
      <c r="J152" s="90">
        <v>125</v>
      </c>
      <c r="K152" s="90">
        <v>130</v>
      </c>
      <c r="L152" s="90" t="str">
        <f>IF(E152="","",$L$15&amp;"-"&amp;TEXT(E152,"000"))</f>
        <v>14B-114</v>
      </c>
      <c r="N152" s="62" t="str">
        <f>$K$255&amp;C152</f>
        <v>pt_Play-in</v>
      </c>
    </row>
    <row r="153" spans="1:14" ht="14.1" customHeight="1" thickBot="1">
      <c r="A153" s="78"/>
      <c r="B153" s="60"/>
      <c r="C153" s="60"/>
      <c r="D153" s="60"/>
      <c r="E153" s="60"/>
      <c r="F153" s="60" t="s">
        <v>418</v>
      </c>
      <c r="G153" s="64"/>
      <c r="H153" s="60" t="s">
        <v>418</v>
      </c>
      <c r="I153" s="60"/>
      <c r="J153" s="60"/>
      <c r="K153" s="60"/>
      <c r="L153" s="60"/>
    </row>
    <row r="154" spans="1:14" ht="14.1" customHeight="1" thickBot="1">
      <c r="B154" s="60"/>
      <c r="C154" s="60"/>
      <c r="D154" s="68" t="str">
        <f>'CHICLETS MASTER S2'!$S$27</f>
        <v>EL MODENA HS</v>
      </c>
      <c r="F154" s="60"/>
      <c r="G154" s="64"/>
      <c r="H154" s="60"/>
      <c r="I154" s="60"/>
      <c r="J154" s="60"/>
      <c r="K154" s="60"/>
      <c r="L154" s="60"/>
    </row>
    <row r="155" spans="1:14" ht="14.1" customHeight="1">
      <c r="A155" s="325" t="s">
        <v>124</v>
      </c>
      <c r="B155" s="327" t="s">
        <v>125</v>
      </c>
      <c r="C155" s="327" t="s">
        <v>126</v>
      </c>
      <c r="D155" s="327" t="s">
        <v>127</v>
      </c>
      <c r="E155" s="327" t="s">
        <v>128</v>
      </c>
      <c r="F155" s="327" t="s">
        <v>129</v>
      </c>
      <c r="G155" s="327" t="s">
        <v>130</v>
      </c>
      <c r="H155" s="327" t="s">
        <v>131</v>
      </c>
      <c r="I155" s="327" t="s">
        <v>130</v>
      </c>
      <c r="J155" s="327" t="s">
        <v>132</v>
      </c>
      <c r="K155" s="327" t="s">
        <v>133</v>
      </c>
      <c r="L155" s="327" t="s">
        <v>134</v>
      </c>
    </row>
    <row r="156" spans="1:14" ht="14.1" customHeight="1">
      <c r="A156" s="89">
        <f t="shared" ref="A156:A167" si="20">$A$93</f>
        <v>46227</v>
      </c>
      <c r="B156" s="70">
        <f>'CHICLETS MASTER S2'!P28</f>
        <v>0.29166666666666669</v>
      </c>
      <c r="C156" s="71" t="s">
        <v>218</v>
      </c>
      <c r="D156" s="71" t="str">
        <f t="shared" ref="D156:D167" si="21">$D$154</f>
        <v>EL MODENA HS</v>
      </c>
      <c r="E156" s="71">
        <v>63</v>
      </c>
      <c r="F156" s="155" t="str">
        <f>C112</f>
        <v>au_S1(L40)-LONGHORN</v>
      </c>
      <c r="G156" s="155">
        <v>11</v>
      </c>
      <c r="H156" s="155" t="str">
        <f>C113</f>
        <v>au_S2(L46)-COLORADO</v>
      </c>
      <c r="I156" s="155">
        <v>4</v>
      </c>
      <c r="J156" s="155"/>
      <c r="K156" s="155"/>
      <c r="L156" s="155" t="str">
        <f t="shared" ref="L156:L167" si="22">IF(E156="","",$L$15&amp;"-"&amp;TEXT(E156,"000"))</f>
        <v>14B-063</v>
      </c>
      <c r="N156" s="62" t="str">
        <f t="shared" ref="N156:N167" si="23">$L$255&amp;C156</f>
        <v>au_Group</v>
      </c>
    </row>
    <row r="157" spans="1:14" ht="14.1" customHeight="1">
      <c r="A157" s="89">
        <f t="shared" si="20"/>
        <v>46227</v>
      </c>
      <c r="B157" s="70">
        <f>'CHICLETS MASTER S2'!P29</f>
        <v>0.3263888888888889</v>
      </c>
      <c r="C157" s="71" t="s">
        <v>218</v>
      </c>
      <c r="D157" s="71" t="str">
        <f t="shared" si="21"/>
        <v>EL MODENA HS</v>
      </c>
      <c r="E157" s="71">
        <v>67</v>
      </c>
      <c r="F157" s="155" t="str">
        <f>B112</f>
        <v>au_R1(L48)-CENTRAL COAST</v>
      </c>
      <c r="G157" s="155">
        <v>4</v>
      </c>
      <c r="H157" s="155" t="str">
        <f>B113</f>
        <v>au_R2(L38)-HONOLULU A</v>
      </c>
      <c r="I157" s="156">
        <v>6</v>
      </c>
      <c r="J157" s="155"/>
      <c r="K157" s="155"/>
      <c r="L157" s="155" t="str">
        <f t="shared" si="22"/>
        <v>14B-067</v>
      </c>
      <c r="N157" s="62" t="str">
        <f t="shared" si="23"/>
        <v>au_Group</v>
      </c>
    </row>
    <row r="158" spans="1:14" ht="14.1" customHeight="1">
      <c r="A158" s="89">
        <f t="shared" si="20"/>
        <v>46227</v>
      </c>
      <c r="B158" s="70">
        <f>'CHICLETS MASTER S2'!P30</f>
        <v>0.36111111111111099</v>
      </c>
      <c r="C158" s="71" t="s">
        <v>218</v>
      </c>
      <c r="D158" s="71" t="str">
        <f t="shared" si="21"/>
        <v>EL MODENA HS</v>
      </c>
      <c r="E158" s="71">
        <v>71</v>
      </c>
      <c r="F158" s="155" t="str">
        <f>B108</f>
        <v>au_M2(L59)-NIPC</v>
      </c>
      <c r="G158" s="155">
        <v>10</v>
      </c>
      <c r="H158" s="155" t="str">
        <f>B109</f>
        <v>au_M3(L51)-DEVILS GATE</v>
      </c>
      <c r="I158" s="155">
        <v>16</v>
      </c>
      <c r="J158" s="155"/>
      <c r="K158" s="155"/>
      <c r="L158" s="155" t="str">
        <f t="shared" si="22"/>
        <v>14B-071</v>
      </c>
      <c r="N158" s="62" t="str">
        <f t="shared" si="23"/>
        <v>au_Group</v>
      </c>
    </row>
    <row r="159" spans="1:14" ht="14.1" customHeight="1">
      <c r="A159" s="89">
        <f t="shared" si="20"/>
        <v>46227</v>
      </c>
      <c r="B159" s="70">
        <f>'CHICLETS MASTER S2'!P31</f>
        <v>0.39583333333333398</v>
      </c>
      <c r="C159" s="71" t="s">
        <v>218</v>
      </c>
      <c r="D159" s="71" t="str">
        <f t="shared" si="21"/>
        <v>EL MODENA HS</v>
      </c>
      <c r="E159" s="71">
        <v>75</v>
      </c>
      <c r="F159" s="155" t="str">
        <f>C108</f>
        <v>au_N2(L55)-TEXAS THUNDER</v>
      </c>
      <c r="G159" s="155">
        <v>2</v>
      </c>
      <c r="H159" s="155" t="str">
        <f>C109</f>
        <v>au_N3(L52)-PEGASUS</v>
      </c>
      <c r="I159" s="155">
        <v>16</v>
      </c>
      <c r="J159" s="155"/>
      <c r="K159" s="155"/>
      <c r="L159" s="155" t="str">
        <f t="shared" si="22"/>
        <v>14B-075</v>
      </c>
      <c r="N159" s="62" t="str">
        <f t="shared" si="23"/>
        <v>au_Group</v>
      </c>
    </row>
    <row r="160" spans="1:14" ht="14.1" customHeight="1">
      <c r="A160" s="89">
        <f t="shared" si="20"/>
        <v>46227</v>
      </c>
      <c r="B160" s="70">
        <f>'CHICLETS MASTER S2'!P32</f>
        <v>0.43055555555555602</v>
      </c>
      <c r="C160" s="71" t="s">
        <v>218</v>
      </c>
      <c r="D160" s="71" t="str">
        <f t="shared" si="21"/>
        <v>EL MODENA HS</v>
      </c>
      <c r="E160" s="71">
        <v>79</v>
      </c>
      <c r="F160" s="155" t="str">
        <f>C112</f>
        <v>au_S1(L40)-LONGHORN</v>
      </c>
      <c r="G160" s="155">
        <v>9</v>
      </c>
      <c r="H160" s="155" t="str">
        <f>C114</f>
        <v>au_S3(L29)-LOWPO</v>
      </c>
      <c r="I160" s="155">
        <v>6</v>
      </c>
      <c r="J160" s="155"/>
      <c r="K160" s="155"/>
      <c r="L160" s="155" t="str">
        <f t="shared" si="22"/>
        <v>14B-079</v>
      </c>
      <c r="N160" s="62" t="str">
        <f t="shared" si="23"/>
        <v>au_Group</v>
      </c>
    </row>
    <row r="161" spans="1:14" ht="14.1" customHeight="1">
      <c r="A161" s="89">
        <f t="shared" si="20"/>
        <v>46227</v>
      </c>
      <c r="B161" s="70">
        <f>'CHICLETS MASTER S2'!P33</f>
        <v>0.46527777777777801</v>
      </c>
      <c r="C161" s="71" t="s">
        <v>218</v>
      </c>
      <c r="D161" s="71" t="str">
        <f t="shared" si="21"/>
        <v>EL MODENA HS</v>
      </c>
      <c r="E161" s="71">
        <v>83</v>
      </c>
      <c r="F161" s="155" t="str">
        <f>B112</f>
        <v>au_R1(L48)-CENTRAL COAST</v>
      </c>
      <c r="G161" s="155">
        <v>5</v>
      </c>
      <c r="H161" s="155" t="str">
        <f>B114</f>
        <v>au_R3(L30)-AMERICAN RIVER A</v>
      </c>
      <c r="I161" s="155">
        <v>8</v>
      </c>
      <c r="J161" s="155"/>
      <c r="K161" s="155"/>
      <c r="L161" s="155" t="str">
        <f t="shared" si="22"/>
        <v>14B-083</v>
      </c>
      <c r="N161" s="62" t="str">
        <f t="shared" si="23"/>
        <v>au_Group</v>
      </c>
    </row>
    <row r="162" spans="1:14" ht="14.1" customHeight="1">
      <c r="A162" s="89">
        <f t="shared" si="20"/>
        <v>46227</v>
      </c>
      <c r="B162" s="70">
        <f>'CHICLETS MASTER S2'!P34</f>
        <v>0.5</v>
      </c>
      <c r="C162" s="71" t="s">
        <v>218</v>
      </c>
      <c r="D162" s="71" t="str">
        <f t="shared" si="21"/>
        <v>EL MODENA HS</v>
      </c>
      <c r="E162" s="71">
        <v>87</v>
      </c>
      <c r="F162" s="155" t="str">
        <f>B107</f>
        <v>au_M1(L53)-CC UNITED BLUE</v>
      </c>
      <c r="G162" s="155">
        <v>9</v>
      </c>
      <c r="H162" s="155" t="str">
        <f>B109</f>
        <v>au_M3(L51)-DEVILS GATE</v>
      </c>
      <c r="I162" s="155">
        <v>10</v>
      </c>
      <c r="J162" s="155"/>
      <c r="K162" s="155"/>
      <c r="L162" s="155" t="str">
        <f t="shared" si="22"/>
        <v>14B-087</v>
      </c>
      <c r="N162" s="62" t="str">
        <f t="shared" si="23"/>
        <v>au_Group</v>
      </c>
    </row>
    <row r="163" spans="1:14" ht="14.1" customHeight="1">
      <c r="A163" s="89">
        <f t="shared" si="20"/>
        <v>46227</v>
      </c>
      <c r="B163" s="70">
        <f>'CHICLETS MASTER S2'!P35</f>
        <v>0.53472222222222199</v>
      </c>
      <c r="C163" s="71" t="s">
        <v>218</v>
      </c>
      <c r="D163" s="71" t="str">
        <f t="shared" si="21"/>
        <v>EL MODENA HS</v>
      </c>
      <c r="E163" s="71">
        <v>91</v>
      </c>
      <c r="F163" s="155" t="str">
        <f>C107</f>
        <v>au_N1(L57)-NORTH IRVINE BLACK</v>
      </c>
      <c r="G163" s="155">
        <v>11</v>
      </c>
      <c r="H163" s="155" t="str">
        <f>C109</f>
        <v>au_N3(L52)-PEGASUS</v>
      </c>
      <c r="I163" s="155">
        <v>5</v>
      </c>
      <c r="J163" s="155"/>
      <c r="K163" s="155"/>
      <c r="L163" s="155" t="str">
        <f t="shared" si="22"/>
        <v>14B-091</v>
      </c>
      <c r="N163" s="62" t="str">
        <f t="shared" si="23"/>
        <v>au_Group</v>
      </c>
    </row>
    <row r="164" spans="1:14" ht="14.1" customHeight="1">
      <c r="A164" s="89">
        <f t="shared" si="20"/>
        <v>46227</v>
      </c>
      <c r="B164" s="70">
        <f>'CHICLETS MASTER S2'!P36</f>
        <v>0.56944444444444497</v>
      </c>
      <c r="C164" s="71" t="s">
        <v>218</v>
      </c>
      <c r="D164" s="71" t="str">
        <f t="shared" si="21"/>
        <v>EL MODENA HS</v>
      </c>
      <c r="E164" s="71">
        <v>95</v>
      </c>
      <c r="F164" s="155" t="str">
        <f>C113</f>
        <v>au_S2(L46)-COLORADO</v>
      </c>
      <c r="G164" s="155">
        <v>11</v>
      </c>
      <c r="H164" s="155" t="str">
        <f>C114</f>
        <v>au_S3(L29)-LOWPO</v>
      </c>
      <c r="I164" s="155">
        <v>3</v>
      </c>
      <c r="J164" s="155"/>
      <c r="K164" s="155"/>
      <c r="L164" s="155" t="str">
        <f t="shared" si="22"/>
        <v>14B-095</v>
      </c>
      <c r="N164" s="62" t="str">
        <f t="shared" si="23"/>
        <v>au_Group</v>
      </c>
    </row>
    <row r="165" spans="1:14" ht="14.1" customHeight="1">
      <c r="A165" s="89">
        <f t="shared" si="20"/>
        <v>46227</v>
      </c>
      <c r="B165" s="70">
        <f>'CHICLETS MASTER S2'!P37</f>
        <v>0.60416666666666696</v>
      </c>
      <c r="C165" s="71" t="s">
        <v>218</v>
      </c>
      <c r="D165" s="71" t="str">
        <f t="shared" si="21"/>
        <v>EL MODENA HS</v>
      </c>
      <c r="E165" s="71">
        <v>99</v>
      </c>
      <c r="F165" s="155" t="str">
        <f>B113</f>
        <v>au_R2(L38)-HONOLULU A</v>
      </c>
      <c r="G165" s="155">
        <v>4</v>
      </c>
      <c r="H165" s="155" t="str">
        <f>B114</f>
        <v>au_R3(L30)-AMERICAN RIVER A</v>
      </c>
      <c r="I165" s="155">
        <v>10</v>
      </c>
      <c r="J165" s="155"/>
      <c r="K165" s="155"/>
      <c r="L165" s="155" t="str">
        <f t="shared" si="22"/>
        <v>14B-099</v>
      </c>
      <c r="N165" s="62" t="str">
        <f t="shared" si="23"/>
        <v>au_Group</v>
      </c>
    </row>
    <row r="166" spans="1:14" ht="14.1" customHeight="1">
      <c r="A166" s="89">
        <f t="shared" si="20"/>
        <v>46227</v>
      </c>
      <c r="B166" s="70">
        <f>'CHICLETS MASTER S2'!P38</f>
        <v>0.63888888888888895</v>
      </c>
      <c r="C166" s="71" t="s">
        <v>218</v>
      </c>
      <c r="D166" s="71" t="str">
        <f t="shared" si="21"/>
        <v>EL MODENA HS</v>
      </c>
      <c r="E166" s="71">
        <v>103</v>
      </c>
      <c r="F166" s="155" t="str">
        <f>B107</f>
        <v>au_M1(L53)-CC UNITED BLUE</v>
      </c>
      <c r="G166" s="155">
        <v>18</v>
      </c>
      <c r="H166" s="155" t="str">
        <f>B108</f>
        <v>au_M2(L59)-NIPC</v>
      </c>
      <c r="I166" s="155">
        <v>2</v>
      </c>
      <c r="J166" s="155"/>
      <c r="K166" s="155"/>
      <c r="L166" s="155" t="str">
        <f t="shared" si="22"/>
        <v>14B-103</v>
      </c>
      <c r="N166" s="62" t="str">
        <f t="shared" si="23"/>
        <v>au_Group</v>
      </c>
    </row>
    <row r="167" spans="1:14" ht="14.1" customHeight="1">
      <c r="A167" s="89">
        <f t="shared" si="20"/>
        <v>46227</v>
      </c>
      <c r="B167" s="70">
        <f>'CHICLETS MASTER S2'!P39</f>
        <v>0.67361111111111105</v>
      </c>
      <c r="C167" s="71" t="s">
        <v>218</v>
      </c>
      <c r="D167" s="71" t="str">
        <f t="shared" si="21"/>
        <v>EL MODENA HS</v>
      </c>
      <c r="E167" s="71">
        <v>107</v>
      </c>
      <c r="F167" s="155" t="str">
        <f>C107</f>
        <v>au_N1(L57)-NORTH IRVINE BLACK</v>
      </c>
      <c r="G167" s="155">
        <v>16</v>
      </c>
      <c r="H167" s="155" t="str">
        <f>C108</f>
        <v>au_N2(L55)-TEXAS THUNDER</v>
      </c>
      <c r="I167" s="155">
        <v>6</v>
      </c>
      <c r="J167" s="155"/>
      <c r="K167" s="155"/>
      <c r="L167" s="155" t="str">
        <f t="shared" si="22"/>
        <v>14B-107</v>
      </c>
      <c r="N167" s="62" t="str">
        <f t="shared" si="23"/>
        <v>au_Group</v>
      </c>
    </row>
    <row r="168" spans="1:14" ht="14.1" customHeight="1">
      <c r="A168" s="75"/>
      <c r="B168" s="60" t="s">
        <v>139</v>
      </c>
      <c r="C168" s="60"/>
      <c r="D168" s="60"/>
      <c r="E168" s="60"/>
      <c r="F168" s="60"/>
      <c r="G168" s="64"/>
      <c r="H168" s="60"/>
      <c r="I168" s="60"/>
      <c r="J168" s="60"/>
      <c r="K168" s="60"/>
      <c r="L168" s="60"/>
    </row>
    <row r="169" spans="1:14" ht="14.1" customHeight="1">
      <c r="A169" s="75"/>
      <c r="B169" s="60" t="s">
        <v>139</v>
      </c>
      <c r="C169" s="60"/>
      <c r="D169" s="60"/>
      <c r="E169" s="60"/>
      <c r="F169" s="60"/>
      <c r="G169" s="64"/>
      <c r="H169" s="60"/>
      <c r="I169" s="60"/>
      <c r="J169" s="60"/>
      <c r="K169" s="60"/>
      <c r="L169" s="60"/>
    </row>
    <row r="170" spans="1:14" ht="14.1" customHeight="1">
      <c r="A170" s="89">
        <f>$A$93</f>
        <v>46227</v>
      </c>
      <c r="B170" s="70">
        <f>'CHICLETS MASTER S2'!P42</f>
        <v>0.77777777777777801</v>
      </c>
      <c r="C170" s="71" t="s">
        <v>219</v>
      </c>
      <c r="D170" s="71" t="str">
        <f>$D$154</f>
        <v>EL MODENA HS</v>
      </c>
      <c r="E170" s="71">
        <v>111</v>
      </c>
      <c r="F170" s="155" t="s">
        <v>539</v>
      </c>
      <c r="G170" s="155">
        <v>5</v>
      </c>
      <c r="H170" s="155" t="s">
        <v>540</v>
      </c>
      <c r="I170" s="155">
        <v>12</v>
      </c>
      <c r="J170" s="155">
        <v>131</v>
      </c>
      <c r="K170" s="155">
        <v>136</v>
      </c>
      <c r="L170" s="155" t="str">
        <f>IF(E170="","",$L$15&amp;"-"&amp;TEXT(E170,"000"))</f>
        <v>14B-111</v>
      </c>
      <c r="N170" s="62" t="str">
        <f>$L$255&amp;C170</f>
        <v>au_Play-in</v>
      </c>
    </row>
    <row r="171" spans="1:14" ht="14.1" customHeight="1">
      <c r="A171" s="89">
        <f>$A$93</f>
        <v>46227</v>
      </c>
      <c r="B171" s="70">
        <f>'CHICLETS MASTER S2'!P43</f>
        <v>0.8125</v>
      </c>
      <c r="C171" s="71" t="s">
        <v>219</v>
      </c>
      <c r="D171" s="71" t="str">
        <f>$D$154</f>
        <v>EL MODENA HS</v>
      </c>
      <c r="E171" s="71">
        <v>115</v>
      </c>
      <c r="F171" s="155" t="s">
        <v>541</v>
      </c>
      <c r="G171" s="155">
        <v>7</v>
      </c>
      <c r="H171" s="155" t="s">
        <v>542</v>
      </c>
      <c r="I171" s="155">
        <v>9</v>
      </c>
      <c r="J171" s="155">
        <v>123</v>
      </c>
      <c r="K171" s="155">
        <v>128</v>
      </c>
      <c r="L171" s="155" t="str">
        <f>IF(E171="","",$L$15&amp;"-"&amp;TEXT(E171,"000"))</f>
        <v>14B-115</v>
      </c>
      <c r="N171" s="62" t="str">
        <f>$L$255&amp;C171</f>
        <v>au_Play-in</v>
      </c>
    </row>
    <row r="172" spans="1:14" ht="14.1" customHeight="1" thickBot="1">
      <c r="A172" s="78"/>
      <c r="B172" s="79"/>
      <c r="C172" s="60"/>
      <c r="D172" s="60"/>
      <c r="E172" s="60"/>
      <c r="F172" s="60" t="s">
        <v>418</v>
      </c>
      <c r="G172" s="64"/>
      <c r="H172" s="60" t="s">
        <v>418</v>
      </c>
      <c r="I172" s="60"/>
      <c r="J172" s="60"/>
      <c r="K172" s="60"/>
      <c r="L172" s="60"/>
    </row>
    <row r="173" spans="1:14" ht="14.1" customHeight="1" thickBot="1">
      <c r="A173" s="60"/>
      <c r="B173" s="60"/>
      <c r="C173" s="60"/>
      <c r="D173" s="68" t="str">
        <f>'CHICLETS MASTER S2'!$T$27</f>
        <v>GARDEN GROVE HS</v>
      </c>
      <c r="F173" s="60"/>
      <c r="G173" s="64"/>
      <c r="H173" s="60"/>
      <c r="I173" s="60"/>
    </row>
    <row r="174" spans="1:14" ht="14.1" customHeight="1">
      <c r="A174" s="325" t="s">
        <v>124</v>
      </c>
      <c r="B174" s="327" t="s">
        <v>125</v>
      </c>
      <c r="C174" s="327" t="s">
        <v>126</v>
      </c>
      <c r="D174" s="327"/>
      <c r="E174" s="327" t="s">
        <v>128</v>
      </c>
      <c r="F174" s="327" t="s">
        <v>129</v>
      </c>
      <c r="G174" s="327" t="s">
        <v>130</v>
      </c>
      <c r="H174" s="327" t="s">
        <v>131</v>
      </c>
      <c r="I174" s="327" t="s">
        <v>130</v>
      </c>
      <c r="J174" s="327" t="s">
        <v>132</v>
      </c>
      <c r="K174" s="327" t="s">
        <v>133</v>
      </c>
      <c r="L174" s="327" t="s">
        <v>134</v>
      </c>
    </row>
    <row r="175" spans="1:14" ht="14.1" customHeight="1">
      <c r="A175" s="89">
        <f t="shared" ref="A175:A186" si="24">$A$93</f>
        <v>46227</v>
      </c>
      <c r="B175" s="70">
        <f>'CHICLETS MASTER S2'!P28</f>
        <v>0.29166666666666669</v>
      </c>
      <c r="C175" s="71" t="s">
        <v>218</v>
      </c>
      <c r="D175" s="71" t="str">
        <f t="shared" ref="D175:D186" si="25">$D$173</f>
        <v>GARDEN GROVE HS</v>
      </c>
      <c r="E175" s="71">
        <v>64</v>
      </c>
      <c r="F175" s="155" t="str">
        <f>E112</f>
        <v>au_U1(L31)-PRINCETON</v>
      </c>
      <c r="G175" s="155">
        <v>8</v>
      </c>
      <c r="H175" s="155" t="str">
        <f>E113</f>
        <v>au_U2(L47)-LYONS AQUATICS</v>
      </c>
      <c r="I175" s="155">
        <v>3</v>
      </c>
      <c r="J175" s="155"/>
      <c r="K175" s="155"/>
      <c r="L175" s="155" t="str">
        <f t="shared" ref="L175:L186" si="26">IF(E175="","",$L$15&amp;"-"&amp;TEXT(E175,"000"))</f>
        <v>14B-064</v>
      </c>
      <c r="N175" s="62" t="str">
        <f t="shared" ref="N175:N186" si="27">$L$255&amp;C175</f>
        <v>au_Group</v>
      </c>
    </row>
    <row r="176" spans="1:14" ht="14.1" customHeight="1">
      <c r="A176" s="89">
        <f t="shared" si="24"/>
        <v>46227</v>
      </c>
      <c r="B176" s="70">
        <f>'CHICLETS MASTER S2'!P29</f>
        <v>0.3263888888888889</v>
      </c>
      <c r="C176" s="71" t="s">
        <v>218</v>
      </c>
      <c r="D176" s="71" t="str">
        <f t="shared" si="25"/>
        <v>GARDEN GROVE HS</v>
      </c>
      <c r="E176" s="71">
        <v>68</v>
      </c>
      <c r="F176" s="155" t="str">
        <f>D112</f>
        <v>au_T1(L32)-KEARNS</v>
      </c>
      <c r="G176" s="155">
        <v>14.13</v>
      </c>
      <c r="H176" s="155" t="str">
        <f>D113</f>
        <v>au_T2(L39)-PUNAHOU</v>
      </c>
      <c r="I176" s="155">
        <v>14.12</v>
      </c>
      <c r="J176" s="155"/>
      <c r="K176" s="155"/>
      <c r="L176" s="155" t="str">
        <f t="shared" si="26"/>
        <v>14B-068</v>
      </c>
      <c r="N176" s="62" t="str">
        <f t="shared" si="27"/>
        <v>au_Group</v>
      </c>
    </row>
    <row r="177" spans="1:14" ht="14.1" customHeight="1">
      <c r="A177" s="89">
        <f t="shared" si="24"/>
        <v>46227</v>
      </c>
      <c r="B177" s="70">
        <f>'CHICLETS MASTER S2'!P30</f>
        <v>0.36111111111111099</v>
      </c>
      <c r="C177" s="71" t="s">
        <v>218</v>
      </c>
      <c r="D177" s="71" t="str">
        <f t="shared" si="25"/>
        <v>GARDEN GROVE HS</v>
      </c>
      <c r="E177" s="71">
        <v>72</v>
      </c>
      <c r="F177" s="155" t="str">
        <f>D108</f>
        <v>au_O2(L58)-NORTHWEST</v>
      </c>
      <c r="G177" s="155">
        <v>17</v>
      </c>
      <c r="H177" s="155" t="str">
        <f>D109</f>
        <v>au_O3(L56)-GREENWICH WHITE</v>
      </c>
      <c r="I177" s="155">
        <v>13</v>
      </c>
      <c r="J177" s="155"/>
      <c r="K177" s="155"/>
      <c r="L177" s="155" t="str">
        <f t="shared" si="26"/>
        <v>14B-072</v>
      </c>
      <c r="N177" s="62" t="str">
        <f t="shared" si="27"/>
        <v>au_Group</v>
      </c>
    </row>
    <row r="178" spans="1:14" ht="14.1" customHeight="1">
      <c r="A178" s="89">
        <f t="shared" si="24"/>
        <v>46227</v>
      </c>
      <c r="B178" s="70">
        <f>'CHICLETS MASTER S2'!P31</f>
        <v>0.39583333333333398</v>
      </c>
      <c r="C178" s="71" t="s">
        <v>218</v>
      </c>
      <c r="D178" s="71" t="str">
        <f t="shared" si="25"/>
        <v>GARDEN GROVE HS</v>
      </c>
      <c r="E178" s="71">
        <v>76</v>
      </c>
      <c r="F178" s="155" t="str">
        <f>E108</f>
        <v>au_P2(L54)-PUGET SOUND</v>
      </c>
      <c r="G178" s="155">
        <v>8</v>
      </c>
      <c r="H178" s="155" t="str">
        <f>E109</f>
        <v>au_P3(L60)-CLOVIS</v>
      </c>
      <c r="I178" s="155">
        <v>15</v>
      </c>
      <c r="J178" s="155"/>
      <c r="K178" s="155"/>
      <c r="L178" s="155" t="str">
        <f t="shared" si="26"/>
        <v>14B-076</v>
      </c>
      <c r="N178" s="62" t="str">
        <f t="shared" si="27"/>
        <v>au_Group</v>
      </c>
    </row>
    <row r="179" spans="1:14" ht="14.1" customHeight="1">
      <c r="A179" s="89">
        <f t="shared" si="24"/>
        <v>46227</v>
      </c>
      <c r="B179" s="70">
        <f>'CHICLETS MASTER S2'!P32</f>
        <v>0.43055555555555602</v>
      </c>
      <c r="C179" s="71" t="s">
        <v>218</v>
      </c>
      <c r="D179" s="71" t="str">
        <f t="shared" si="25"/>
        <v>GARDEN GROVE HS</v>
      </c>
      <c r="E179" s="71">
        <v>80</v>
      </c>
      <c r="F179" s="155" t="str">
        <f>E112</f>
        <v>au_U1(L31)-PRINCETON</v>
      </c>
      <c r="G179" s="155">
        <v>8</v>
      </c>
      <c r="H179" s="155" t="str">
        <f>E114</f>
        <v>au_U3(L37)-BARCELONA LIONS</v>
      </c>
      <c r="I179" s="155">
        <v>17</v>
      </c>
      <c r="J179" s="155"/>
      <c r="K179" s="155"/>
      <c r="L179" s="155" t="str">
        <f t="shared" si="26"/>
        <v>14B-080</v>
      </c>
      <c r="N179" s="62" t="str">
        <f t="shared" si="27"/>
        <v>au_Group</v>
      </c>
    </row>
    <row r="180" spans="1:14" ht="14.1" customHeight="1">
      <c r="A180" s="89">
        <f t="shared" si="24"/>
        <v>46227</v>
      </c>
      <c r="B180" s="70">
        <f>'CHICLETS MASTER S2'!P33</f>
        <v>0.46527777777777801</v>
      </c>
      <c r="C180" s="71" t="s">
        <v>218</v>
      </c>
      <c r="D180" s="71" t="str">
        <f t="shared" si="25"/>
        <v>GARDEN GROVE HS</v>
      </c>
      <c r="E180" s="71">
        <v>84</v>
      </c>
      <c r="F180" s="155" t="str">
        <f>D112</f>
        <v>au_T1(L32)-KEARNS</v>
      </c>
      <c r="G180" s="155">
        <v>10</v>
      </c>
      <c r="H180" s="155" t="str">
        <f>D114</f>
        <v>au_T3(L45)-TOPAZ TSUNAMI</v>
      </c>
      <c r="I180" s="155">
        <v>3</v>
      </c>
      <c r="J180" s="155"/>
      <c r="K180" s="155"/>
      <c r="L180" s="155" t="str">
        <f t="shared" si="26"/>
        <v>14B-084</v>
      </c>
      <c r="N180" s="62" t="str">
        <f t="shared" si="27"/>
        <v>au_Group</v>
      </c>
    </row>
    <row r="181" spans="1:14" ht="14.1" customHeight="1">
      <c r="A181" s="89">
        <f t="shared" si="24"/>
        <v>46227</v>
      </c>
      <c r="B181" s="70">
        <f>'CHICLETS MASTER S2'!P34</f>
        <v>0.5</v>
      </c>
      <c r="C181" s="71" t="s">
        <v>218</v>
      </c>
      <c r="D181" s="71" t="str">
        <f t="shared" si="25"/>
        <v>GARDEN GROVE HS</v>
      </c>
      <c r="E181" s="71">
        <v>88</v>
      </c>
      <c r="F181" s="155" t="str">
        <f>D107</f>
        <v>au_O1(L49)-SD DONS 13A GOLD</v>
      </c>
      <c r="G181" s="155">
        <v>15</v>
      </c>
      <c r="H181" s="155" t="str">
        <f>D109</f>
        <v>au_O3(L56)-GREENWICH WHITE</v>
      </c>
      <c r="I181" s="155">
        <v>5</v>
      </c>
      <c r="J181" s="155"/>
      <c r="K181" s="155"/>
      <c r="L181" s="155" t="str">
        <f t="shared" si="26"/>
        <v>14B-088</v>
      </c>
      <c r="N181" s="62" t="str">
        <f t="shared" si="27"/>
        <v>au_Group</v>
      </c>
    </row>
    <row r="182" spans="1:14" ht="14.1" customHeight="1">
      <c r="A182" s="89">
        <f t="shared" si="24"/>
        <v>46227</v>
      </c>
      <c r="B182" s="70">
        <f>'CHICLETS MASTER S2'!P35</f>
        <v>0.53472222222222199</v>
      </c>
      <c r="C182" s="71" t="s">
        <v>218</v>
      </c>
      <c r="D182" s="71" t="str">
        <f t="shared" si="25"/>
        <v>GARDEN GROVE HS</v>
      </c>
      <c r="E182" s="71">
        <v>92</v>
      </c>
      <c r="F182" s="155" t="str">
        <f>E107</f>
        <v>au_P1(L50)-SANTA BARBARA WPC A</v>
      </c>
      <c r="G182" s="155">
        <v>11</v>
      </c>
      <c r="H182" s="155" t="str">
        <f>E109</f>
        <v>au_P3(L60)-CLOVIS</v>
      </c>
      <c r="I182" s="155">
        <v>9</v>
      </c>
      <c r="J182" s="155"/>
      <c r="K182" s="155"/>
      <c r="L182" s="155" t="str">
        <f t="shared" si="26"/>
        <v>14B-092</v>
      </c>
      <c r="N182" s="62" t="str">
        <f t="shared" si="27"/>
        <v>au_Group</v>
      </c>
    </row>
    <row r="183" spans="1:14" ht="14.1" customHeight="1">
      <c r="A183" s="89">
        <f t="shared" si="24"/>
        <v>46227</v>
      </c>
      <c r="B183" s="70">
        <f>'CHICLETS MASTER S2'!P36</f>
        <v>0.56944444444444497</v>
      </c>
      <c r="C183" s="71" t="s">
        <v>218</v>
      </c>
      <c r="D183" s="71" t="str">
        <f t="shared" si="25"/>
        <v>GARDEN GROVE HS</v>
      </c>
      <c r="E183" s="71">
        <v>96</v>
      </c>
      <c r="F183" s="155" t="str">
        <f>E113</f>
        <v>au_U2(L47)-LYONS AQUATICS</v>
      </c>
      <c r="G183" s="155">
        <v>8</v>
      </c>
      <c r="H183" s="155" t="str">
        <f>E114</f>
        <v>au_U3(L37)-BARCELONA LIONS</v>
      </c>
      <c r="I183" s="155">
        <v>14</v>
      </c>
      <c r="J183" s="155"/>
      <c r="K183" s="155"/>
      <c r="L183" s="155" t="str">
        <f t="shared" si="26"/>
        <v>14B-096</v>
      </c>
      <c r="N183" s="62" t="str">
        <f t="shared" si="27"/>
        <v>au_Group</v>
      </c>
    </row>
    <row r="184" spans="1:14" ht="14.1" customHeight="1">
      <c r="A184" s="89">
        <f t="shared" si="24"/>
        <v>46227</v>
      </c>
      <c r="B184" s="70">
        <f>'CHICLETS MASTER S2'!P37</f>
        <v>0.60416666666666696</v>
      </c>
      <c r="C184" s="71" t="s">
        <v>218</v>
      </c>
      <c r="D184" s="71" t="str">
        <f t="shared" si="25"/>
        <v>GARDEN GROVE HS</v>
      </c>
      <c r="E184" s="71">
        <v>100</v>
      </c>
      <c r="F184" s="155" t="str">
        <f>D113</f>
        <v>au_T2(L39)-PUNAHOU</v>
      </c>
      <c r="G184" s="155">
        <v>11</v>
      </c>
      <c r="H184" s="155" t="str">
        <f>D114</f>
        <v>au_T3(L45)-TOPAZ TSUNAMI</v>
      </c>
      <c r="I184" s="155">
        <v>13</v>
      </c>
      <c r="J184" s="155"/>
      <c r="K184" s="155"/>
      <c r="L184" s="155" t="str">
        <f t="shared" si="26"/>
        <v>14B-100</v>
      </c>
      <c r="N184" s="62" t="str">
        <f t="shared" si="27"/>
        <v>au_Group</v>
      </c>
    </row>
    <row r="185" spans="1:14" ht="14.1" customHeight="1">
      <c r="A185" s="89">
        <f t="shared" si="24"/>
        <v>46227</v>
      </c>
      <c r="B185" s="70">
        <f>'CHICLETS MASTER S2'!P38</f>
        <v>0.63888888888888895</v>
      </c>
      <c r="C185" s="71" t="s">
        <v>218</v>
      </c>
      <c r="D185" s="71" t="str">
        <f t="shared" si="25"/>
        <v>GARDEN GROVE HS</v>
      </c>
      <c r="E185" s="71">
        <v>104</v>
      </c>
      <c r="F185" s="155" t="str">
        <f>D107</f>
        <v>au_O1(L49)-SD DONS 13A GOLD</v>
      </c>
      <c r="G185" s="155">
        <v>17</v>
      </c>
      <c r="H185" s="155" t="str">
        <f>D108</f>
        <v>au_O2(L58)-NORTHWEST</v>
      </c>
      <c r="I185" s="155">
        <v>13</v>
      </c>
      <c r="J185" s="155"/>
      <c r="K185" s="155"/>
      <c r="L185" s="155" t="str">
        <f t="shared" si="26"/>
        <v>14B-104</v>
      </c>
      <c r="N185" s="62" t="str">
        <f t="shared" si="27"/>
        <v>au_Group</v>
      </c>
    </row>
    <row r="186" spans="1:14" ht="14.1" customHeight="1">
      <c r="A186" s="89">
        <f t="shared" si="24"/>
        <v>46227</v>
      </c>
      <c r="B186" s="70">
        <f>'CHICLETS MASTER S2'!P39</f>
        <v>0.67361111111111105</v>
      </c>
      <c r="C186" s="71" t="s">
        <v>218</v>
      </c>
      <c r="D186" s="71" t="str">
        <f t="shared" si="25"/>
        <v>GARDEN GROVE HS</v>
      </c>
      <c r="E186" s="71">
        <v>108</v>
      </c>
      <c r="F186" s="155" t="str">
        <f>E107</f>
        <v>au_P1(L50)-SANTA BARBARA WPC A</v>
      </c>
      <c r="G186" s="155">
        <v>18</v>
      </c>
      <c r="H186" s="155" t="str">
        <f>E108</f>
        <v>au_P2(L54)-PUGET SOUND</v>
      </c>
      <c r="I186" s="155">
        <v>7</v>
      </c>
      <c r="J186" s="155"/>
      <c r="K186" s="155"/>
      <c r="L186" s="155" t="str">
        <f t="shared" si="26"/>
        <v>14B-108</v>
      </c>
      <c r="N186" s="62" t="str">
        <f t="shared" si="27"/>
        <v>au_Group</v>
      </c>
    </row>
    <row r="187" spans="1:14" ht="14.1" customHeight="1">
      <c r="A187" s="75"/>
      <c r="B187" s="60" t="s">
        <v>139</v>
      </c>
      <c r="C187" s="60"/>
      <c r="D187" s="60"/>
      <c r="E187" s="60"/>
      <c r="F187" s="60"/>
      <c r="G187" s="64"/>
      <c r="H187" s="60"/>
      <c r="I187" s="60"/>
      <c r="J187" s="60"/>
      <c r="K187" s="60"/>
      <c r="L187" s="60"/>
    </row>
    <row r="188" spans="1:14" ht="14.1" customHeight="1">
      <c r="A188" s="75"/>
      <c r="B188" s="60" t="s">
        <v>139</v>
      </c>
      <c r="C188" s="60"/>
      <c r="D188" s="60"/>
      <c r="E188" s="60"/>
      <c r="F188" s="60"/>
      <c r="G188" s="64"/>
      <c r="H188" s="60"/>
      <c r="I188" s="60"/>
      <c r="J188" s="60"/>
      <c r="K188" s="60"/>
      <c r="L188" s="60"/>
    </row>
    <row r="189" spans="1:14" ht="14.1" customHeight="1">
      <c r="A189" s="89">
        <f>$A$93</f>
        <v>46227</v>
      </c>
      <c r="B189" s="70">
        <f>'CHICLETS MASTER S2'!P42</f>
        <v>0.77777777777777801</v>
      </c>
      <c r="C189" s="71" t="s">
        <v>219</v>
      </c>
      <c r="D189" s="71" t="str">
        <f>$D$173</f>
        <v>GARDEN GROVE HS</v>
      </c>
      <c r="E189" s="71">
        <v>112</v>
      </c>
      <c r="F189" s="155" t="s">
        <v>427</v>
      </c>
      <c r="G189" s="155">
        <v>17</v>
      </c>
      <c r="H189" s="155" t="s">
        <v>543</v>
      </c>
      <c r="I189" s="155">
        <v>7</v>
      </c>
      <c r="J189" s="155">
        <v>119</v>
      </c>
      <c r="K189" s="155">
        <v>140</v>
      </c>
      <c r="L189" s="155" t="str">
        <f>IF(E189="","",$L$15&amp;"-"&amp;TEXT(E189,"000"))</f>
        <v>14B-112</v>
      </c>
      <c r="N189" s="62" t="str">
        <f>$L$255&amp;C189</f>
        <v>au_Play-in</v>
      </c>
    </row>
    <row r="190" spans="1:14" ht="14.1" customHeight="1">
      <c r="A190" s="89">
        <f>$A$93</f>
        <v>46227</v>
      </c>
      <c r="B190" s="70">
        <f>'CHICLETS MASTER S2'!P43</f>
        <v>0.8125</v>
      </c>
      <c r="C190" s="71" t="s">
        <v>219</v>
      </c>
      <c r="D190" s="71" t="str">
        <f>$D$173</f>
        <v>GARDEN GROVE HS</v>
      </c>
      <c r="E190" s="71">
        <v>116</v>
      </c>
      <c r="F190" s="155" t="s">
        <v>544</v>
      </c>
      <c r="G190" s="155">
        <v>16</v>
      </c>
      <c r="H190" s="155" t="s">
        <v>545</v>
      </c>
      <c r="I190" s="155">
        <v>15</v>
      </c>
      <c r="J190" s="155">
        <v>127</v>
      </c>
      <c r="K190" s="155">
        <v>132</v>
      </c>
      <c r="L190" s="155" t="str">
        <f>IF(E190="","",$L$15&amp;"-"&amp;TEXT(E190,"000"))</f>
        <v>14B-116</v>
      </c>
      <c r="N190" s="62" t="str">
        <f>$L$255&amp;C190</f>
        <v>au_Play-in</v>
      </c>
    </row>
    <row r="191" spans="1:14" ht="14.1" customHeight="1" thickBot="1">
      <c r="F191" s="62" t="s">
        <v>418</v>
      </c>
      <c r="G191" s="80" t="s">
        <v>418</v>
      </c>
      <c r="H191" s="62" t="s">
        <v>418</v>
      </c>
    </row>
    <row r="192" spans="1:14" ht="14.1" customHeight="1" thickTop="1" thickBot="1">
      <c r="A192" s="68" t="s">
        <v>236</v>
      </c>
      <c r="B192" s="82"/>
      <c r="C192" s="82"/>
      <c r="D192" s="82"/>
      <c r="E192" s="82"/>
      <c r="F192" s="82"/>
      <c r="G192" s="83"/>
      <c r="H192" s="82"/>
      <c r="I192" s="82"/>
      <c r="J192" s="82"/>
      <c r="K192" s="82"/>
      <c r="L192" s="82"/>
    </row>
    <row r="193" spans="1:14" ht="14.1" customHeight="1" thickBot="1">
      <c r="A193" s="61">
        <v>46228</v>
      </c>
      <c r="G193" s="62"/>
    </row>
    <row r="194" spans="1:14" ht="14.1" customHeight="1" thickBot="1">
      <c r="D194" s="68" t="str">
        <f>'CHICLETS MASTER S2'!$Q$51</f>
        <v>UC IRVINE 1</v>
      </c>
      <c r="G194" s="62"/>
    </row>
    <row r="195" spans="1:14" ht="14.1" customHeight="1">
      <c r="A195" s="325" t="s">
        <v>124</v>
      </c>
      <c r="B195" s="327" t="s">
        <v>125</v>
      </c>
      <c r="C195" s="327" t="s">
        <v>126</v>
      </c>
      <c r="D195" s="327" t="s">
        <v>127</v>
      </c>
      <c r="E195" s="327" t="s">
        <v>128</v>
      </c>
      <c r="F195" s="327" t="s">
        <v>129</v>
      </c>
      <c r="G195" s="327" t="s">
        <v>130</v>
      </c>
      <c r="H195" s="327" t="s">
        <v>131</v>
      </c>
      <c r="I195" s="327" t="s">
        <v>130</v>
      </c>
      <c r="J195" s="327" t="s">
        <v>132</v>
      </c>
      <c r="K195" s="327" t="s">
        <v>133</v>
      </c>
      <c r="L195" s="327" t="s">
        <v>134</v>
      </c>
    </row>
    <row r="196" spans="1:14" ht="14.1" customHeight="1">
      <c r="A196" s="69">
        <f t="shared" ref="A196:A222" si="28">$A$193</f>
        <v>46228</v>
      </c>
      <c r="B196" s="70">
        <f>'CHICLETS MASTER S2'!P53</f>
        <v>0.33333333333333331</v>
      </c>
      <c r="C196" s="71" t="s">
        <v>237</v>
      </c>
      <c r="D196" s="71" t="str">
        <f t="shared" ref="D196:D207" si="29">$D$194</f>
        <v>UC IRVINE 1</v>
      </c>
      <c r="E196" s="71">
        <v>117</v>
      </c>
      <c r="F196" s="90" t="s">
        <v>546</v>
      </c>
      <c r="G196" s="90">
        <v>23</v>
      </c>
      <c r="H196" s="90" t="str">
        <f>IF(G151="","W110",IF(G151&gt;I151,_xlfn.CONCAT("W110-",RIGHT(F151,LEN(F151) - FIND("-",F151))), _xlfn.CONCAT("W110-",RIGHT(H151,LEN(H151) - FIND("-",H151)))))</f>
        <v>W110-LAMORINDA A</v>
      </c>
      <c r="I196" s="90">
        <v>12</v>
      </c>
      <c r="J196" s="90">
        <v>141</v>
      </c>
      <c r="K196" s="90">
        <v>149</v>
      </c>
      <c r="L196" s="90" t="str">
        <f t="shared" ref="L196:L207" si="30">IF(E196="","",$L$15&amp;"-"&amp;TEXT(E196,"000"))</f>
        <v>14B-117</v>
      </c>
      <c r="N196" s="62" t="str">
        <f t="shared" ref="N196:N207" si="31">$K$255&amp;C196</f>
        <v>pt_5-8 v 9-12</v>
      </c>
    </row>
    <row r="197" spans="1:14" ht="14.1" customHeight="1">
      <c r="A197" s="69">
        <f t="shared" si="28"/>
        <v>46228</v>
      </c>
      <c r="B197" s="70">
        <f>'CHICLETS MASTER S2'!P54</f>
        <v>0.375</v>
      </c>
      <c r="C197" s="71" t="s">
        <v>237</v>
      </c>
      <c r="D197" s="71" t="str">
        <f t="shared" si="29"/>
        <v>UC IRVINE 1</v>
      </c>
      <c r="E197" s="71">
        <v>121</v>
      </c>
      <c r="F197" s="90" t="s">
        <v>547</v>
      </c>
      <c r="G197" s="93">
        <v>17</v>
      </c>
      <c r="H197" s="90" t="str">
        <f>IF(G133="","W113",IF(G133&gt;I133,_xlfn.CONCAT("W113-",RIGHT(F133,LEN(F133) - FIND("-",F133))), _xlfn.CONCAT("W113-",RIGHT(H133,LEN(H133) - FIND("-",H133)))))</f>
        <v>W113-GREENWICH BLUE</v>
      </c>
      <c r="I197" s="93">
        <v>15</v>
      </c>
      <c r="J197" s="90">
        <v>141</v>
      </c>
      <c r="K197" s="90">
        <v>149</v>
      </c>
      <c r="L197" s="90" t="str">
        <f t="shared" si="30"/>
        <v>14B-121</v>
      </c>
      <c r="N197" s="62" t="str">
        <f t="shared" si="31"/>
        <v>pt_5-8 v 9-12</v>
      </c>
    </row>
    <row r="198" spans="1:14" ht="14.1" customHeight="1">
      <c r="A198" s="69">
        <f t="shared" si="28"/>
        <v>46228</v>
      </c>
      <c r="B198" s="70">
        <f>'CHICLETS MASTER S2'!P55</f>
        <v>0.41666666666666702</v>
      </c>
      <c r="C198" s="71" t="s">
        <v>237</v>
      </c>
      <c r="D198" s="71" t="str">
        <f t="shared" si="29"/>
        <v>UC IRVINE 1</v>
      </c>
      <c r="E198" s="71">
        <v>125</v>
      </c>
      <c r="F198" s="90" t="s">
        <v>548</v>
      </c>
      <c r="G198" s="90">
        <v>11</v>
      </c>
      <c r="H198" s="90" t="str">
        <f>IF(G152="","W114",IF(G152&gt;I152,_xlfn.CONCAT("W114-",RIGHT(F152,LEN(F152) - FIND("-",F152))), _xlfn.CONCAT("W114-",RIGHT(H152,LEN(H152) - FIND("-",H152)))))</f>
        <v>W114-LA PREMIER BLACK</v>
      </c>
      <c r="I198" s="90">
        <v>14</v>
      </c>
      <c r="J198" s="90">
        <v>145</v>
      </c>
      <c r="K198" s="90">
        <v>153</v>
      </c>
      <c r="L198" s="90" t="str">
        <f t="shared" si="30"/>
        <v>14B-125</v>
      </c>
      <c r="N198" s="62" t="str">
        <f t="shared" si="31"/>
        <v>pt_5-8 v 9-12</v>
      </c>
    </row>
    <row r="199" spans="1:14" ht="14.1" customHeight="1">
      <c r="A199" s="69">
        <f t="shared" si="28"/>
        <v>46228</v>
      </c>
      <c r="B199" s="70">
        <f>'CHICLETS MASTER S2'!P56</f>
        <v>0.45833333333333298</v>
      </c>
      <c r="C199" s="71" t="s">
        <v>237</v>
      </c>
      <c r="D199" s="71" t="str">
        <f t="shared" si="29"/>
        <v>UC IRVINE 1</v>
      </c>
      <c r="E199" s="71">
        <v>129</v>
      </c>
      <c r="F199" s="90" t="s">
        <v>549</v>
      </c>
      <c r="G199" s="90">
        <v>11</v>
      </c>
      <c r="H199" s="90" t="str">
        <f>IF(G132="","W109",IF(G132&gt;I132,_xlfn.CONCAT("W109-",RIGHT(F132,LEN(F132) - FIND("-",F132))), _xlfn.CONCAT("W109-",RIGHT(H132,LEN(H132) - FIND("-",H132)))))</f>
        <v>W109-NORCAL BLACK</v>
      </c>
      <c r="I199" s="90">
        <v>16</v>
      </c>
      <c r="J199" s="90">
        <v>145</v>
      </c>
      <c r="K199" s="90">
        <v>153</v>
      </c>
      <c r="L199" s="90" t="str">
        <f t="shared" si="30"/>
        <v>14B-129</v>
      </c>
      <c r="N199" s="62" t="str">
        <f t="shared" si="31"/>
        <v>pt_5-8 v 9-12</v>
      </c>
    </row>
    <row r="200" spans="1:14" ht="14.1" customHeight="1">
      <c r="A200" s="69">
        <f t="shared" si="28"/>
        <v>46228</v>
      </c>
      <c r="B200" s="70">
        <f>'CHICLETS MASTER S2'!P57</f>
        <v>0.5</v>
      </c>
      <c r="C200" s="71" t="s">
        <v>242</v>
      </c>
      <c r="D200" s="71" t="str">
        <f t="shared" si="29"/>
        <v>UC IRVINE 1</v>
      </c>
      <c r="E200" s="71">
        <v>133</v>
      </c>
      <c r="F200" s="90" t="s">
        <v>550</v>
      </c>
      <c r="G200" s="90">
        <v>6</v>
      </c>
      <c r="H200" s="90" t="s">
        <v>551</v>
      </c>
      <c r="I200" s="90">
        <v>4</v>
      </c>
      <c r="J200" s="90">
        <v>174</v>
      </c>
      <c r="K200" s="90">
        <v>157</v>
      </c>
      <c r="L200" s="90" t="str">
        <f t="shared" si="30"/>
        <v>14B-133</v>
      </c>
      <c r="N200" s="62" t="str">
        <f t="shared" si="31"/>
        <v>pt_1-2 v 3-4</v>
      </c>
    </row>
    <row r="201" spans="1:14" ht="14.1" customHeight="1">
      <c r="A201" s="69">
        <f t="shared" si="28"/>
        <v>46228</v>
      </c>
      <c r="B201" s="70">
        <f>'CHICLETS MASTER S2'!P58</f>
        <v>0.54166666666666696</v>
      </c>
      <c r="C201" s="71" t="s">
        <v>242</v>
      </c>
      <c r="D201" s="71" t="str">
        <f t="shared" si="29"/>
        <v>UC IRVINE 1</v>
      </c>
      <c r="E201" s="71">
        <v>137</v>
      </c>
      <c r="F201" s="90" t="s">
        <v>552</v>
      </c>
      <c r="G201" s="90">
        <v>11.2</v>
      </c>
      <c r="H201" s="90" t="s">
        <v>553</v>
      </c>
      <c r="I201" s="90">
        <v>11.3</v>
      </c>
      <c r="J201" s="90">
        <v>173</v>
      </c>
      <c r="K201" s="90">
        <v>161</v>
      </c>
      <c r="L201" s="90" t="str">
        <f t="shared" si="30"/>
        <v>14B-137</v>
      </c>
      <c r="N201" s="62" t="str">
        <f t="shared" si="31"/>
        <v>pt_1-2 v 3-4</v>
      </c>
    </row>
    <row r="202" spans="1:14" ht="14.1" customHeight="1">
      <c r="A202" s="69">
        <f t="shared" si="28"/>
        <v>46228</v>
      </c>
      <c r="B202" s="70">
        <f>'CHICLETS MASTER S2'!P59</f>
        <v>0.58333333333333304</v>
      </c>
      <c r="C202" s="71" t="s">
        <v>247</v>
      </c>
      <c r="D202" s="71" t="str">
        <f t="shared" si="29"/>
        <v>UC IRVINE 1</v>
      </c>
      <c r="E202" s="71">
        <v>141</v>
      </c>
      <c r="F202" s="90" t="str">
        <f>IF(G196="","W117",IF(G196&gt;I196,_xlfn.CONCAT("W117-",RIGHT(F196,LEN(F196) - FIND("-",F196))), _xlfn.CONCAT("W117-",RIGHT(H196,LEN(H196) - FIND("-",H196)))))</f>
        <v>W117-LA JOLLA UNITED</v>
      </c>
      <c r="G202" s="90">
        <v>15</v>
      </c>
      <c r="H202" s="90" t="str">
        <f>IF(G197="","W121",IF(G197&gt;I197,_xlfn.CONCAT("W121-",RIGHT(F197,LEN(F197) - FIND("-",F197))), _xlfn.CONCAT("W121-",RIGHT(H197,LEN(H197) - FIND("-",H197)))))</f>
        <v>W121-PATRIOT NAVY</v>
      </c>
      <c r="I202" s="90">
        <v>11</v>
      </c>
      <c r="J202" s="90">
        <v>157</v>
      </c>
      <c r="K202" s="90">
        <v>185</v>
      </c>
      <c r="L202" s="90" t="str">
        <f t="shared" si="30"/>
        <v>14B-141</v>
      </c>
      <c r="N202" s="62" t="str">
        <f t="shared" si="31"/>
        <v>pt_5-6 v 7-8</v>
      </c>
    </row>
    <row r="203" spans="1:14" ht="14.1" customHeight="1">
      <c r="A203" s="69">
        <f t="shared" si="28"/>
        <v>46228</v>
      </c>
      <c r="B203" s="70">
        <f>'CHICLETS MASTER S2'!P60</f>
        <v>0.625</v>
      </c>
      <c r="C203" s="71" t="s">
        <v>247</v>
      </c>
      <c r="D203" s="71" t="str">
        <f t="shared" si="29"/>
        <v>UC IRVINE 1</v>
      </c>
      <c r="E203" s="71">
        <v>145</v>
      </c>
      <c r="F203" s="90" t="str">
        <f>IF(G198="","W125",IF(G198&gt;I198,_xlfn.CONCAT("W125-",RIGHT(F198,LEN(F198) - FIND("-",F198))), _xlfn.CONCAT("W125-",RIGHT(H198,LEN(H198) - FIND("-",H198)))))</f>
        <v>W125-LA PREMIER BLACK</v>
      </c>
      <c r="G203" s="90">
        <v>8</v>
      </c>
      <c r="H203" s="90" t="str">
        <f>IF(G199="","W129",IF(G199&gt;I199,_xlfn.CONCAT("W129-",RIGHT(F199,LEN(F199) - FIND("-",F199))), _xlfn.CONCAT("W129-",RIGHT(H199,LEN(H199) - FIND("-",H199)))))</f>
        <v>W129-NORCAL BLACK</v>
      </c>
      <c r="I203" s="93">
        <v>13</v>
      </c>
      <c r="J203" s="90">
        <v>161</v>
      </c>
      <c r="K203" s="90">
        <v>185</v>
      </c>
      <c r="L203" s="90" t="str">
        <f t="shared" si="30"/>
        <v>14B-145</v>
      </c>
      <c r="N203" s="62" t="str">
        <f t="shared" si="31"/>
        <v>pt_5-6 v 7-8</v>
      </c>
    </row>
    <row r="204" spans="1:14" ht="14.1" customHeight="1">
      <c r="A204" s="69">
        <f t="shared" si="28"/>
        <v>46228</v>
      </c>
      <c r="B204" s="70">
        <f>'CHICLETS MASTER S2'!P61</f>
        <v>0.66666666666666696</v>
      </c>
      <c r="C204" s="71" t="s">
        <v>248</v>
      </c>
      <c r="D204" s="71" t="str">
        <f t="shared" si="29"/>
        <v>UC IRVINE 1</v>
      </c>
      <c r="E204" s="71">
        <v>149</v>
      </c>
      <c r="F204" s="90" t="str">
        <f>IF(G197="","L121",IF(G197&lt;I197,_xlfn.CONCAT("L121-",RIGHT(F197,LEN(F197) - FIND("-",F197))), _xlfn.CONCAT("L121-",RIGHT(H197,LEN(H197) - FIND("-",H197)))))</f>
        <v>L121-GREENWICH BLUE</v>
      </c>
      <c r="G204" s="90">
        <v>9</v>
      </c>
      <c r="H204" s="90" t="str">
        <f>IF(G196="","L117",IF(G196&lt;I196,_xlfn.CONCAT("L117-",RIGHT(F196,LEN(F196) - FIND("-",F196))), _xlfn.CONCAT("L117-",RIGHT(H196,LEN(H196) - FIND("-",H196)))))</f>
        <v>L117-LAMORINDA A</v>
      </c>
      <c r="I204" s="90">
        <v>15</v>
      </c>
      <c r="J204" s="90">
        <v>182</v>
      </c>
      <c r="K204" s="90">
        <v>181</v>
      </c>
      <c r="L204" s="90" t="str">
        <f t="shared" si="30"/>
        <v>14B-149</v>
      </c>
      <c r="N204" s="62" t="str">
        <f t="shared" si="31"/>
        <v>pt_9-12 semi</v>
      </c>
    </row>
    <row r="205" spans="1:14" ht="14.1" customHeight="1">
      <c r="A205" s="69">
        <f t="shared" si="28"/>
        <v>46228</v>
      </c>
      <c r="B205" s="70">
        <f>'CHICLETS MASTER S2'!P62</f>
        <v>0.70833333333333304</v>
      </c>
      <c r="C205" s="71" t="s">
        <v>248</v>
      </c>
      <c r="D205" s="71" t="str">
        <f t="shared" si="29"/>
        <v>UC IRVINE 1</v>
      </c>
      <c r="E205" s="71">
        <v>153</v>
      </c>
      <c r="F205" s="90" t="str">
        <f>IF(G199="","L129",IF(G199&lt;I199,_xlfn.CONCAT("L129-",RIGHT(F199,LEN(F199) - FIND("-",F199))), _xlfn.CONCAT("L129-",RIGHT(H199,LEN(H199) - FIND("-",H199)))))</f>
        <v>L129-COMMERCE</v>
      </c>
      <c r="G205" s="90">
        <v>10</v>
      </c>
      <c r="H205" s="90" t="str">
        <f>IF(G198="","L125",IF(G198&lt;I198,_xlfn.CONCAT("L125-",RIGHT(F198,LEN(F198) - FIND("-",F198))), _xlfn.CONCAT("L125-",RIGHT(H198,LEN(H198) - FIND("-",H198)))))</f>
        <v>L125-908 YELLOW A</v>
      </c>
      <c r="I205" s="90">
        <v>6</v>
      </c>
      <c r="J205" s="90">
        <v>182</v>
      </c>
      <c r="K205" s="90">
        <v>181</v>
      </c>
      <c r="L205" s="90" t="str">
        <f t="shared" si="30"/>
        <v>14B-153</v>
      </c>
      <c r="N205" s="62" t="str">
        <f t="shared" si="31"/>
        <v>pt_9-12 semi</v>
      </c>
    </row>
    <row r="206" spans="1:14" ht="14.1" customHeight="1">
      <c r="A206" s="69">
        <f t="shared" si="28"/>
        <v>46228</v>
      </c>
      <c r="B206" s="70">
        <f>'CHICLETS MASTER S2'!P63</f>
        <v>0.75</v>
      </c>
      <c r="C206" s="71" t="s">
        <v>439</v>
      </c>
      <c r="D206" s="71" t="str">
        <f t="shared" si="29"/>
        <v>UC IRVINE 1</v>
      </c>
      <c r="E206" s="71">
        <v>157</v>
      </c>
      <c r="F206" s="90" t="str">
        <f>IF(G200="","L133",IF(G200&lt;I200,_xlfn.CONCAT("L133-",RIGHT(F200,LEN(F200) - FIND("-",F200))), _xlfn.CONCAT("L133-",RIGHT(H200,LEN(H200) - FIND("-",H200)))))</f>
        <v>L133-MISSION A</v>
      </c>
      <c r="G206" s="90">
        <v>6</v>
      </c>
      <c r="H206" s="90" t="str">
        <f>IF(G202="","W141",IF(G202&gt;I202,_xlfn.CONCAT("W141-",RIGHT(F202,LEN(F202) - FIND("-",F202))), _xlfn.CONCAT("W141-",RIGHT(H202,LEN(H202) - FIND("-",H202)))))</f>
        <v>W141-LA JOLLA UNITED</v>
      </c>
      <c r="I206" s="90">
        <v>12</v>
      </c>
      <c r="J206" s="90">
        <v>173</v>
      </c>
      <c r="K206" s="90">
        <v>186</v>
      </c>
      <c r="L206" s="90" t="str">
        <f t="shared" si="30"/>
        <v>14B-157</v>
      </c>
      <c r="N206" s="62" t="str">
        <f t="shared" si="31"/>
        <v>pt_play to semi</v>
      </c>
    </row>
    <row r="207" spans="1:14" ht="14.1" customHeight="1">
      <c r="A207" s="69">
        <f t="shared" si="28"/>
        <v>46228</v>
      </c>
      <c r="B207" s="70">
        <f>'CHICLETS MASTER S2'!P64</f>
        <v>0.79166666666666696</v>
      </c>
      <c r="C207" s="71" t="s">
        <v>439</v>
      </c>
      <c r="D207" s="71" t="str">
        <f t="shared" si="29"/>
        <v>UC IRVINE 1</v>
      </c>
      <c r="E207" s="71">
        <v>161</v>
      </c>
      <c r="F207" s="90" t="str">
        <f>IF(G201="","L137",IF(G201&lt;I201,_xlfn.CONCAT("L137-",RIGHT(F201,LEN(F201) - FIND("-",F201))), _xlfn.CONCAT("L137-",RIGHT(H201,LEN(H201) - FIND("-",H201)))))</f>
        <v>L137-CIU GOLD</v>
      </c>
      <c r="G207" s="90">
        <v>12</v>
      </c>
      <c r="H207" s="90" t="str">
        <f>IF(G203="","W145",IF(G203&gt;I203,_xlfn.CONCAT("W145-",RIGHT(F203,LEN(F203) - FIND("-",F203))), _xlfn.CONCAT("W145-",RIGHT(H203,LEN(H203) - FIND("-",H203)))))</f>
        <v>W145-NORCAL BLACK</v>
      </c>
      <c r="I207" s="90">
        <v>10</v>
      </c>
      <c r="J207" s="90">
        <v>174</v>
      </c>
      <c r="K207" s="90">
        <v>186</v>
      </c>
      <c r="L207" s="90" t="str">
        <f t="shared" si="30"/>
        <v>14B-161</v>
      </c>
      <c r="N207" s="62" t="str">
        <f t="shared" si="31"/>
        <v>pt_play to semi</v>
      </c>
    </row>
    <row r="208" spans="1:14" ht="14.1" customHeight="1" thickBot="1">
      <c r="A208" s="69"/>
      <c r="G208" s="62"/>
    </row>
    <row r="209" spans="1:14" ht="14.1" customHeight="1" thickBot="1">
      <c r="A209" s="78"/>
      <c r="B209" s="79"/>
      <c r="D209" s="68" t="str">
        <f>'CHICLETS MASTER S2'!$R$51</f>
        <v>UC IRVINE 2</v>
      </c>
      <c r="F209" s="62" t="s">
        <v>418</v>
      </c>
      <c r="G209" s="80" t="s">
        <v>418</v>
      </c>
      <c r="H209" s="62" t="s">
        <v>418</v>
      </c>
      <c r="I209" s="60"/>
      <c r="J209" s="60"/>
      <c r="K209" s="60"/>
      <c r="L209" s="60"/>
    </row>
    <row r="210" spans="1:14" ht="14.1" customHeight="1">
      <c r="A210" s="325" t="s">
        <v>124</v>
      </c>
      <c r="B210" s="327" t="s">
        <v>125</v>
      </c>
      <c r="C210" s="327" t="s">
        <v>126</v>
      </c>
      <c r="D210" s="327" t="s">
        <v>127</v>
      </c>
      <c r="E210" s="327" t="s">
        <v>128</v>
      </c>
      <c r="F210" s="327" t="s">
        <v>129</v>
      </c>
      <c r="G210" s="327" t="s">
        <v>130</v>
      </c>
      <c r="H210" s="327" t="s">
        <v>131</v>
      </c>
      <c r="I210" s="327" t="s">
        <v>130</v>
      </c>
      <c r="J210" s="327" t="s">
        <v>132</v>
      </c>
      <c r="K210" s="327" t="s">
        <v>133</v>
      </c>
      <c r="L210" s="327" t="s">
        <v>134</v>
      </c>
    </row>
    <row r="211" spans="1:14" ht="14.1" customHeight="1">
      <c r="A211" s="69">
        <f t="shared" si="28"/>
        <v>46228</v>
      </c>
      <c r="B211" s="70">
        <f>'CHICLETS MASTER S2'!P53</f>
        <v>0.33333333333333331</v>
      </c>
      <c r="C211" s="71" t="s">
        <v>249</v>
      </c>
      <c r="D211" s="71" t="str">
        <f t="shared" ref="D211:D222" si="32">$D$209</f>
        <v>UC IRVINE 2</v>
      </c>
      <c r="E211" s="71">
        <v>118</v>
      </c>
      <c r="F211" s="90" t="s">
        <v>554</v>
      </c>
      <c r="G211" s="93">
        <v>8</v>
      </c>
      <c r="H211" s="90" t="s">
        <v>555</v>
      </c>
      <c r="I211" s="93">
        <v>6</v>
      </c>
      <c r="J211" s="90"/>
      <c r="K211" s="90"/>
      <c r="L211" s="90" t="str">
        <f t="shared" ref="L211:L221" si="33">IF(E211="","",$L$15&amp;"-"&amp;TEXT(E211,"000"))</f>
        <v>14B-118</v>
      </c>
      <c r="N211" s="62" t="str">
        <f t="shared" ref="N211:N221" si="34">$K$255&amp;C211</f>
        <v>pt_21-24 RR</v>
      </c>
    </row>
    <row r="212" spans="1:14" ht="14.1" customHeight="1">
      <c r="A212" s="69">
        <f t="shared" si="28"/>
        <v>46228</v>
      </c>
      <c r="B212" s="70">
        <f>'CHICLETS MASTER S2'!P54</f>
        <v>0.375</v>
      </c>
      <c r="C212" s="71" t="s">
        <v>249</v>
      </c>
      <c r="D212" s="71" t="str">
        <f t="shared" si="32"/>
        <v>UC IRVINE 2</v>
      </c>
      <c r="E212" s="71">
        <v>122</v>
      </c>
      <c r="F212" s="90" t="s">
        <v>556</v>
      </c>
      <c r="G212" s="90">
        <v>14</v>
      </c>
      <c r="H212" s="90" t="s">
        <v>557</v>
      </c>
      <c r="I212" s="90">
        <v>6</v>
      </c>
      <c r="J212" s="90"/>
      <c r="K212" s="90"/>
      <c r="L212" s="90" t="str">
        <f t="shared" si="33"/>
        <v>14B-122</v>
      </c>
      <c r="N212" s="62" t="str">
        <f t="shared" si="34"/>
        <v>pt_21-24 RR</v>
      </c>
    </row>
    <row r="213" spans="1:14" ht="14.1" customHeight="1">
      <c r="A213" s="69">
        <f t="shared" si="28"/>
        <v>46228</v>
      </c>
      <c r="B213" s="70">
        <f>'CHICLETS MASTER S2'!P55</f>
        <v>0.41666666666666702</v>
      </c>
      <c r="C213" s="71" t="s">
        <v>254</v>
      </c>
      <c r="D213" s="71" t="str">
        <f t="shared" si="32"/>
        <v>UC IRVINE 2</v>
      </c>
      <c r="E213" s="71">
        <v>126</v>
      </c>
      <c r="F213" s="90" t="str">
        <f>IF(G133="","L113",IF(G133&lt;I133,_xlfn.CONCAT("L113-",RIGHT(F133,LEN(F133) - FIND("-",F133))), _xlfn.CONCAT("L113-",RIGHT(H133,LEN(H133) - FIND("-",H133)))))</f>
        <v>L113-STANFORD RED</v>
      </c>
      <c r="G213" s="90">
        <v>9</v>
      </c>
      <c r="H213" s="90" t="s">
        <v>558</v>
      </c>
      <c r="I213" s="90">
        <v>13</v>
      </c>
      <c r="J213" s="90">
        <v>150</v>
      </c>
      <c r="K213" s="90">
        <v>154</v>
      </c>
      <c r="L213" s="90" t="str">
        <f t="shared" si="33"/>
        <v>14B-126</v>
      </c>
      <c r="N213" s="62" t="str">
        <f t="shared" si="34"/>
        <v>pt_13-20 qtr</v>
      </c>
    </row>
    <row r="214" spans="1:14" ht="14.1" customHeight="1">
      <c r="A214" s="69">
        <f t="shared" si="28"/>
        <v>46228</v>
      </c>
      <c r="B214" s="70">
        <f>'CHICLETS MASTER S2'!P56</f>
        <v>0.45833333333333298</v>
      </c>
      <c r="C214" s="71" t="s">
        <v>254</v>
      </c>
      <c r="D214" s="71" t="str">
        <f t="shared" si="32"/>
        <v>UC IRVINE 2</v>
      </c>
      <c r="E214" s="71">
        <v>130</v>
      </c>
      <c r="F214" s="90" t="str">
        <f>IF(G152="","L114",IF(G152&lt;I152,_xlfn.CONCAT("L114-",RIGHT(F152,LEN(F152) - FIND("-",F152))), _xlfn.CONCAT("L114-",RIGHT(H152,LEN(H152) - FIND("-",H152)))))</f>
        <v>L114-PALOS VERDES BLACK</v>
      </c>
      <c r="G214" s="90">
        <v>11</v>
      </c>
      <c r="H214" s="90" t="s">
        <v>559</v>
      </c>
      <c r="I214" s="90">
        <v>7</v>
      </c>
      <c r="J214" s="90">
        <v>150</v>
      </c>
      <c r="K214" s="90">
        <v>154</v>
      </c>
      <c r="L214" s="90" t="str">
        <f t="shared" si="33"/>
        <v>14B-130</v>
      </c>
      <c r="N214" s="62" t="str">
        <f t="shared" si="34"/>
        <v>pt_13-20 qtr</v>
      </c>
    </row>
    <row r="215" spans="1:14" ht="14.1" customHeight="1">
      <c r="A215" s="69">
        <f t="shared" si="28"/>
        <v>46228</v>
      </c>
      <c r="B215" s="70">
        <f>'CHICLETS MASTER S2'!P57</f>
        <v>0.5</v>
      </c>
      <c r="C215" s="71" t="s">
        <v>254</v>
      </c>
      <c r="D215" s="71" t="str">
        <f t="shared" si="32"/>
        <v>UC IRVINE 2</v>
      </c>
      <c r="E215" s="71">
        <v>134</v>
      </c>
      <c r="F215" s="90" t="str">
        <f>IF(G132="","L109",IF(G132&lt;I132,_xlfn.CONCAT("L109-",RIGHT(F132,LEN(F132) - FIND("-",F132))), _xlfn.CONCAT("L109-",RIGHT(H132,LEN(H132) - FIND("-",H132)))))</f>
        <v>L109-VANGUARD BLUE</v>
      </c>
      <c r="G215" s="90">
        <v>6</v>
      </c>
      <c r="H215" s="90" t="s">
        <v>560</v>
      </c>
      <c r="I215" s="90">
        <v>10</v>
      </c>
      <c r="J215" s="90">
        <v>158</v>
      </c>
      <c r="K215" s="90">
        <v>162</v>
      </c>
      <c r="L215" s="90" t="str">
        <f t="shared" si="33"/>
        <v>14B-134</v>
      </c>
      <c r="N215" s="62" t="str">
        <f t="shared" si="34"/>
        <v>pt_13-20 qtr</v>
      </c>
    </row>
    <row r="216" spans="1:14" ht="14.1" customHeight="1">
      <c r="A216" s="69">
        <f t="shared" si="28"/>
        <v>46228</v>
      </c>
      <c r="B216" s="70">
        <f>'CHICLETS MASTER S2'!P58</f>
        <v>0.54166666666666696</v>
      </c>
      <c r="C216" s="71" t="s">
        <v>254</v>
      </c>
      <c r="D216" s="71" t="str">
        <f t="shared" si="32"/>
        <v>UC IRVINE 2</v>
      </c>
      <c r="E216" s="71">
        <v>138</v>
      </c>
      <c r="F216" s="90" t="str">
        <f>IF(G151="","L110",IF(G151&lt;I151,_xlfn.CONCAT("L110-",RIGHT(F151,LEN(F151) - FIND("-",F151))), _xlfn.CONCAT("L110-",RIGHT(H151,LEN(H151) - FIND("-",H151)))))</f>
        <v>L110-DIABLO ALLIANCE A</v>
      </c>
      <c r="G216" s="90">
        <v>11</v>
      </c>
      <c r="H216" s="90" t="s">
        <v>561</v>
      </c>
      <c r="I216" s="90">
        <v>10</v>
      </c>
      <c r="J216" s="90">
        <v>158</v>
      </c>
      <c r="K216" s="90">
        <v>162</v>
      </c>
      <c r="L216" s="90" t="str">
        <f t="shared" si="33"/>
        <v>14B-138</v>
      </c>
      <c r="N216" s="62" t="str">
        <f t="shared" si="34"/>
        <v>pt_13-20 qtr</v>
      </c>
    </row>
    <row r="217" spans="1:14" ht="14.1" customHeight="1">
      <c r="A217" s="69">
        <f t="shared" si="28"/>
        <v>46228</v>
      </c>
      <c r="B217" s="70">
        <f>'CHICLETS MASTER S2'!P59</f>
        <v>0.58333333333333304</v>
      </c>
      <c r="C217" s="71" t="s">
        <v>249</v>
      </c>
      <c r="D217" s="71" t="str">
        <f t="shared" si="32"/>
        <v>UC IRVINE 2</v>
      </c>
      <c r="E217" s="71">
        <v>142</v>
      </c>
      <c r="F217" s="90" t="s">
        <v>554</v>
      </c>
      <c r="G217" s="90">
        <v>17</v>
      </c>
      <c r="H217" s="90" t="s">
        <v>557</v>
      </c>
      <c r="I217" s="90">
        <v>5</v>
      </c>
      <c r="J217" s="90"/>
      <c r="K217" s="90"/>
      <c r="L217" s="90" t="str">
        <f t="shared" si="33"/>
        <v>14B-142</v>
      </c>
      <c r="N217" s="62" t="str">
        <f t="shared" si="34"/>
        <v>pt_21-24 RR</v>
      </c>
    </row>
    <row r="218" spans="1:14" ht="14.1" customHeight="1">
      <c r="A218" s="69">
        <f t="shared" si="28"/>
        <v>46228</v>
      </c>
      <c r="B218" s="70">
        <f>'CHICLETS MASTER S2'!P60</f>
        <v>0.625</v>
      </c>
      <c r="C218" s="71" t="s">
        <v>249</v>
      </c>
      <c r="D218" s="71" t="str">
        <f t="shared" si="32"/>
        <v>UC IRVINE 2</v>
      </c>
      <c r="E218" s="71">
        <v>146</v>
      </c>
      <c r="F218" s="90" t="s">
        <v>556</v>
      </c>
      <c r="G218" s="90">
        <v>14</v>
      </c>
      <c r="H218" s="90" t="s">
        <v>555</v>
      </c>
      <c r="I218" s="90">
        <v>9</v>
      </c>
      <c r="J218" s="90"/>
      <c r="K218" s="90"/>
      <c r="L218" s="90" t="str">
        <f t="shared" si="33"/>
        <v>14B-146</v>
      </c>
      <c r="N218" s="62" t="str">
        <f t="shared" si="34"/>
        <v>pt_21-24 RR</v>
      </c>
    </row>
    <row r="219" spans="1:14" ht="14.1" customHeight="1">
      <c r="A219" s="69">
        <f t="shared" si="28"/>
        <v>46228</v>
      </c>
      <c r="B219" s="70">
        <f>'CHICLETS MASTER S2'!P61</f>
        <v>0.66666666666666696</v>
      </c>
      <c r="C219" s="71" t="s">
        <v>259</v>
      </c>
      <c r="D219" s="71" t="str">
        <f t="shared" si="32"/>
        <v>UC IRVINE 2</v>
      </c>
      <c r="E219" s="71">
        <v>150</v>
      </c>
      <c r="F219" s="90" t="str">
        <f>IF(G213="","W126",IF(G213&gt;I213,_xlfn.CONCAT("W126-",RIGHT(F213,LEN(F213) - FIND("-",F213))), _xlfn.CONCAT("W126-",RIGHT(H213,LEN(H213) - FIND("-",H213)))))</f>
        <v>W126-SD SHORES BLACK</v>
      </c>
      <c r="G219" s="90">
        <v>16</v>
      </c>
      <c r="H219" s="90" t="str">
        <f>IF(G214="","W130",IF(G214&gt;I214,_xlfn.CONCAT("W130-",RIGHT(F214,LEN(F214) - FIND("-",F214))), _xlfn.CONCAT("W130-",RIGHT(H214,LEN(H214) - FIND("-",H214)))))</f>
        <v>W130-PALOS VERDES BLACK</v>
      </c>
      <c r="I219" s="90">
        <v>13</v>
      </c>
      <c r="J219" s="90">
        <v>178</v>
      </c>
      <c r="K219" s="90">
        <v>177</v>
      </c>
      <c r="L219" s="90" t="str">
        <f t="shared" si="33"/>
        <v>14B-150</v>
      </c>
      <c r="N219" s="62" t="str">
        <f t="shared" si="34"/>
        <v>pt_13-16 semi</v>
      </c>
    </row>
    <row r="220" spans="1:14" ht="14.1" customHeight="1">
      <c r="A220" s="69">
        <f t="shared" si="28"/>
        <v>46228</v>
      </c>
      <c r="B220" s="70">
        <f>'CHICLETS MASTER S2'!P62</f>
        <v>0.70833333333333304</v>
      </c>
      <c r="C220" s="71" t="s">
        <v>260</v>
      </c>
      <c r="D220" s="71" t="str">
        <f t="shared" si="32"/>
        <v>UC IRVINE 2</v>
      </c>
      <c r="E220" s="71">
        <v>154</v>
      </c>
      <c r="F220" s="90" t="str">
        <f>IF(G214="","L130",IF(G214&lt;I214,_xlfn.CONCAT("L130-",RIGHT(F214,LEN(F214) - FIND("-",F214))), _xlfn.CONCAT("L130-",RIGHT(H214,LEN(H214) - FIND("-",H214)))))</f>
        <v xml:space="preserve">L130-CDM BLUE	</v>
      </c>
      <c r="G220" s="90">
        <v>9</v>
      </c>
      <c r="H220" s="90" t="str">
        <f>IF(G213="","L126",IF(G213&lt;I213,_xlfn.CONCAT("L126-",RIGHT(F213,LEN(F213) - FIND("-",F213))), _xlfn.CONCAT("L126-",RIGHT(H213,LEN(H213) - FIND("-",H213)))))</f>
        <v>L126-STANFORD RED</v>
      </c>
      <c r="I220" s="90">
        <v>16</v>
      </c>
      <c r="J220" s="90">
        <v>170</v>
      </c>
      <c r="K220" s="90">
        <v>169</v>
      </c>
      <c r="L220" s="90" t="str">
        <f t="shared" si="33"/>
        <v>14B-154</v>
      </c>
      <c r="N220" s="62" t="str">
        <f t="shared" si="34"/>
        <v>pt_17-20 semi</v>
      </c>
    </row>
    <row r="221" spans="1:14" ht="14.1" customHeight="1">
      <c r="A221" s="69">
        <f t="shared" si="28"/>
        <v>46228</v>
      </c>
      <c r="B221" s="70">
        <f>'CHICLETS MASTER S2'!P63</f>
        <v>0.75</v>
      </c>
      <c r="C221" s="71" t="s">
        <v>259</v>
      </c>
      <c r="D221" s="71" t="str">
        <f t="shared" si="32"/>
        <v>UC IRVINE 2</v>
      </c>
      <c r="E221" s="71">
        <v>158</v>
      </c>
      <c r="F221" s="90" t="str">
        <f>IF(G215="","W134",IF(G215&gt;I215,_xlfn.CONCAT("W134-",RIGHT(F215,LEN(F215) - FIND("-",F215))), _xlfn.CONCAT("W134-",RIGHT(H215,LEN(H215) - FIND("-",H215)))))</f>
        <v>W134-CC UNITED BLACK</v>
      </c>
      <c r="G221" s="90">
        <v>6</v>
      </c>
      <c r="H221" s="90" t="str">
        <f>IF(G216="","W138",IF(G216&gt;I216,_xlfn.CONCAT("W138-",RIGHT(F216,LEN(F216) - FIND("-",F216))), _xlfn.CONCAT("W138-",RIGHT(H216,LEN(H216) - FIND("-",H216)))))</f>
        <v>W138-DIABLO ALLIANCE A</v>
      </c>
      <c r="I221" s="90">
        <v>10</v>
      </c>
      <c r="J221" s="90">
        <v>178</v>
      </c>
      <c r="K221" s="90">
        <v>177</v>
      </c>
      <c r="L221" s="90" t="str">
        <f t="shared" si="33"/>
        <v>14B-158</v>
      </c>
      <c r="N221" s="62" t="str">
        <f t="shared" si="34"/>
        <v>pt_13-16 semi</v>
      </c>
    </row>
    <row r="222" spans="1:14" ht="14.1" customHeight="1">
      <c r="A222" s="69">
        <f t="shared" si="28"/>
        <v>46228</v>
      </c>
      <c r="B222" s="70">
        <f>'CHICLETS MASTER S2'!P64</f>
        <v>0.79166666666666696</v>
      </c>
      <c r="C222" s="71" t="s">
        <v>260</v>
      </c>
      <c r="D222" s="71" t="str">
        <f t="shared" si="32"/>
        <v>UC IRVINE 2</v>
      </c>
      <c r="E222" s="71">
        <v>162</v>
      </c>
      <c r="F222" s="90" t="str">
        <f>IF(G216="","L138",IF(G216&lt;I216,_xlfn.CONCAT("L138-",RIGHT(F216,LEN(F216) - FIND("-",F216))), _xlfn.CONCAT("L138-",RIGHT(H216,LEN(H216) - FIND("-",H216)))))</f>
        <v>L138-680 RED</v>
      </c>
      <c r="G222" s="90">
        <v>15</v>
      </c>
      <c r="H222" s="90" t="str">
        <f>IF(G215="","L134",IF(G215&lt;I215,_xlfn.CONCAT("L134-",RIGHT(F215,LEN(F215) - FIND("-",F215))), _xlfn.CONCAT("L134-",RIGHT(H215,LEN(H215) - FIND("-",H215)))))</f>
        <v>L134-VANGUARD BLUE</v>
      </c>
      <c r="I222" s="90">
        <v>22</v>
      </c>
      <c r="J222" s="90">
        <v>170</v>
      </c>
      <c r="K222" s="90">
        <v>169</v>
      </c>
      <c r="L222" s="90" t="str">
        <f>IF(E222="","",$L$15&amp;"-"&amp;TEXT(E222,"000"))</f>
        <v>14B-162</v>
      </c>
      <c r="N222" s="62" t="str">
        <f>$K$255&amp;C222</f>
        <v>pt_17-20 semi</v>
      </c>
    </row>
    <row r="223" spans="1:14" ht="14.1" customHeight="1" thickBot="1">
      <c r="A223" s="78"/>
      <c r="B223" s="329"/>
      <c r="C223" s="60"/>
      <c r="D223" s="60"/>
      <c r="E223" s="60"/>
      <c r="F223" s="60"/>
      <c r="G223" s="64"/>
      <c r="H223" s="60"/>
      <c r="I223" s="60"/>
      <c r="J223" s="60"/>
      <c r="K223" s="60"/>
      <c r="L223" s="60"/>
    </row>
    <row r="224" spans="1:14" ht="14.1" customHeight="1" thickBot="1">
      <c r="B224" s="60"/>
      <c r="C224" s="60"/>
      <c r="D224" s="68" t="str">
        <f>'CHICLETS MASTER S2'!$AO$51</f>
        <v>PORTOLA HS 1</v>
      </c>
      <c r="E224" s="60"/>
      <c r="F224" s="60"/>
      <c r="G224" s="64"/>
      <c r="H224" s="60"/>
      <c r="I224" s="60"/>
      <c r="J224" s="60"/>
      <c r="K224" s="60"/>
      <c r="L224" s="60"/>
    </row>
    <row r="225" spans="1:14" ht="14.1" customHeight="1">
      <c r="A225" s="325" t="s">
        <v>124</v>
      </c>
      <c r="B225" s="327" t="s">
        <v>125</v>
      </c>
      <c r="C225" s="327" t="s">
        <v>126</v>
      </c>
      <c r="D225" s="327" t="s">
        <v>127</v>
      </c>
      <c r="E225" s="327" t="s">
        <v>128</v>
      </c>
      <c r="F225" s="327" t="s">
        <v>129</v>
      </c>
      <c r="G225" s="327" t="s">
        <v>130</v>
      </c>
      <c r="H225" s="327" t="s">
        <v>131</v>
      </c>
      <c r="I225" s="327" t="s">
        <v>130</v>
      </c>
      <c r="J225" s="327" t="s">
        <v>132</v>
      </c>
      <c r="K225" s="327" t="s">
        <v>133</v>
      </c>
      <c r="L225" s="327" t="s">
        <v>134</v>
      </c>
    </row>
    <row r="226" spans="1:14" ht="14.1" customHeight="1">
      <c r="A226" s="69">
        <f t="shared" ref="A226:A237" si="35">$A$193</f>
        <v>46228</v>
      </c>
      <c r="B226" s="70">
        <f>'CHICLETS MASTER S2'!P53</f>
        <v>0.33333333333333331</v>
      </c>
      <c r="C226" s="71" t="s">
        <v>237</v>
      </c>
      <c r="D226" s="71" t="str">
        <f t="shared" ref="D226:D237" si="36">$D$224</f>
        <v>PORTOLA HS 1</v>
      </c>
      <c r="E226" s="71">
        <v>119</v>
      </c>
      <c r="F226" s="155" t="s">
        <v>562</v>
      </c>
      <c r="G226" s="155">
        <v>13</v>
      </c>
      <c r="H226" s="155" t="str">
        <f>IF(G189="","W112",IF(G189&gt;I189,_xlfn.CONCAT("W112-",RIGHT(F189,LEN(F189) - FIND("-",F189))), _xlfn.CONCAT("W112-",RIGHT(H189,LEN(H189) - FIND("-",H189)))))</f>
        <v>W112-GREENWICH WHITE</v>
      </c>
      <c r="I226" s="155">
        <v>9</v>
      </c>
      <c r="J226" s="155">
        <v>143</v>
      </c>
      <c r="K226" s="155">
        <v>151</v>
      </c>
      <c r="L226" s="155" t="str">
        <f t="shared" ref="L226:L237" si="37">IF(E226="","",$L$15&amp;"-"&amp;TEXT(E226,"000"))</f>
        <v>14B-119</v>
      </c>
      <c r="N226" s="62" t="str">
        <f t="shared" ref="N226:N237" si="38">$L$255&amp;C226</f>
        <v>au_5-8 v 9-12</v>
      </c>
    </row>
    <row r="227" spans="1:14" ht="14.1" customHeight="1">
      <c r="A227" s="69">
        <f t="shared" si="35"/>
        <v>46228</v>
      </c>
      <c r="B227" s="70">
        <f>'CHICLETS MASTER S2'!P54</f>
        <v>0.375</v>
      </c>
      <c r="C227" s="71" t="s">
        <v>237</v>
      </c>
      <c r="D227" s="71" t="str">
        <f t="shared" si="36"/>
        <v>PORTOLA HS 1</v>
      </c>
      <c r="E227" s="71">
        <v>123</v>
      </c>
      <c r="F227" s="155" t="s">
        <v>563</v>
      </c>
      <c r="G227" s="155">
        <v>17</v>
      </c>
      <c r="H227" s="155" t="str">
        <f>IF(G171="","W115",IF(G171&gt;I171,_xlfn.CONCAT("W115-",RIGHT(F171,LEN(F171) - FIND("-",F171))), _xlfn.CONCAT("W115-",RIGHT(H171,LEN(H171) - FIND("-",H171)))))</f>
        <v>W115-AMERICAN RIVER A</v>
      </c>
      <c r="I227" s="155">
        <v>4</v>
      </c>
      <c r="J227" s="155">
        <v>143</v>
      </c>
      <c r="K227" s="155">
        <v>151</v>
      </c>
      <c r="L227" s="155" t="str">
        <f t="shared" si="37"/>
        <v>14B-123</v>
      </c>
      <c r="N227" s="62" t="str">
        <f t="shared" si="38"/>
        <v>au_5-8 v 9-12</v>
      </c>
    </row>
    <row r="228" spans="1:14" ht="14.1" customHeight="1">
      <c r="A228" s="69">
        <f t="shared" si="35"/>
        <v>46228</v>
      </c>
      <c r="B228" s="70">
        <f>'CHICLETS MASTER S2'!P55</f>
        <v>0.41666666666666702</v>
      </c>
      <c r="C228" s="71" t="s">
        <v>237</v>
      </c>
      <c r="D228" s="71" t="str">
        <f t="shared" si="36"/>
        <v>PORTOLA HS 1</v>
      </c>
      <c r="E228" s="71">
        <v>127</v>
      </c>
      <c r="F228" s="155" t="s">
        <v>564</v>
      </c>
      <c r="G228" s="155">
        <v>13</v>
      </c>
      <c r="H228" s="155" t="str">
        <f>IF(G190="","W116",IF(G190&gt;I190,_xlfn.CONCAT("W116-",RIGHT(F190,LEN(F190) - FIND("-",F190))), _xlfn.CONCAT("W116-",RIGHT(H190,LEN(H190) - FIND("-",H190)))))</f>
        <v>W116-PUGET SOUND</v>
      </c>
      <c r="I228" s="155">
        <v>7</v>
      </c>
      <c r="J228" s="155">
        <v>147</v>
      </c>
      <c r="K228" s="155">
        <v>155</v>
      </c>
      <c r="L228" s="155" t="str">
        <f t="shared" si="37"/>
        <v>14B-127</v>
      </c>
      <c r="N228" s="62" t="str">
        <f t="shared" si="38"/>
        <v>au_5-8 v 9-12</v>
      </c>
    </row>
    <row r="229" spans="1:14" ht="14.1" customHeight="1">
      <c r="A229" s="69">
        <f t="shared" si="35"/>
        <v>46228</v>
      </c>
      <c r="B229" s="70">
        <f>'CHICLETS MASTER S2'!P56</f>
        <v>0.45833333333333298</v>
      </c>
      <c r="C229" s="71" t="s">
        <v>237</v>
      </c>
      <c r="D229" s="71" t="str">
        <f t="shared" si="36"/>
        <v>PORTOLA HS 1</v>
      </c>
      <c r="E229" s="71">
        <v>131</v>
      </c>
      <c r="F229" s="155" t="s">
        <v>565</v>
      </c>
      <c r="G229" s="155">
        <v>15</v>
      </c>
      <c r="H229" s="155" t="str">
        <f>IF(G170="","W111",IF(G170&gt;I170,_xlfn.CONCAT("W111-",RIGHT(F170,LEN(F170) - FIND("-",F170))), _xlfn.CONCAT("W111-",RIGHT(H170,LEN(H170) - FIND("-",H170)))))</f>
        <v>W111-LONGHORN</v>
      </c>
      <c r="I229" s="155">
        <v>6</v>
      </c>
      <c r="J229" s="155">
        <v>147</v>
      </c>
      <c r="K229" s="155">
        <v>155</v>
      </c>
      <c r="L229" s="155" t="str">
        <f t="shared" si="37"/>
        <v>14B-131</v>
      </c>
      <c r="N229" s="62" t="str">
        <f t="shared" si="38"/>
        <v>au_5-8 v 9-12</v>
      </c>
    </row>
    <row r="230" spans="1:14" ht="14.1" customHeight="1">
      <c r="A230" s="69">
        <f t="shared" si="35"/>
        <v>46228</v>
      </c>
      <c r="B230" s="70">
        <f>'CHICLETS MASTER S2'!P57</f>
        <v>0.5</v>
      </c>
      <c r="C230" s="71" t="s">
        <v>242</v>
      </c>
      <c r="D230" s="71" t="str">
        <f t="shared" si="36"/>
        <v>PORTOLA HS 1</v>
      </c>
      <c r="E230" s="71">
        <v>135</v>
      </c>
      <c r="F230" s="155" t="s">
        <v>566</v>
      </c>
      <c r="G230" s="155">
        <v>7</v>
      </c>
      <c r="H230" s="155" t="s">
        <v>567</v>
      </c>
      <c r="I230" s="155">
        <v>6</v>
      </c>
      <c r="J230" s="155">
        <v>172</v>
      </c>
      <c r="K230" s="155">
        <v>159</v>
      </c>
      <c r="L230" s="155" t="str">
        <f t="shared" si="37"/>
        <v>14B-135</v>
      </c>
      <c r="N230" s="62" t="str">
        <f t="shared" si="38"/>
        <v>au_1-2 v 3-4</v>
      </c>
    </row>
    <row r="231" spans="1:14" ht="14.1" customHeight="1">
      <c r="A231" s="69">
        <f t="shared" si="35"/>
        <v>46228</v>
      </c>
      <c r="B231" s="70">
        <f>'CHICLETS MASTER S2'!P58</f>
        <v>0.54166666666666696</v>
      </c>
      <c r="C231" s="71" t="s">
        <v>242</v>
      </c>
      <c r="D231" s="71" t="str">
        <f t="shared" si="36"/>
        <v>PORTOLA HS 1</v>
      </c>
      <c r="E231" s="71">
        <v>139</v>
      </c>
      <c r="F231" s="155" t="s">
        <v>568</v>
      </c>
      <c r="G231" s="155">
        <v>13</v>
      </c>
      <c r="H231" s="155" t="s">
        <v>569</v>
      </c>
      <c r="I231" s="155">
        <v>5</v>
      </c>
      <c r="J231" s="155">
        <v>171</v>
      </c>
      <c r="K231" s="155">
        <v>163</v>
      </c>
      <c r="L231" s="155" t="str">
        <f t="shared" si="37"/>
        <v>14B-139</v>
      </c>
      <c r="N231" s="62" t="str">
        <f t="shared" si="38"/>
        <v>au_1-2 v 3-4</v>
      </c>
    </row>
    <row r="232" spans="1:14" ht="14.1" customHeight="1">
      <c r="A232" s="69">
        <f t="shared" si="35"/>
        <v>46228</v>
      </c>
      <c r="B232" s="70">
        <f>'CHICLETS MASTER S2'!P59</f>
        <v>0.58333333333333304</v>
      </c>
      <c r="C232" s="71" t="s">
        <v>247</v>
      </c>
      <c r="D232" s="71" t="str">
        <f t="shared" si="36"/>
        <v>PORTOLA HS 1</v>
      </c>
      <c r="E232" s="71">
        <v>143</v>
      </c>
      <c r="F232" s="155" t="str">
        <f>IF(G226="","W119",IF(G226&gt;I226,_xlfn.CONCAT("W119-",RIGHT(F226,LEN(F226) - FIND("-",F226))), _xlfn.CONCAT("W119-",RIGHT(H226,LEN(H226) - FIND("-",H226)))))</f>
        <v>W119-CLOVIS</v>
      </c>
      <c r="G232" s="155">
        <v>5</v>
      </c>
      <c r="H232" s="155" t="str">
        <f>IF(G227="","W123",IF(G227&gt;I227,_xlfn.CONCAT("W123-",RIGHT(F227,LEN(F227) - FIND("-",F227))), _xlfn.CONCAT("W123-",RIGHT(H227,LEN(H227) - FIND("-",H227)))))</f>
        <v>W123-CC UNITED BLUE</v>
      </c>
      <c r="I232" s="155">
        <v>8</v>
      </c>
      <c r="J232" s="155">
        <v>159</v>
      </c>
      <c r="K232" s="155">
        <v>188</v>
      </c>
      <c r="L232" s="155" t="str">
        <f t="shared" si="37"/>
        <v>14B-143</v>
      </c>
      <c r="N232" s="62" t="str">
        <f t="shared" si="38"/>
        <v>au_5-6 v 7-8</v>
      </c>
    </row>
    <row r="233" spans="1:14" ht="14.1" customHeight="1">
      <c r="A233" s="69">
        <f t="shared" si="35"/>
        <v>46228</v>
      </c>
      <c r="B233" s="70">
        <f>'CHICLETS MASTER S2'!P60</f>
        <v>0.625</v>
      </c>
      <c r="C233" s="71" t="s">
        <v>247</v>
      </c>
      <c r="D233" s="71" t="str">
        <f t="shared" si="36"/>
        <v>PORTOLA HS 1</v>
      </c>
      <c r="E233" s="71">
        <v>147</v>
      </c>
      <c r="F233" s="155" t="str">
        <f>IF(G228="","W127",IF(G228&gt;I228,_xlfn.CONCAT("W127-",RIGHT(F228,LEN(F228) - FIND("-",F228))), _xlfn.CONCAT("W127-",RIGHT(H228,LEN(H228) - FIND("-",H228)))))</f>
        <v>W127-NORTHWEST</v>
      </c>
      <c r="G233" s="155">
        <v>4</v>
      </c>
      <c r="H233" s="155" t="str">
        <f>IF(G229="","W131",IF(G229&gt;I229,_xlfn.CONCAT("W131-",RIGHT(F229,LEN(F229) - FIND("-",F229))), _xlfn.CONCAT("W131-",RIGHT(H229,LEN(H229) - FIND("-",H229)))))</f>
        <v>W131-PEGASUS</v>
      </c>
      <c r="I233" s="155">
        <v>16</v>
      </c>
      <c r="J233" s="155">
        <v>163</v>
      </c>
      <c r="K233" s="155">
        <v>188</v>
      </c>
      <c r="L233" s="155" t="str">
        <f t="shared" si="37"/>
        <v>14B-147</v>
      </c>
      <c r="N233" s="62" t="str">
        <f t="shared" si="38"/>
        <v>au_5-6 v 7-8</v>
      </c>
    </row>
    <row r="234" spans="1:14" ht="14.1" customHeight="1">
      <c r="A234" s="69">
        <f t="shared" si="35"/>
        <v>46228</v>
      </c>
      <c r="B234" s="70">
        <f>'CHICLETS MASTER S2'!P61</f>
        <v>0.66666666666666696</v>
      </c>
      <c r="C234" s="71" t="s">
        <v>248</v>
      </c>
      <c r="D234" s="71" t="str">
        <f t="shared" si="36"/>
        <v>PORTOLA HS 1</v>
      </c>
      <c r="E234" s="71">
        <v>151</v>
      </c>
      <c r="F234" s="155" t="str">
        <f>IF(G227="","L123",IF(G227&lt;I227,_xlfn.CONCAT("L123-",RIGHT(F227,LEN(F227) - FIND("-",F227))), _xlfn.CONCAT("L123-",RIGHT(H227,LEN(H227) - FIND("-",H227)))))</f>
        <v>L123-AMERICAN RIVER A</v>
      </c>
      <c r="G234" s="155">
        <v>8</v>
      </c>
      <c r="H234" s="155" t="str">
        <f>IF(G226="","L119",IF(G226&lt;I226,_xlfn.CONCAT("L119-",RIGHT(F226,LEN(F226) - FIND("-",F226))), _xlfn.CONCAT("L119-",RIGHT(H226,LEN(H226) - FIND("-",H226)))))</f>
        <v>L119-GREENWICH WHITE</v>
      </c>
      <c r="I234" s="155">
        <v>11</v>
      </c>
      <c r="J234" s="155">
        <v>183</v>
      </c>
      <c r="K234" s="155">
        <v>184</v>
      </c>
      <c r="L234" s="155" t="str">
        <f t="shared" si="37"/>
        <v>14B-151</v>
      </c>
      <c r="N234" s="62" t="str">
        <f t="shared" si="38"/>
        <v>au_9-12 semi</v>
      </c>
    </row>
    <row r="235" spans="1:14" ht="14.1" customHeight="1">
      <c r="A235" s="69">
        <f t="shared" si="35"/>
        <v>46228</v>
      </c>
      <c r="B235" s="70">
        <f>'CHICLETS MASTER S2'!P62</f>
        <v>0.70833333333333304</v>
      </c>
      <c r="C235" s="71" t="s">
        <v>248</v>
      </c>
      <c r="D235" s="71" t="str">
        <f t="shared" si="36"/>
        <v>PORTOLA HS 1</v>
      </c>
      <c r="E235" s="71">
        <v>155</v>
      </c>
      <c r="F235" s="155" t="str">
        <f>IF(G229="","L131",IF(G229&lt;I229,_xlfn.CONCAT("L131-",RIGHT(F229,LEN(F229) - FIND("-",F229))), _xlfn.CONCAT("L131-",RIGHT(H229,LEN(H229) - FIND("-",H229)))))</f>
        <v>L131-LONGHORN</v>
      </c>
      <c r="G235" s="155">
        <v>11</v>
      </c>
      <c r="H235" s="155" t="str">
        <f>IF(G228="","L127",IF(G228&lt;I228,_xlfn.CONCAT("L127-",RIGHT(F228,LEN(F228) - FIND("-",F228))), _xlfn.CONCAT("L127-",RIGHT(H228,LEN(H228) - FIND("-",H228)))))</f>
        <v>L127-PUGET SOUND</v>
      </c>
      <c r="I235" s="155">
        <v>6</v>
      </c>
      <c r="J235" s="155">
        <v>183</v>
      </c>
      <c r="K235" s="155">
        <v>184</v>
      </c>
      <c r="L235" s="155" t="str">
        <f t="shared" si="37"/>
        <v>14B-155</v>
      </c>
      <c r="N235" s="62" t="str">
        <f t="shared" si="38"/>
        <v>au_9-12 semi</v>
      </c>
    </row>
    <row r="236" spans="1:14" ht="14.1" customHeight="1">
      <c r="A236" s="69">
        <f t="shared" si="35"/>
        <v>46228</v>
      </c>
      <c r="B236" s="70">
        <f>'CHICLETS MASTER S2'!P63</f>
        <v>0.75</v>
      </c>
      <c r="C236" s="71" t="s">
        <v>439</v>
      </c>
      <c r="D236" s="71" t="str">
        <f t="shared" si="36"/>
        <v>PORTOLA HS 1</v>
      </c>
      <c r="E236" s="71">
        <v>159</v>
      </c>
      <c r="F236" s="155" t="str">
        <f>IF(G230="","L135",IF(G230&lt;I230,_xlfn.CONCAT("L135-",RIGHT(F230,LEN(F230) - FIND("-",F230))), _xlfn.CONCAT("L135-",RIGHT(H230,LEN(H230) - FIND("-",H230)))))</f>
        <v>L135-SD DONS 13A GOLD</v>
      </c>
      <c r="G236" s="155">
        <v>13</v>
      </c>
      <c r="H236" s="155" t="str">
        <f>IF(G232="","W143",IF(G232&gt;I232,_xlfn.CONCAT("W143-",RIGHT(F232,LEN(F232) - FIND("-",F232))), _xlfn.CONCAT("W143-",RIGHT(H232,LEN(H232) - FIND("-",H232)))))</f>
        <v>W143-CC UNITED BLUE</v>
      </c>
      <c r="I236" s="156">
        <v>6</v>
      </c>
      <c r="J236" s="155">
        <v>171</v>
      </c>
      <c r="K236" s="155">
        <v>187</v>
      </c>
      <c r="L236" s="155" t="str">
        <f t="shared" si="37"/>
        <v>14B-159</v>
      </c>
      <c r="N236" s="62" t="str">
        <f t="shared" si="38"/>
        <v>au_play to semi</v>
      </c>
    </row>
    <row r="237" spans="1:14" ht="14.1" customHeight="1">
      <c r="A237" s="69">
        <f t="shared" si="35"/>
        <v>46228</v>
      </c>
      <c r="B237" s="70">
        <f>'CHICLETS MASTER S2'!P64</f>
        <v>0.79166666666666696</v>
      </c>
      <c r="C237" s="71" t="s">
        <v>439</v>
      </c>
      <c r="D237" s="71" t="str">
        <f t="shared" si="36"/>
        <v>PORTOLA HS 1</v>
      </c>
      <c r="E237" s="71">
        <v>163</v>
      </c>
      <c r="F237" s="155" t="str">
        <f>IF(G231="","L139",IF(G231&lt;I231,_xlfn.CONCAT("L139-",RIGHT(F231,LEN(F231) - FIND("-",F231))), _xlfn.CONCAT("L139-",RIGHT(H231,LEN(H231) - FIND("-",H231)))))</f>
        <v>L139-SANTA BARBARA WPC A</v>
      </c>
      <c r="G237" s="155">
        <v>20</v>
      </c>
      <c r="H237" s="155" t="str">
        <f>IF(G233="","W147",IF(G233&gt;I233,_xlfn.CONCAT("W147-",RIGHT(F233,LEN(F233) - FIND("-",F233))), _xlfn.CONCAT("W147-",RIGHT(H233,LEN(H233) - FIND("-",H233)))))</f>
        <v>W147-PEGASUS</v>
      </c>
      <c r="I237" s="155">
        <v>13</v>
      </c>
      <c r="J237" s="155">
        <v>172</v>
      </c>
      <c r="K237" s="155">
        <v>187</v>
      </c>
      <c r="L237" s="155" t="str">
        <f t="shared" si="37"/>
        <v>14B-163</v>
      </c>
      <c r="N237" s="62" t="str">
        <f t="shared" si="38"/>
        <v>au_play to semi</v>
      </c>
    </row>
    <row r="238" spans="1:14" ht="14.1" customHeight="1" thickBot="1">
      <c r="G238" s="62"/>
    </row>
    <row r="239" spans="1:14" ht="14.1" customHeight="1" thickBot="1">
      <c r="A239" s="78"/>
      <c r="B239" s="79"/>
      <c r="C239" s="60"/>
      <c r="D239" s="68" t="str">
        <f>'CHICLETS MASTER S2'!$S$51</f>
        <v>EL MODENA HS</v>
      </c>
      <c r="E239" s="60"/>
      <c r="F239" s="60"/>
      <c r="G239" s="64"/>
      <c r="H239" s="60"/>
      <c r="I239" s="60"/>
      <c r="J239" s="60"/>
      <c r="K239" s="60"/>
      <c r="L239" s="60"/>
    </row>
    <row r="240" spans="1:14" ht="14.1" customHeight="1">
      <c r="A240" s="325" t="s">
        <v>124</v>
      </c>
      <c r="B240" s="327" t="s">
        <v>125</v>
      </c>
      <c r="C240" s="327" t="s">
        <v>126</v>
      </c>
      <c r="D240" s="327" t="s">
        <v>127</v>
      </c>
      <c r="E240" s="327" t="s">
        <v>128</v>
      </c>
      <c r="F240" s="327" t="s">
        <v>129</v>
      </c>
      <c r="G240" s="327" t="s">
        <v>130</v>
      </c>
      <c r="H240" s="327" t="s">
        <v>131</v>
      </c>
      <c r="I240" s="327" t="s">
        <v>130</v>
      </c>
      <c r="J240" s="327" t="s">
        <v>132</v>
      </c>
      <c r="K240" s="327" t="s">
        <v>133</v>
      </c>
      <c r="L240" s="327" t="s">
        <v>134</v>
      </c>
    </row>
    <row r="241" spans="1:14" ht="14.1" customHeight="1">
      <c r="A241" s="69">
        <f t="shared" ref="A241:A252" si="39">$A$193</f>
        <v>46228</v>
      </c>
      <c r="B241" s="70">
        <f>'CHICLETS MASTER S2'!P53</f>
        <v>0.33333333333333331</v>
      </c>
      <c r="C241" s="71" t="s">
        <v>249</v>
      </c>
      <c r="D241" s="71" t="str">
        <f t="shared" ref="D241:D252" si="40">$D$239</f>
        <v>EL MODENA HS</v>
      </c>
      <c r="E241" s="71">
        <v>120</v>
      </c>
      <c r="F241" s="155" t="s">
        <v>570</v>
      </c>
      <c r="G241" s="155">
        <v>2</v>
      </c>
      <c r="H241" s="155" t="s">
        <v>571</v>
      </c>
      <c r="I241" s="155">
        <v>11</v>
      </c>
      <c r="J241" s="155"/>
      <c r="K241" s="155"/>
      <c r="L241" s="155" t="str">
        <f t="shared" ref="L241:L252" si="41">IF(E241="","",$L$15&amp;"-"&amp;TEXT(E241,"000"))</f>
        <v>14B-120</v>
      </c>
      <c r="N241" s="62" t="str">
        <f t="shared" ref="N241:N252" si="42">$L$255&amp;C241</f>
        <v>au_21-24 RR</v>
      </c>
    </row>
    <row r="242" spans="1:14" ht="14.1" customHeight="1">
      <c r="A242" s="69">
        <f t="shared" si="39"/>
        <v>46228</v>
      </c>
      <c r="B242" s="70">
        <f>'CHICLETS MASTER S2'!P54</f>
        <v>0.375</v>
      </c>
      <c r="C242" s="71" t="s">
        <v>249</v>
      </c>
      <c r="D242" s="71" t="str">
        <f t="shared" si="40"/>
        <v>EL MODENA HS</v>
      </c>
      <c r="E242" s="71">
        <v>124</v>
      </c>
      <c r="F242" s="155" t="s">
        <v>572</v>
      </c>
      <c r="G242" s="155">
        <v>7</v>
      </c>
      <c r="H242" s="155" t="s">
        <v>573</v>
      </c>
      <c r="I242" s="155">
        <v>2</v>
      </c>
      <c r="J242" s="155"/>
      <c r="K242" s="155"/>
      <c r="L242" s="155" t="str">
        <f t="shared" si="41"/>
        <v>14B-124</v>
      </c>
      <c r="N242" s="62" t="str">
        <f t="shared" si="42"/>
        <v>au_21-24 RR</v>
      </c>
    </row>
    <row r="243" spans="1:14" ht="14.1" customHeight="1">
      <c r="A243" s="69">
        <f t="shared" si="39"/>
        <v>46228</v>
      </c>
      <c r="B243" s="70">
        <f>'CHICLETS MASTER S2'!P55</f>
        <v>0.41666666666666702</v>
      </c>
      <c r="C243" s="71" t="s">
        <v>254</v>
      </c>
      <c r="D243" s="71" t="str">
        <f t="shared" si="40"/>
        <v>EL MODENA HS</v>
      </c>
      <c r="E243" s="71">
        <v>128</v>
      </c>
      <c r="F243" s="155" t="str">
        <f>IF(G171="","L115",IF(G171&lt;I171,_xlfn.CONCAT("L115-",RIGHT(F171,LEN(F171) - FIND("-",F171))), _xlfn.CONCAT("L115-",RIGHT(H171,LEN(H171) - FIND("-",H171)))))</f>
        <v>L115-TEXAS THUNDER</v>
      </c>
      <c r="G243" s="155">
        <v>15</v>
      </c>
      <c r="H243" s="155" t="s">
        <v>574</v>
      </c>
      <c r="I243" s="155">
        <v>6</v>
      </c>
      <c r="J243" s="155">
        <v>152</v>
      </c>
      <c r="K243" s="155">
        <v>156</v>
      </c>
      <c r="L243" s="155" t="str">
        <f t="shared" si="41"/>
        <v>14B-128</v>
      </c>
      <c r="N243" s="62" t="str">
        <f t="shared" si="42"/>
        <v>au_13-20 qtr</v>
      </c>
    </row>
    <row r="244" spans="1:14" ht="14.1" customHeight="1">
      <c r="A244" s="69">
        <f t="shared" si="39"/>
        <v>46228</v>
      </c>
      <c r="B244" s="70">
        <f>'CHICLETS MASTER S2'!P56</f>
        <v>0.45833333333333298</v>
      </c>
      <c r="C244" s="71" t="s">
        <v>254</v>
      </c>
      <c r="D244" s="71" t="str">
        <f t="shared" si="40"/>
        <v>EL MODENA HS</v>
      </c>
      <c r="E244" s="71">
        <v>132</v>
      </c>
      <c r="F244" s="155" t="str">
        <f>IF(G190="","L116",IF(G190&lt;I190,_xlfn.CONCAT("L116-",RIGHT(F190,LEN(F190) - FIND("-",F190))), _xlfn.CONCAT("L116-",RIGHT(H190,LEN(H190) - FIND("-",H190)))))</f>
        <v>L116-KEARNS</v>
      </c>
      <c r="G244" s="155">
        <v>16</v>
      </c>
      <c r="H244" s="155" t="s">
        <v>575</v>
      </c>
      <c r="I244" s="156">
        <v>20</v>
      </c>
      <c r="J244" s="155">
        <v>152</v>
      </c>
      <c r="K244" s="155">
        <v>156</v>
      </c>
      <c r="L244" s="155" t="str">
        <f t="shared" si="41"/>
        <v>14B-132</v>
      </c>
      <c r="N244" s="62" t="str">
        <f t="shared" si="42"/>
        <v>au_13-20 qtr</v>
      </c>
    </row>
    <row r="245" spans="1:14" ht="14.1" customHeight="1">
      <c r="A245" s="69">
        <f t="shared" si="39"/>
        <v>46228</v>
      </c>
      <c r="B245" s="70">
        <f>'CHICLETS MASTER S2'!P57</f>
        <v>0.5</v>
      </c>
      <c r="C245" s="71" t="s">
        <v>254</v>
      </c>
      <c r="D245" s="71" t="str">
        <f t="shared" si="40"/>
        <v>EL MODENA HS</v>
      </c>
      <c r="E245" s="71">
        <v>136</v>
      </c>
      <c r="F245" s="155" t="str">
        <f>IF(G170="","L111",IF(G170&lt;I170,_xlfn.CONCAT("L111-",RIGHT(F170,LEN(F170) - FIND("-",F170))), _xlfn.CONCAT("L111-",RIGHT(H170,LEN(H170) - FIND("-",H170)))))</f>
        <v>L111-NIPC</v>
      </c>
      <c r="G245" s="155">
        <v>11</v>
      </c>
      <c r="H245" s="155" t="s">
        <v>576</v>
      </c>
      <c r="I245" s="155">
        <v>12</v>
      </c>
      <c r="J245" s="155">
        <v>160</v>
      </c>
      <c r="K245" s="155">
        <v>164</v>
      </c>
      <c r="L245" s="155" t="str">
        <f t="shared" si="41"/>
        <v>14B-136</v>
      </c>
      <c r="N245" s="62" t="str">
        <f t="shared" si="42"/>
        <v>au_13-20 qtr</v>
      </c>
    </row>
    <row r="246" spans="1:14" ht="14.1" customHeight="1">
      <c r="A246" s="69">
        <f t="shared" si="39"/>
        <v>46228</v>
      </c>
      <c r="B246" s="70">
        <f>'CHICLETS MASTER S2'!P58</f>
        <v>0.54166666666666696</v>
      </c>
      <c r="C246" s="71" t="s">
        <v>254</v>
      </c>
      <c r="D246" s="71" t="str">
        <f t="shared" si="40"/>
        <v>EL MODENA HS</v>
      </c>
      <c r="E246" s="71">
        <v>140</v>
      </c>
      <c r="F246" s="155" t="str">
        <f>IF(G189="","L112",IF(G189&lt;I189,_xlfn.CONCAT("L112-",RIGHT(F189,LEN(F189) - FIND("-",F189))), _xlfn.CONCAT("L112-",RIGHT(H189,LEN(H189) - FIND("-",H189)))))</f>
        <v>L112-BARCELONA LIONS</v>
      </c>
      <c r="G246" s="155">
        <v>7</v>
      </c>
      <c r="H246" s="155" t="s">
        <v>577</v>
      </c>
      <c r="I246" s="155">
        <v>20</v>
      </c>
      <c r="J246" s="155">
        <v>160</v>
      </c>
      <c r="K246" s="155">
        <v>164</v>
      </c>
      <c r="L246" s="155" t="str">
        <f t="shared" si="41"/>
        <v>14B-140</v>
      </c>
      <c r="N246" s="62" t="str">
        <f t="shared" si="42"/>
        <v>au_13-20 qtr</v>
      </c>
    </row>
    <row r="247" spans="1:14" ht="14.1" customHeight="1">
      <c r="A247" s="69">
        <f t="shared" si="39"/>
        <v>46228</v>
      </c>
      <c r="B247" s="70">
        <f>'CHICLETS MASTER S2'!P59</f>
        <v>0.58333333333333304</v>
      </c>
      <c r="C247" s="71" t="s">
        <v>249</v>
      </c>
      <c r="D247" s="71" t="str">
        <f t="shared" si="40"/>
        <v>EL MODENA HS</v>
      </c>
      <c r="E247" s="71">
        <v>144</v>
      </c>
      <c r="F247" s="155" t="s">
        <v>570</v>
      </c>
      <c r="G247" s="155">
        <v>3</v>
      </c>
      <c r="H247" s="155" t="s">
        <v>573</v>
      </c>
      <c r="I247" s="156">
        <v>10</v>
      </c>
      <c r="J247" s="155"/>
      <c r="K247" s="155"/>
      <c r="L247" s="155" t="str">
        <f t="shared" si="41"/>
        <v>14B-144</v>
      </c>
      <c r="N247" s="62" t="str">
        <f t="shared" si="42"/>
        <v>au_21-24 RR</v>
      </c>
    </row>
    <row r="248" spans="1:14" ht="14.1" customHeight="1">
      <c r="A248" s="69">
        <f t="shared" si="39"/>
        <v>46228</v>
      </c>
      <c r="B248" s="70">
        <f>'CHICLETS MASTER S2'!P60</f>
        <v>0.625</v>
      </c>
      <c r="C248" s="71" t="s">
        <v>249</v>
      </c>
      <c r="D248" s="71" t="str">
        <f t="shared" si="40"/>
        <v>EL MODENA HS</v>
      </c>
      <c r="E248" s="71">
        <v>148</v>
      </c>
      <c r="F248" s="165" t="s">
        <v>572</v>
      </c>
      <c r="G248" s="155">
        <v>4</v>
      </c>
      <c r="H248" s="155" t="s">
        <v>571</v>
      </c>
      <c r="I248" s="155">
        <v>10</v>
      </c>
      <c r="J248" s="155"/>
      <c r="K248" s="155"/>
      <c r="L248" s="155" t="str">
        <f t="shared" si="41"/>
        <v>14B-148</v>
      </c>
      <c r="N248" s="62" t="str">
        <f t="shared" si="42"/>
        <v>au_21-24 RR</v>
      </c>
    </row>
    <row r="249" spans="1:14" ht="14.1" customHeight="1">
      <c r="A249" s="69">
        <f t="shared" si="39"/>
        <v>46228</v>
      </c>
      <c r="B249" s="70">
        <f>'CHICLETS MASTER S2'!P61</f>
        <v>0.66666666666666696</v>
      </c>
      <c r="C249" s="71" t="s">
        <v>259</v>
      </c>
      <c r="D249" s="71" t="str">
        <f t="shared" si="40"/>
        <v>EL MODENA HS</v>
      </c>
      <c r="E249" s="94">
        <v>152</v>
      </c>
      <c r="F249" s="158" t="str">
        <f>IF(G243="","W128",IF(G243&gt;I243,_xlfn.CONCAT("W128-",RIGHT(F243,LEN(F243) - FIND("-",F243))), _xlfn.CONCAT("W128-",RIGHT(H243,LEN(H243) - FIND("-",H243)))))</f>
        <v>W128-TEXAS THUNDER</v>
      </c>
      <c r="G249" s="159">
        <v>11</v>
      </c>
      <c r="H249" s="155" t="str">
        <f>IF(G244="","W132",IF(G244&gt;I244,_xlfn.CONCAT("W132-",RIGHT(F244,LEN(F244) - FIND("-",F244))), _xlfn.CONCAT("W132-",RIGHT(H244,LEN(H244) - FIND("-",H244)))))</f>
        <v>W132-COLORADO</v>
      </c>
      <c r="I249" s="155">
        <v>5</v>
      </c>
      <c r="J249" s="155">
        <v>179</v>
      </c>
      <c r="K249" s="155">
        <v>180</v>
      </c>
      <c r="L249" s="155" t="str">
        <f t="shared" si="41"/>
        <v>14B-152</v>
      </c>
      <c r="N249" s="62" t="str">
        <f t="shared" si="42"/>
        <v>au_13-16 semi</v>
      </c>
    </row>
    <row r="250" spans="1:14" ht="14.1" customHeight="1">
      <c r="A250" s="69">
        <f t="shared" si="39"/>
        <v>46228</v>
      </c>
      <c r="B250" s="70">
        <f>'CHICLETS MASTER S2'!P62</f>
        <v>0.70833333333333304</v>
      </c>
      <c r="C250" s="71" t="s">
        <v>260</v>
      </c>
      <c r="D250" s="71" t="str">
        <f t="shared" si="40"/>
        <v>EL MODENA HS</v>
      </c>
      <c r="E250" s="71">
        <v>156</v>
      </c>
      <c r="F250" s="160" t="str">
        <f>IF(G244="","L132",IF(G244&lt;I244,_xlfn.CONCAT("L132-",RIGHT(F244,LEN(F244) - FIND("-",F244))), _xlfn.CONCAT("L132-",RIGHT(H244,LEN(H244) - FIND("-",H244)))))</f>
        <v>L132-KEARNS</v>
      </c>
      <c r="G250" s="155">
        <v>18</v>
      </c>
      <c r="H250" s="155" t="str">
        <f>IF(G243="","L128",IF(G243&lt;I243,_xlfn.CONCAT("L128-",RIGHT(F243,LEN(F243) - FIND("-",F243))), _xlfn.CONCAT("L128-",RIGHT(H243,LEN(H243) - FIND("-",H243)))))</f>
        <v>L128-PRINCETON</v>
      </c>
      <c r="I250" s="155">
        <v>5</v>
      </c>
      <c r="J250" s="155">
        <v>175</v>
      </c>
      <c r="K250" s="155">
        <v>176</v>
      </c>
      <c r="L250" s="155" t="str">
        <f t="shared" si="41"/>
        <v>14B-156</v>
      </c>
      <c r="N250" s="62" t="str">
        <f t="shared" si="42"/>
        <v>au_17-20 semi</v>
      </c>
    </row>
    <row r="251" spans="1:14" ht="14.1" customHeight="1">
      <c r="A251" s="69">
        <f t="shared" si="39"/>
        <v>46228</v>
      </c>
      <c r="B251" s="70">
        <f>'CHICLETS MASTER S2'!P63</f>
        <v>0.75</v>
      </c>
      <c r="C251" s="71" t="s">
        <v>259</v>
      </c>
      <c r="D251" s="71" t="str">
        <f t="shared" si="40"/>
        <v>EL MODENA HS</v>
      </c>
      <c r="E251" s="71">
        <v>160</v>
      </c>
      <c r="F251" s="158" t="str">
        <f>IF(G245="","W136",IF(G245&gt;I245,_xlfn.CONCAT("W136-",RIGHT(F245,LEN(F245) - FIND("-",F245))), _xlfn.CONCAT("W136-",RIGHT(H245,LEN(H245) - FIND("-",H245)))))</f>
        <v>W136-TOPAZ TSUNAMI</v>
      </c>
      <c r="G251" s="156">
        <v>8</v>
      </c>
      <c r="H251" s="155" t="str">
        <f>IF(G246="","W140",IF(G246&gt;I246,_xlfn.CONCAT("W140-",RIGHT(F246,LEN(F246) - FIND("-",F246))), _xlfn.CONCAT("W140-",RIGHT(H246,LEN(H246) - FIND("-",H246)))))</f>
        <v>W140-HONOLULU A</v>
      </c>
      <c r="I251" s="155">
        <v>14</v>
      </c>
      <c r="J251" s="155">
        <v>179</v>
      </c>
      <c r="K251" s="155">
        <v>180</v>
      </c>
      <c r="L251" s="155" t="str">
        <f t="shared" si="41"/>
        <v>14B-160</v>
      </c>
      <c r="N251" s="62" t="str">
        <f t="shared" si="42"/>
        <v>au_13-16 semi</v>
      </c>
    </row>
    <row r="252" spans="1:14" ht="14.1" customHeight="1">
      <c r="A252" s="69">
        <f t="shared" si="39"/>
        <v>46228</v>
      </c>
      <c r="B252" s="70">
        <f>'CHICLETS MASTER S2'!P64</f>
        <v>0.79166666666666696</v>
      </c>
      <c r="C252" s="71" t="s">
        <v>260</v>
      </c>
      <c r="D252" s="71" t="str">
        <f t="shared" si="40"/>
        <v>EL MODENA HS</v>
      </c>
      <c r="E252" s="71">
        <v>164</v>
      </c>
      <c r="F252" s="155" t="str">
        <f>IF(G246="","L140",IF(G246&lt;I246,_xlfn.CONCAT("L140-",RIGHT(F246,LEN(F246) - FIND("-",F246))), _xlfn.CONCAT("L140-",RIGHT(H246,LEN(H246) - FIND("-",H246)))))</f>
        <v>L140-BARCELONA LIONS</v>
      </c>
      <c r="G252" s="155">
        <v>20</v>
      </c>
      <c r="H252" s="155" t="str">
        <f>IF(G245="","L136",IF(G245&lt;I245,_xlfn.CONCAT("L136-",RIGHT(F245,LEN(F245) - FIND("-",F245))), _xlfn.CONCAT("L136-",RIGHT(H245,LEN(H245) - FIND("-",H245)))))</f>
        <v>L136-NIPC</v>
      </c>
      <c r="I252" s="155">
        <v>13</v>
      </c>
      <c r="J252" s="155">
        <v>175</v>
      </c>
      <c r="K252" s="155">
        <v>176</v>
      </c>
      <c r="L252" s="155" t="str">
        <f t="shared" si="41"/>
        <v>14B-164</v>
      </c>
      <c r="N252" s="62" t="str">
        <f t="shared" si="42"/>
        <v>au_17-20 semi</v>
      </c>
    </row>
    <row r="253" spans="1:14" ht="14.1" customHeight="1" thickBot="1">
      <c r="A253" s="78"/>
      <c r="B253" s="79"/>
      <c r="C253" s="60"/>
      <c r="D253" s="60"/>
      <c r="E253" s="60"/>
      <c r="F253" s="60"/>
      <c r="G253" s="64"/>
      <c r="H253" s="60"/>
      <c r="I253" s="60"/>
      <c r="J253" s="60"/>
      <c r="K253" s="60"/>
      <c r="L253" s="60"/>
    </row>
    <row r="254" spans="1:14" ht="14.1" customHeight="1" thickTop="1" thickBot="1">
      <c r="A254" s="68" t="s">
        <v>267</v>
      </c>
      <c r="B254" s="82"/>
      <c r="C254" s="82"/>
      <c r="D254" s="82"/>
      <c r="E254" s="82"/>
      <c r="F254" s="82"/>
      <c r="G254" s="83"/>
      <c r="H254" s="82"/>
      <c r="I254" s="82"/>
      <c r="J254" s="82"/>
      <c r="K254" s="82"/>
      <c r="L254" s="82"/>
    </row>
    <row r="255" spans="1:14" ht="14.1" customHeight="1" thickBot="1">
      <c r="A255" s="61">
        <v>46229</v>
      </c>
      <c r="G255" s="62"/>
      <c r="K255" s="62" t="s">
        <v>232</v>
      </c>
      <c r="L255" s="62" t="s">
        <v>233</v>
      </c>
    </row>
    <row r="256" spans="1:14" ht="14.1" customHeight="1" thickBot="1">
      <c r="A256" s="60"/>
      <c r="B256" s="60"/>
      <c r="C256" s="60"/>
      <c r="D256" s="65" t="str">
        <f>'CHICLETS MASTER S2'!$R$72</f>
        <v>UC IRVINE 2</v>
      </c>
      <c r="E256" s="60"/>
      <c r="F256" s="60"/>
      <c r="G256" s="64"/>
      <c r="H256" s="60"/>
      <c r="I256" s="64"/>
      <c r="J256" s="60"/>
      <c r="K256" s="60"/>
      <c r="L256" s="60"/>
    </row>
    <row r="257" spans="1:14" ht="14.1" customHeight="1">
      <c r="A257" s="325" t="s">
        <v>124</v>
      </c>
      <c r="B257" s="327" t="s">
        <v>125</v>
      </c>
      <c r="C257" s="327" t="s">
        <v>126</v>
      </c>
      <c r="D257" s="327" t="s">
        <v>127</v>
      </c>
      <c r="E257" s="327" t="s">
        <v>128</v>
      </c>
      <c r="F257" s="327" t="s">
        <v>129</v>
      </c>
      <c r="G257" s="327" t="s">
        <v>130</v>
      </c>
      <c r="H257" s="327" t="s">
        <v>131</v>
      </c>
      <c r="I257" s="327" t="s">
        <v>130</v>
      </c>
      <c r="J257" s="327" t="s">
        <v>132</v>
      </c>
      <c r="K257" s="327" t="s">
        <v>133</v>
      </c>
      <c r="L257" s="327" t="s">
        <v>134</v>
      </c>
    </row>
    <row r="258" spans="1:14" ht="14.1" customHeight="1">
      <c r="A258" s="69">
        <f t="shared" ref="A258:A281" si="43">$A$255</f>
        <v>46229</v>
      </c>
      <c r="B258" s="70">
        <f>'CHICLETS MASTER S2'!P73</f>
        <v>0.29166666666666669</v>
      </c>
      <c r="C258" s="71" t="s">
        <v>249</v>
      </c>
      <c r="D258" s="71" t="str">
        <f t="shared" ref="D258:D263" si="44">$D$256</f>
        <v>UC IRVINE 2</v>
      </c>
      <c r="E258" s="71">
        <v>165</v>
      </c>
      <c r="F258" s="90" t="s">
        <v>556</v>
      </c>
      <c r="G258" s="93">
        <v>8</v>
      </c>
      <c r="H258" s="90" t="s">
        <v>554</v>
      </c>
      <c r="I258" s="93">
        <v>14</v>
      </c>
      <c r="J258" s="90"/>
      <c r="K258" s="90"/>
      <c r="L258" s="90" t="str">
        <f t="shared" ref="L258:L263" si="45">$L$15&amp;"-"&amp;TEXT(E258,"000")</f>
        <v>14B-165</v>
      </c>
      <c r="N258" s="62" t="str">
        <f t="shared" ref="N258:N263" si="46">$K$255&amp;C258</f>
        <v>pt_21-24 RR</v>
      </c>
    </row>
    <row r="259" spans="1:14" ht="14.1" customHeight="1">
      <c r="A259" s="69">
        <f t="shared" si="43"/>
        <v>46229</v>
      </c>
      <c r="B259" s="70">
        <f>'CHICLETS MASTER S2'!P74</f>
        <v>0.33333333333333298</v>
      </c>
      <c r="C259" s="71" t="s">
        <v>249</v>
      </c>
      <c r="D259" s="71" t="str">
        <f t="shared" si="44"/>
        <v>UC IRVINE 2</v>
      </c>
      <c r="E259" s="71">
        <v>166</v>
      </c>
      <c r="F259" s="90" t="s">
        <v>555</v>
      </c>
      <c r="G259" s="93">
        <v>8</v>
      </c>
      <c r="H259" s="90" t="s">
        <v>557</v>
      </c>
      <c r="I259" s="93">
        <v>10</v>
      </c>
      <c r="J259" s="90"/>
      <c r="K259" s="90"/>
      <c r="L259" s="90" t="str">
        <f t="shared" si="45"/>
        <v>14B-166</v>
      </c>
      <c r="N259" s="62" t="str">
        <f t="shared" si="46"/>
        <v>pt_21-24 RR</v>
      </c>
    </row>
    <row r="260" spans="1:14" ht="14.1" customHeight="1">
      <c r="A260" s="69">
        <f>$A$255</f>
        <v>46229</v>
      </c>
      <c r="B260" s="70">
        <f>'CHICLETS MASTER S2'!P75</f>
        <v>0.375</v>
      </c>
      <c r="C260" s="71" t="s">
        <v>272</v>
      </c>
      <c r="D260" s="71" t="str">
        <f t="shared" si="44"/>
        <v>UC IRVINE 2</v>
      </c>
      <c r="E260" s="71">
        <v>186</v>
      </c>
      <c r="F260" s="90" t="str">
        <f>IF(G206="","L157",IF(G206&lt;I206,_xlfn.CONCAT("L157-",RIGHT(F206,LEN(F206) - FIND("-",F206))), _xlfn.CONCAT("L157-",RIGHT(H206,LEN(H206) - FIND("-",H206)))))</f>
        <v>L157-MISSION A</v>
      </c>
      <c r="G260" s="93">
        <v>12</v>
      </c>
      <c r="H260" s="90" t="str">
        <f>IF(G207="","L161",IF(G207&lt;I207,_xlfn.CONCAT("L161-",RIGHT(F207,LEN(F207) - FIND("-",F207))), _xlfn.CONCAT("L161-",RIGHT(H207,LEN(H207) - FIND("-",H207)))))</f>
        <v>L161-NORCAL BLACK</v>
      </c>
      <c r="I260" s="93">
        <v>6</v>
      </c>
      <c r="J260" s="90" t="s">
        <v>273</v>
      </c>
      <c r="K260" s="90" t="s">
        <v>274</v>
      </c>
      <c r="L260" s="90" t="str">
        <f>$L$15&amp;"-"&amp;TEXT(E260,"000")</f>
        <v>14B-186</v>
      </c>
      <c r="N260" s="62" t="str">
        <f>$K$255&amp;C260</f>
        <v>pt_5th</v>
      </c>
    </row>
    <row r="261" spans="1:14" ht="14.1" customHeight="1">
      <c r="A261" s="69">
        <f t="shared" si="43"/>
        <v>46229</v>
      </c>
      <c r="B261" s="70">
        <f>'CHICLETS MASTER S2'!P76</f>
        <v>0.41666666666666702</v>
      </c>
      <c r="C261" s="71" t="s">
        <v>269</v>
      </c>
      <c r="D261" s="71" t="str">
        <f t="shared" si="44"/>
        <v>UC IRVINE 2</v>
      </c>
      <c r="E261" s="71">
        <v>185</v>
      </c>
      <c r="F261" s="90" t="str">
        <f>IF(G202="","L141",IF(G202&lt;I202,_xlfn.CONCAT("L141-",RIGHT(F202,LEN(F202) - FIND("-",F202))), _xlfn.CONCAT("L141-",RIGHT(H202,LEN(H202) - FIND("-",H202)))))</f>
        <v>L141-PATRIOT NAVY</v>
      </c>
      <c r="G261" s="93">
        <v>18</v>
      </c>
      <c r="H261" s="90" t="str">
        <f>IF(G203="","L145",IF(G203&lt;I203,_xlfn.CONCAT("L145-",RIGHT(F203,LEN(F203) - FIND("-",F203))), _xlfn.CONCAT("L145-",RIGHT(H203,LEN(H203) - FIND("-",H203)))))</f>
        <v>L145-LA PREMIER BLACK</v>
      </c>
      <c r="I261" s="93">
        <v>13</v>
      </c>
      <c r="J261" s="90" t="s">
        <v>270</v>
      </c>
      <c r="K261" s="90" t="s">
        <v>271</v>
      </c>
      <c r="L261" s="90" t="str">
        <f t="shared" si="45"/>
        <v>14B-185</v>
      </c>
      <c r="N261" s="62" t="str">
        <f t="shared" si="46"/>
        <v>pt_7th</v>
      </c>
    </row>
    <row r="262" spans="1:14" ht="14.1" customHeight="1">
      <c r="A262" s="69">
        <f t="shared" si="43"/>
        <v>46229</v>
      </c>
      <c r="B262" s="70">
        <f>'CHICLETS MASTER S2'!P77</f>
        <v>0.45833333333333298</v>
      </c>
      <c r="C262" s="71" t="s">
        <v>281</v>
      </c>
      <c r="D262" s="71" t="str">
        <f t="shared" si="44"/>
        <v>UC IRVINE 2</v>
      </c>
      <c r="E262" s="71">
        <v>182</v>
      </c>
      <c r="F262" s="90" t="str">
        <f>IF(G204="","W149",IF(G204&gt;I204,_xlfn.CONCAT("W149-",RIGHT(F204,LEN(F204) - FIND("-",F204))), _xlfn.CONCAT("W149-",RIGHT(H204,LEN(H204) - FIND("-",H204)))))</f>
        <v>W149-LAMORINDA A</v>
      </c>
      <c r="G262" s="93">
        <v>11</v>
      </c>
      <c r="H262" s="90" t="str">
        <f>IF(G205="","W153",IF(G205&gt;I205,_xlfn.CONCAT("W153-",RIGHT(F205,LEN(F205) - FIND("-",F205))), _xlfn.CONCAT("W153-",RIGHT(H205,LEN(H205) - FIND("-",H205)))))</f>
        <v>W153-COMMERCE</v>
      </c>
      <c r="I262" s="93">
        <v>9</v>
      </c>
      <c r="J262" s="90" t="s">
        <v>282</v>
      </c>
      <c r="K262" s="90" t="s">
        <v>283</v>
      </c>
      <c r="L262" s="90" t="str">
        <f>$L$15&amp;"-"&amp;TEXT(E262,"000")</f>
        <v>14B-182</v>
      </c>
      <c r="N262" s="62" t="str">
        <f>$K$255&amp;C262</f>
        <v>pt_9th</v>
      </c>
    </row>
    <row r="263" spans="1:14" ht="14.1" customHeight="1">
      <c r="A263" s="69">
        <f t="shared" si="43"/>
        <v>46229</v>
      </c>
      <c r="B263" s="70">
        <f>'CHICLETS MASTER S2'!P78</f>
        <v>0.5</v>
      </c>
      <c r="C263" s="71" t="s">
        <v>284</v>
      </c>
      <c r="D263" s="71" t="str">
        <f t="shared" si="44"/>
        <v>UC IRVINE 2</v>
      </c>
      <c r="E263" s="71">
        <v>181</v>
      </c>
      <c r="F263" s="90" t="str">
        <f>IF(G204="","L149",IF(G204&lt;I204,_xlfn.CONCAT("L149-",RIGHT(F204,LEN(F204) - FIND("-",F204))), _xlfn.CONCAT("L149-",RIGHT(H204,LEN(H204) - FIND("-",H204)))))</f>
        <v>L149-GREENWICH BLUE</v>
      </c>
      <c r="G263" s="93">
        <v>12</v>
      </c>
      <c r="H263" s="90" t="str">
        <f>IF(G205="","L153",IF(G205&lt;I205,_xlfn.CONCAT("L153-",RIGHT(F205,LEN(F205) - FIND("-",F205))), _xlfn.CONCAT("L153-",RIGHT(H205,LEN(H205) - FIND("-",H205)))))</f>
        <v>L153-908 YELLOW A</v>
      </c>
      <c r="I263" s="93">
        <v>9</v>
      </c>
      <c r="J263" s="90" t="s">
        <v>285</v>
      </c>
      <c r="K263" s="90" t="s">
        <v>286</v>
      </c>
      <c r="L263" s="90" t="str">
        <f t="shared" si="45"/>
        <v>14B-181</v>
      </c>
      <c r="N263" s="62" t="str">
        <f t="shared" si="46"/>
        <v>pt_11th</v>
      </c>
    </row>
    <row r="264" spans="1:14" ht="14.1" customHeight="1" thickBot="1">
      <c r="A264" s="98"/>
      <c r="B264" s="79"/>
      <c r="C264" s="60"/>
      <c r="D264" s="60"/>
      <c r="G264" s="62"/>
    </row>
    <row r="265" spans="1:14" ht="14.1" customHeight="1" thickBot="1">
      <c r="A265" s="60"/>
      <c r="B265" s="60"/>
      <c r="C265" s="60"/>
      <c r="D265" s="65" t="str">
        <f>'CHICLETS MASTER S2'!$T$72</f>
        <v>GARDEN GROVE HS</v>
      </c>
      <c r="E265" s="60"/>
      <c r="F265" s="60"/>
      <c r="G265" s="64"/>
      <c r="H265" s="60"/>
      <c r="I265" s="64"/>
      <c r="J265" s="60"/>
      <c r="K265" s="60"/>
      <c r="L265" s="60"/>
    </row>
    <row r="266" spans="1:14" ht="14.1" customHeight="1">
      <c r="A266" s="325" t="s">
        <v>124</v>
      </c>
      <c r="B266" s="327" t="s">
        <v>125</v>
      </c>
      <c r="C266" s="327" t="s">
        <v>126</v>
      </c>
      <c r="D266" s="327" t="s">
        <v>127</v>
      </c>
      <c r="E266" s="327" t="s">
        <v>128</v>
      </c>
      <c r="F266" s="327" t="s">
        <v>129</v>
      </c>
      <c r="G266" s="327" t="s">
        <v>130</v>
      </c>
      <c r="H266" s="327" t="s">
        <v>131</v>
      </c>
      <c r="I266" s="327" t="s">
        <v>130</v>
      </c>
      <c r="J266" s="327" t="s">
        <v>132</v>
      </c>
      <c r="K266" s="327" t="s">
        <v>133</v>
      </c>
      <c r="L266" s="327" t="s">
        <v>134</v>
      </c>
    </row>
    <row r="267" spans="1:14" ht="14.1" customHeight="1">
      <c r="A267" s="69">
        <f t="shared" ref="A267:A277" si="47">$A$255</f>
        <v>46229</v>
      </c>
      <c r="B267" s="70">
        <f>'CHICLETS MASTER S2'!P73</f>
        <v>0.29166666666666669</v>
      </c>
      <c r="C267" s="71" t="s">
        <v>249</v>
      </c>
      <c r="D267" s="71" t="str">
        <f t="shared" ref="D267:D272" si="48">$D$265</f>
        <v>GARDEN GROVE HS</v>
      </c>
      <c r="E267" s="71">
        <v>167</v>
      </c>
      <c r="F267" s="155" t="s">
        <v>572</v>
      </c>
      <c r="G267" s="156">
        <v>10</v>
      </c>
      <c r="H267" s="155" t="s">
        <v>570</v>
      </c>
      <c r="I267" s="156">
        <v>9</v>
      </c>
      <c r="J267" s="155"/>
      <c r="K267" s="155"/>
      <c r="L267" s="155" t="str">
        <f>$L$15&amp;"-"&amp;TEXT(E267,"000")</f>
        <v>14B-167</v>
      </c>
      <c r="N267" s="62" t="str">
        <f>$L$255&amp;C267</f>
        <v>au_21-24 RR</v>
      </c>
    </row>
    <row r="268" spans="1:14" ht="14.1" customHeight="1">
      <c r="A268" s="69">
        <f t="shared" si="47"/>
        <v>46229</v>
      </c>
      <c r="B268" s="70">
        <f>'CHICLETS MASTER S2'!P74</f>
        <v>0.33333333333333298</v>
      </c>
      <c r="C268" s="71" t="s">
        <v>249</v>
      </c>
      <c r="D268" s="71" t="str">
        <f t="shared" si="48"/>
        <v>GARDEN GROVE HS</v>
      </c>
      <c r="E268" s="71">
        <v>168</v>
      </c>
      <c r="F268" s="155" t="s">
        <v>571</v>
      </c>
      <c r="G268" s="156">
        <v>14</v>
      </c>
      <c r="H268" s="155" t="s">
        <v>573</v>
      </c>
      <c r="I268" s="156">
        <v>7</v>
      </c>
      <c r="J268" s="155"/>
      <c r="K268" s="155"/>
      <c r="L268" s="155" t="str">
        <f>$L$15&amp;"-"&amp;TEXT(E268,"000")</f>
        <v>14B-168</v>
      </c>
      <c r="N268" s="62" t="str">
        <f>$L$255&amp;C268</f>
        <v>au_21-24 RR</v>
      </c>
    </row>
    <row r="269" spans="1:14" ht="14.1" customHeight="1">
      <c r="A269" s="69">
        <f t="shared" si="47"/>
        <v>46229</v>
      </c>
      <c r="B269" s="70">
        <f>'CHICLETS MASTER S2'!P75</f>
        <v>0.375</v>
      </c>
      <c r="C269" s="71" t="s">
        <v>296</v>
      </c>
      <c r="D269" s="71" t="str">
        <f t="shared" si="48"/>
        <v>GARDEN GROVE HS</v>
      </c>
      <c r="E269" s="71">
        <v>176</v>
      </c>
      <c r="F269" s="155" t="str">
        <f>IF(G250="","L156",IF(G250&lt;I250,_xlfn.CONCAT("L156-",RIGHT(F250,LEN(F250) - FIND("-",F250))), _xlfn.CONCAT("L156-",RIGHT(H250,LEN(H250) - FIND("-",H250)))))</f>
        <v>L156-PRINCETON</v>
      </c>
      <c r="G269" s="157">
        <v>14.4</v>
      </c>
      <c r="H269" s="155" t="str">
        <f>IF(G252="","L164",IF(G252&lt;I252,_xlfn.CONCAT("L164-",RIGHT(F252,LEN(F252) - FIND("-",F252))), _xlfn.CONCAT("L164-",RIGHT(H252,LEN(H252) - FIND("-",H252)))))</f>
        <v>L164-NIPC</v>
      </c>
      <c r="I269" s="157">
        <v>14.3</v>
      </c>
      <c r="J269" s="155" t="s">
        <v>472</v>
      </c>
      <c r="K269" s="155" t="s">
        <v>473</v>
      </c>
      <c r="L269" s="155" t="str">
        <f>$L$15&amp;"-"&amp;TEXT(E269,"000")</f>
        <v>14B-176</v>
      </c>
      <c r="N269" s="62" t="str">
        <f>$L$255&amp;C269</f>
        <v>au_19th</v>
      </c>
    </row>
    <row r="270" spans="1:14" ht="14.1" customHeight="1">
      <c r="A270" s="69">
        <f t="shared" si="47"/>
        <v>46229</v>
      </c>
      <c r="B270" s="70">
        <f>'CHICLETS MASTER S2'!P76</f>
        <v>0.41666666666666702</v>
      </c>
      <c r="C270" s="71" t="s">
        <v>293</v>
      </c>
      <c r="D270" s="71" t="str">
        <f t="shared" si="48"/>
        <v>GARDEN GROVE HS</v>
      </c>
      <c r="E270" s="71">
        <v>175</v>
      </c>
      <c r="F270" s="155" t="str">
        <f>IF(G250="","W156",IF(G250&gt;I250,_xlfn.CONCAT("W156-",RIGHT(F250,LEN(F250) - FIND("-",F250))), _xlfn.CONCAT("W156-",RIGHT(H250,LEN(H250) - FIND("-",H250)))))</f>
        <v>W156-KEARNS</v>
      </c>
      <c r="G270" s="156">
        <v>13</v>
      </c>
      <c r="H270" s="155" t="str">
        <f>IF(G252="","W164",IF(G252&gt;I252,_xlfn.CONCAT("W164-",RIGHT(F252,LEN(F252) - FIND("-",F252))), _xlfn.CONCAT("W164-",RIGHT(H252,LEN(H252) - FIND("-",H252)))))</f>
        <v>W164-BARCELONA LIONS</v>
      </c>
      <c r="I270" s="156">
        <v>20</v>
      </c>
      <c r="J270" s="155" t="s">
        <v>474</v>
      </c>
      <c r="K270" s="155" t="s">
        <v>475</v>
      </c>
      <c r="L270" s="155" t="str">
        <f>$L$15&amp;"-"&amp;TEXT(E270,"000")</f>
        <v>14B-175</v>
      </c>
      <c r="N270" s="62" t="str">
        <f>$L$255&amp;C270</f>
        <v>au_17th</v>
      </c>
    </row>
    <row r="271" spans="1:14" ht="14.1" customHeight="1">
      <c r="A271" s="69">
        <f t="shared" si="47"/>
        <v>46229</v>
      </c>
      <c r="B271" s="70">
        <f>'CHICLETS MASTER S2'!P77</f>
        <v>0.45833333333333298</v>
      </c>
      <c r="C271" s="71" t="s">
        <v>290</v>
      </c>
      <c r="D271" s="71" t="str">
        <f t="shared" si="48"/>
        <v>GARDEN GROVE HS</v>
      </c>
      <c r="E271" s="71">
        <v>180</v>
      </c>
      <c r="F271" s="155" t="str">
        <f>IF(G249="","L152",IF(G249&lt;I249,_xlfn.CONCAT("L152-",RIGHT(F249,LEN(F249) - FIND("-",F249))), _xlfn.CONCAT("L152-",RIGHT(H249,LEN(H249) - FIND("-",H249)))))</f>
        <v>L152-COLORADO</v>
      </c>
      <c r="G271" s="156">
        <v>14</v>
      </c>
      <c r="H271" s="155" t="str">
        <f>IF(G251="","L160",IF(G251&lt;I251,_xlfn.CONCAT("L160-",RIGHT(F251,LEN(F251) - FIND("-",F251))), _xlfn.CONCAT("L160-",RIGHT(H251,LEN(H251) - FIND("-",H251)))))</f>
        <v>L160-TOPAZ TSUNAMI</v>
      </c>
      <c r="I271" s="156">
        <v>9</v>
      </c>
      <c r="J271" s="155" t="s">
        <v>464</v>
      </c>
      <c r="K271" s="155" t="s">
        <v>465</v>
      </c>
      <c r="L271" s="155" t="str">
        <f>$L$15&amp;"-"&amp;TEXT(E271,"000")</f>
        <v>14B-180</v>
      </c>
      <c r="N271" s="62" t="str">
        <f>$L$255&amp;C271</f>
        <v>au_15th</v>
      </c>
    </row>
    <row r="272" spans="1:14" ht="14.1" customHeight="1">
      <c r="A272" s="69">
        <f t="shared" si="47"/>
        <v>46229</v>
      </c>
      <c r="B272" s="70">
        <f>'CHICLETS MASTER S2'!P78</f>
        <v>0.5</v>
      </c>
      <c r="C272" s="71" t="s">
        <v>287</v>
      </c>
      <c r="D272" s="71" t="str">
        <f t="shared" si="48"/>
        <v>GARDEN GROVE HS</v>
      </c>
      <c r="E272" s="71">
        <v>179</v>
      </c>
      <c r="F272" s="155" t="str">
        <f>IF(G249="","W152",IF(G249&gt;I249,_xlfn.CONCAT("W152-",RIGHT(F249,LEN(F249) - FIND("-",F249))), _xlfn.CONCAT("W152-",RIGHT(H249,LEN(H249) - FIND("-",H249)))))</f>
        <v>W152-TEXAS THUNDER</v>
      </c>
      <c r="G272" s="156">
        <v>14</v>
      </c>
      <c r="H272" s="155" t="str">
        <f>IF(G251="","W160",IF(G251&gt;I251,_xlfn.CONCAT("W160-",RIGHT(F251,LEN(F251) - FIND("-",F251))), _xlfn.CONCAT("W160-",RIGHT(H251,LEN(H251) - FIND("-",H251)))))</f>
        <v>W160-HONOLULU A</v>
      </c>
      <c r="I272" s="156">
        <v>11</v>
      </c>
      <c r="J272" s="155" t="s">
        <v>466</v>
      </c>
      <c r="K272" s="155" t="s">
        <v>467</v>
      </c>
      <c r="L272" s="155" t="str">
        <f t="shared" ref="L272" si="49">$L$15&amp;"-"&amp;TEXT(E272,"000")</f>
        <v>14B-179</v>
      </c>
      <c r="N272" s="62" t="str">
        <f t="shared" ref="N272" si="50">$L$255&amp;C272</f>
        <v>au_13th</v>
      </c>
    </row>
    <row r="273" spans="1:14" ht="14.1" customHeight="1" thickBot="1">
      <c r="A273" s="98"/>
      <c r="B273" s="79"/>
      <c r="C273" s="60"/>
      <c r="D273" s="60"/>
      <c r="G273" s="62"/>
    </row>
    <row r="274" spans="1:14" ht="14.1" customHeight="1" thickBot="1">
      <c r="A274" s="60"/>
      <c r="B274" s="60"/>
      <c r="C274" s="60"/>
      <c r="D274" s="65" t="str">
        <f>'CHICLETS MASTER S2'!$S$72</f>
        <v>EL MODENA HS</v>
      </c>
      <c r="E274" s="60"/>
      <c r="F274" s="60"/>
      <c r="G274" s="64"/>
      <c r="H274" s="60"/>
      <c r="I274" s="64"/>
      <c r="J274" s="60"/>
      <c r="K274" s="60"/>
      <c r="L274" s="60"/>
    </row>
    <row r="275" spans="1:14" ht="14.1" customHeight="1">
      <c r="A275" s="325" t="s">
        <v>124</v>
      </c>
      <c r="B275" s="327" t="s">
        <v>125</v>
      </c>
      <c r="C275" s="327" t="s">
        <v>126</v>
      </c>
      <c r="D275" s="327" t="s">
        <v>127</v>
      </c>
      <c r="E275" s="327" t="s">
        <v>128</v>
      </c>
      <c r="F275" s="327" t="s">
        <v>129</v>
      </c>
      <c r="G275" s="327" t="s">
        <v>130</v>
      </c>
      <c r="H275" s="327" t="s">
        <v>131</v>
      </c>
      <c r="I275" s="327" t="s">
        <v>130</v>
      </c>
      <c r="J275" s="327" t="s">
        <v>132</v>
      </c>
      <c r="K275" s="327" t="s">
        <v>133</v>
      </c>
      <c r="L275" s="327" t="s">
        <v>134</v>
      </c>
    </row>
    <row r="276" spans="1:14" ht="14.1" customHeight="1">
      <c r="A276" s="69">
        <f t="shared" si="47"/>
        <v>46229</v>
      </c>
      <c r="B276" s="70">
        <f>'CHICLETS MASTER S2'!P73</f>
        <v>0.29166666666666669</v>
      </c>
      <c r="C276" s="71" t="s">
        <v>284</v>
      </c>
      <c r="D276" s="71" t="str">
        <f t="shared" ref="D276:D281" si="51">$D$274</f>
        <v>EL MODENA HS</v>
      </c>
      <c r="E276" s="71">
        <v>184</v>
      </c>
      <c r="F276" s="155" t="str">
        <f>IF(G234="","L151",IF(G234&lt;I234,_xlfn.CONCAT("L151-",RIGHT(F234,LEN(F234) - FIND("-",F234))), _xlfn.CONCAT("L151-",RIGHT(H234,LEN(H234) - FIND("-",H234)))))</f>
        <v>L151-AMERICAN RIVER A</v>
      </c>
      <c r="G276" s="156">
        <v>14</v>
      </c>
      <c r="H276" s="155" t="str">
        <f>IF(G235="","L155",IF(G235&lt;I235,_xlfn.CONCAT("L155-",RIGHT(F235,LEN(F235) - FIND("-",F235))), _xlfn.CONCAT("L155-",RIGHT(H235,LEN(H235) - FIND("-",H235)))))</f>
        <v>L155-PUGET SOUND</v>
      </c>
      <c r="I276" s="156">
        <v>7</v>
      </c>
      <c r="J276" s="155" t="s">
        <v>470</v>
      </c>
      <c r="K276" s="155" t="s">
        <v>471</v>
      </c>
      <c r="L276" s="155" t="str">
        <f t="shared" ref="L276:L281" si="52">$L$15&amp;"-"&amp;TEXT(E276,"000")</f>
        <v>14B-184</v>
      </c>
      <c r="N276" s="62" t="str">
        <f>$L$255&amp;C276</f>
        <v>au_11th</v>
      </c>
    </row>
    <row r="277" spans="1:14" ht="14.1" customHeight="1">
      <c r="A277" s="69">
        <f t="shared" si="47"/>
        <v>46229</v>
      </c>
      <c r="B277" s="70">
        <f>'CHICLETS MASTER S2'!P74</f>
        <v>0.33333333333333298</v>
      </c>
      <c r="C277" s="71" t="s">
        <v>281</v>
      </c>
      <c r="D277" s="71" t="str">
        <f t="shared" si="51"/>
        <v>EL MODENA HS</v>
      </c>
      <c r="E277" s="71">
        <v>183</v>
      </c>
      <c r="F277" s="155" t="str">
        <f>IF(G234="","W151",IF(G234&gt;I234,_xlfn.CONCAT("W151-",RIGHT(F234,LEN(F234) - FIND("-",F234))), _xlfn.CONCAT("W151-",RIGHT(H234,LEN(H234) - FIND("-",H234)))))</f>
        <v>W151-GREENWICH WHITE</v>
      </c>
      <c r="G277" s="156">
        <v>6</v>
      </c>
      <c r="H277" s="155" t="str">
        <f>IF(G235="","W155",IF(G235&gt;I235,_xlfn.CONCAT("W155-",RIGHT(F235,LEN(F235) - FIND("-",F235))), _xlfn.CONCAT("W155-",RIGHT(H235,LEN(H235) - FIND("-",H235)))))</f>
        <v>W155-LONGHORN</v>
      </c>
      <c r="I277" s="156">
        <v>9</v>
      </c>
      <c r="J277" s="155" t="s">
        <v>468</v>
      </c>
      <c r="K277" s="155" t="s">
        <v>469</v>
      </c>
      <c r="L277" s="155" t="str">
        <f t="shared" si="52"/>
        <v>14B-183</v>
      </c>
      <c r="N277" s="62" t="str">
        <f>$L$255&amp;C277</f>
        <v>au_9th</v>
      </c>
    </row>
    <row r="278" spans="1:14" ht="14.1" customHeight="1">
      <c r="A278" s="69">
        <f t="shared" si="43"/>
        <v>46229</v>
      </c>
      <c r="B278" s="70">
        <f>'CHICLETS MASTER S2'!P75</f>
        <v>0.375</v>
      </c>
      <c r="C278" s="71" t="s">
        <v>287</v>
      </c>
      <c r="D278" s="71" t="str">
        <f t="shared" si="51"/>
        <v>EL MODENA HS</v>
      </c>
      <c r="E278" s="71">
        <v>178</v>
      </c>
      <c r="F278" s="90" t="str">
        <f>IF(G219="","W150",IF(G219&gt;I219,_xlfn.CONCAT("W150-",RIGHT(F219,LEN(F219) - FIND("-",F219))), _xlfn.CONCAT("W150-",RIGHT(H219,LEN(H219) - FIND("-",H219)))))</f>
        <v>W150-SD SHORES BLACK</v>
      </c>
      <c r="G278" s="93">
        <v>14</v>
      </c>
      <c r="H278" s="90" t="str">
        <f>IF(G221="","W158",IF(G221&gt;I221,_xlfn.CONCAT("W158-",RIGHT(F221,LEN(F221) - FIND("-",F221))), _xlfn.CONCAT("W158-",RIGHT(H221,LEN(H221) - FIND("-",H221)))))</f>
        <v>W158-DIABLO ALLIANCE A</v>
      </c>
      <c r="I278" s="93">
        <v>8</v>
      </c>
      <c r="J278" s="90" t="s">
        <v>288</v>
      </c>
      <c r="K278" s="90" t="s">
        <v>289</v>
      </c>
      <c r="L278" s="90" t="str">
        <f t="shared" si="52"/>
        <v>14B-178</v>
      </c>
      <c r="N278" s="62" t="str">
        <f>$K$255&amp;C278</f>
        <v>pt_13th</v>
      </c>
    </row>
    <row r="279" spans="1:14" ht="14.1" customHeight="1">
      <c r="A279" s="69">
        <f t="shared" si="43"/>
        <v>46229</v>
      </c>
      <c r="B279" s="70">
        <f>'CHICLETS MASTER S2'!P76</f>
        <v>0.41666666666666702</v>
      </c>
      <c r="C279" s="71" t="s">
        <v>290</v>
      </c>
      <c r="D279" s="71" t="str">
        <f t="shared" si="51"/>
        <v>EL MODENA HS</v>
      </c>
      <c r="E279" s="71">
        <v>177</v>
      </c>
      <c r="F279" s="90" t="str">
        <f>IF(G219="","L150",IF(G219&lt;I219,_xlfn.CONCAT("L150-",RIGHT(F219,LEN(F219) - FIND("-",F219))), _xlfn.CONCAT("L150-",RIGHT(H219,LEN(H219) - FIND("-",H219)))))</f>
        <v>L150-PALOS VERDES BLACK</v>
      </c>
      <c r="G279" s="93">
        <v>9</v>
      </c>
      <c r="H279" s="90" t="str">
        <f>IF(G221="","L158",IF(G221&lt;I221,_xlfn.CONCAT("L158-",RIGHT(F221,LEN(F221) - FIND("-",F221))), _xlfn.CONCAT("L158-",RIGHT(H221,LEN(H221) - FIND("-",H221)))))</f>
        <v>L158-CC UNITED BLACK</v>
      </c>
      <c r="I279" s="93">
        <v>10</v>
      </c>
      <c r="J279" s="90" t="s">
        <v>291</v>
      </c>
      <c r="K279" s="90" t="s">
        <v>292</v>
      </c>
      <c r="L279" s="90" t="str">
        <f t="shared" si="52"/>
        <v>14B-177</v>
      </c>
      <c r="N279" s="62" t="str">
        <f>$K$255&amp;C279</f>
        <v>pt_15th</v>
      </c>
    </row>
    <row r="280" spans="1:14" ht="14.1" customHeight="1">
      <c r="A280" s="69">
        <f t="shared" si="43"/>
        <v>46229</v>
      </c>
      <c r="B280" s="70">
        <f>'CHICLETS MASTER S2'!P77</f>
        <v>0.45833333333333298</v>
      </c>
      <c r="C280" s="71" t="s">
        <v>293</v>
      </c>
      <c r="D280" s="71" t="str">
        <f t="shared" si="51"/>
        <v>EL MODENA HS</v>
      </c>
      <c r="E280" s="71">
        <v>170</v>
      </c>
      <c r="F280" s="90" t="str">
        <f>IF(G220="","W154",IF(G220&gt;I220,_xlfn.CONCAT("W154-",RIGHT(F220,LEN(F220) - FIND("-",F220))), _xlfn.CONCAT("W154-",RIGHT(H220,LEN(H220) - FIND("-",H220)))))</f>
        <v>W154-STANFORD RED</v>
      </c>
      <c r="G280" s="93">
        <v>11</v>
      </c>
      <c r="H280" s="90" t="str">
        <f>IF(G222="","W162",IF(G222&gt;I222,_xlfn.CONCAT("W162-",RIGHT(F222,LEN(F222) - FIND("-",F222))), _xlfn.CONCAT("W162-",RIGHT(H222,LEN(H222) - FIND("-",H222)))))</f>
        <v>W162-VANGUARD BLUE</v>
      </c>
      <c r="I280" s="93">
        <v>10</v>
      </c>
      <c r="J280" s="90" t="s">
        <v>294</v>
      </c>
      <c r="K280" s="90" t="s">
        <v>295</v>
      </c>
      <c r="L280" s="90" t="str">
        <f t="shared" si="52"/>
        <v>14B-170</v>
      </c>
      <c r="N280" s="62" t="str">
        <f>$K$255&amp;C280</f>
        <v>pt_17th</v>
      </c>
    </row>
    <row r="281" spans="1:14" ht="14.1" customHeight="1">
      <c r="A281" s="69">
        <f t="shared" si="43"/>
        <v>46229</v>
      </c>
      <c r="B281" s="70">
        <f>'CHICLETS MASTER S2'!P78</f>
        <v>0.5</v>
      </c>
      <c r="C281" s="71" t="s">
        <v>296</v>
      </c>
      <c r="D281" s="71" t="str">
        <f t="shared" si="51"/>
        <v>EL MODENA HS</v>
      </c>
      <c r="E281" s="71">
        <v>169</v>
      </c>
      <c r="F281" s="90" t="str">
        <f>IF(G220="","L154",IF(G220&lt;I220,_xlfn.CONCAT("L154-",RIGHT(F220,LEN(F220) - FIND("-",F220))), _xlfn.CONCAT("L154-",RIGHT(H220,LEN(H220) - FIND("-",H220)))))</f>
        <v xml:space="preserve">L154-CDM BLUE	</v>
      </c>
      <c r="G281" s="93">
        <v>11</v>
      </c>
      <c r="H281" s="90" t="str">
        <f>IF(G222="","L162",IF(G222&lt;I222,_xlfn.CONCAT("L162-",RIGHT(F222,LEN(F222) - FIND("-",F222))), _xlfn.CONCAT("L162-",RIGHT(H222,LEN(H222) - FIND("-",H222)))))</f>
        <v>L162-680 RED</v>
      </c>
      <c r="I281" s="93">
        <v>10</v>
      </c>
      <c r="J281" s="90" t="s">
        <v>297</v>
      </c>
      <c r="K281" s="90" t="s">
        <v>298</v>
      </c>
      <c r="L281" s="90" t="str">
        <f t="shared" si="52"/>
        <v>14B-169</v>
      </c>
      <c r="N281" s="62" t="str">
        <f>$K$255&amp;C281</f>
        <v>pt_19th</v>
      </c>
    </row>
    <row r="282" spans="1:14" ht="14.1" customHeight="1" thickBot="1">
      <c r="A282" s="75"/>
      <c r="B282" s="79"/>
      <c r="C282" s="268"/>
      <c r="D282" s="169"/>
    </row>
    <row r="283" spans="1:14" ht="14.1" customHeight="1" thickBot="1">
      <c r="A283" s="60"/>
      <c r="B283" s="60"/>
      <c r="C283" s="60"/>
      <c r="D283" s="65" t="str">
        <f>'CHICLETS MASTER S2'!$Q$72</f>
        <v>UC IRVINE 1</v>
      </c>
      <c r="G283" s="62"/>
    </row>
    <row r="284" spans="1:14" ht="14.1" customHeight="1">
      <c r="A284" s="325" t="s">
        <v>124</v>
      </c>
      <c r="B284" s="327" t="s">
        <v>125</v>
      </c>
      <c r="C284" s="327" t="s">
        <v>126</v>
      </c>
      <c r="D284" s="327" t="s">
        <v>127</v>
      </c>
      <c r="E284" s="327" t="s">
        <v>128</v>
      </c>
      <c r="F284" s="327" t="s">
        <v>129</v>
      </c>
      <c r="G284" s="327" t="s">
        <v>130</v>
      </c>
      <c r="H284" s="327" t="s">
        <v>131</v>
      </c>
      <c r="I284" s="327" t="s">
        <v>130</v>
      </c>
      <c r="J284" s="327" t="s">
        <v>132</v>
      </c>
      <c r="K284" s="327" t="s">
        <v>133</v>
      </c>
      <c r="L284" s="327" t="s">
        <v>134</v>
      </c>
    </row>
    <row r="285" spans="1:14" ht="14.1" customHeight="1">
      <c r="A285" s="69">
        <f t="shared" ref="A285:A290" si="53">$A$255</f>
        <v>46229</v>
      </c>
      <c r="B285" s="96">
        <f>'CHICLETS MASTER S2'!P73</f>
        <v>0.29166666666666669</v>
      </c>
      <c r="C285" s="71" t="s">
        <v>268</v>
      </c>
      <c r="D285" s="99" t="str">
        <f t="shared" ref="D285:D290" si="54">$D$283</f>
        <v>UC IRVINE 1</v>
      </c>
      <c r="E285" s="71">
        <v>171</v>
      </c>
      <c r="F285" s="155" t="str">
        <f>IF(G231="","W139",IF(G231&gt;I231,_xlfn.CONCAT("W139-",RIGHT(F231,LEN(F231) - FIND("-",F231))), _xlfn.CONCAT("W139-",RIGHT(H231,LEN(H231) - FIND("-",H231)))))</f>
        <v>W139-DEVILS GATE</v>
      </c>
      <c r="G285" s="156">
        <v>11</v>
      </c>
      <c r="H285" s="155" t="str">
        <f>IF(G236="","W159",IF(G236&gt;I236,_xlfn.CONCAT("W159-",RIGHT(F236,LEN(F236) - FIND("-",F236))), _xlfn.CONCAT("W159-",RIGHT(H236,LEN(H236) - FIND("-",H236)))))</f>
        <v>W159-SD DONS 13A GOLD</v>
      </c>
      <c r="I285" s="156">
        <v>8</v>
      </c>
      <c r="J285" s="155">
        <v>190</v>
      </c>
      <c r="K285" s="155">
        <v>189</v>
      </c>
      <c r="L285" s="155" t="str">
        <f t="shared" ref="L285:L290" si="55">$L$15&amp;"-"&amp;TEXT(E285,"000")</f>
        <v>14B-171</v>
      </c>
      <c r="N285" s="62" t="str">
        <f t="shared" ref="N285:N290" si="56">$L$255&amp;C285</f>
        <v>au_semi</v>
      </c>
    </row>
    <row r="286" spans="1:14" ht="14.1" customHeight="1">
      <c r="A286" s="69">
        <f t="shared" si="53"/>
        <v>46229</v>
      </c>
      <c r="B286" s="96">
        <f>'CHICLETS MASTER S2'!P74</f>
        <v>0.33333333333333298</v>
      </c>
      <c r="C286" s="71" t="s">
        <v>268</v>
      </c>
      <c r="D286" s="99" t="str">
        <f t="shared" si="54"/>
        <v>UC IRVINE 1</v>
      </c>
      <c r="E286" s="71">
        <v>172</v>
      </c>
      <c r="F286" s="155" t="str">
        <f>IF(G230="","W135",IF(G230&gt;I230,_xlfn.CONCAT("W135-",RIGHT(F230,LEN(F230) - FIND("-",F230))), _xlfn.CONCAT("W135-",RIGHT(H230,LEN(H230) - FIND("-",H230)))))</f>
        <v>W135-NORTH IRVINE BLACK</v>
      </c>
      <c r="G286" s="156">
        <v>7</v>
      </c>
      <c r="H286" s="155" t="str">
        <f>IF(G237="","W163",IF(G237&gt;I237,_xlfn.CONCAT("W163-",RIGHT(F237,LEN(F237) - FIND("-",F237))), _xlfn.CONCAT("W163-",RIGHT(H237,LEN(H237) - FIND("-",H237)))))</f>
        <v>W163-SANTA BARBARA WPC A</v>
      </c>
      <c r="I286" s="156">
        <v>9</v>
      </c>
      <c r="J286" s="155">
        <v>190</v>
      </c>
      <c r="K286" s="155">
        <v>189</v>
      </c>
      <c r="L286" s="155" t="str">
        <f t="shared" si="55"/>
        <v>14B-172</v>
      </c>
      <c r="N286" s="62" t="str">
        <f t="shared" si="56"/>
        <v>au_semi</v>
      </c>
    </row>
    <row r="287" spans="1:14" ht="14.1" customHeight="1">
      <c r="A287" s="69">
        <f t="shared" si="53"/>
        <v>46229</v>
      </c>
      <c r="B287" s="96">
        <f>'CHICLETS MASTER S2'!P75</f>
        <v>0.375</v>
      </c>
      <c r="C287" s="71" t="s">
        <v>272</v>
      </c>
      <c r="D287" s="99" t="str">
        <f t="shared" si="54"/>
        <v>UC IRVINE 1</v>
      </c>
      <c r="E287" s="71">
        <v>187</v>
      </c>
      <c r="F287" s="155" t="str">
        <f>IF(G236="","L159",IF(G236&lt;I236,_xlfn.CONCAT("L159-",RIGHT(F236,LEN(F236) - FIND("-",F236))), _xlfn.CONCAT("L159-",RIGHT(H236,LEN(H236) - FIND("-",H236)))))</f>
        <v>L159-CC UNITED BLUE</v>
      </c>
      <c r="G287" s="156">
        <v>13</v>
      </c>
      <c r="H287" s="155" t="str">
        <f>IF(G237="","L163",IF(G237&lt;I237,_xlfn.CONCAT("L163-",RIGHT(F237,LEN(F237) - FIND("-",F237))), _xlfn.CONCAT("L163-",RIGHT(H237,LEN(H237) - FIND("-",H237)))))</f>
        <v>L163-PEGASUS</v>
      </c>
      <c r="I287" s="156">
        <v>14</v>
      </c>
      <c r="J287" s="155" t="s">
        <v>300</v>
      </c>
      <c r="K287" s="155" t="s">
        <v>301</v>
      </c>
      <c r="L287" s="155" t="str">
        <f t="shared" si="55"/>
        <v>14B-187</v>
      </c>
      <c r="N287" s="62" t="str">
        <f t="shared" si="56"/>
        <v>au_5th</v>
      </c>
    </row>
    <row r="288" spans="1:14" ht="14.1" customHeight="1">
      <c r="A288" s="69">
        <f t="shared" si="53"/>
        <v>46229</v>
      </c>
      <c r="B288" s="96">
        <f>'CHICLETS MASTER S2'!P76</f>
        <v>0.41666666666666702</v>
      </c>
      <c r="C288" s="71" t="s">
        <v>269</v>
      </c>
      <c r="D288" s="99" t="str">
        <f t="shared" si="54"/>
        <v>UC IRVINE 1</v>
      </c>
      <c r="E288" s="71">
        <v>188</v>
      </c>
      <c r="F288" s="155" t="str">
        <f>IF(G232="","L143",IF(G232&lt;I232,_xlfn.CONCAT("L143-",RIGHT(F232,LEN(F232) - FIND("-",F232))), _xlfn.CONCAT("L143-",RIGHT(H232,LEN(H232) - FIND("-",H232)))))</f>
        <v>L143-CLOVIS</v>
      </c>
      <c r="G288" s="156">
        <v>7</v>
      </c>
      <c r="H288" s="155" t="str">
        <f>IF(G233="","L147",IF(G233&lt;I233,_xlfn.CONCAT("L147-",RIGHT(F233,LEN(F233) - FIND("-",F233))), _xlfn.CONCAT("L147-",RIGHT(H233,LEN(H233) - FIND("-",H233)))))</f>
        <v>L147-NORTHWEST</v>
      </c>
      <c r="I288" s="156">
        <v>11</v>
      </c>
      <c r="J288" s="155" t="s">
        <v>302</v>
      </c>
      <c r="K288" s="155" t="s">
        <v>303</v>
      </c>
      <c r="L288" s="155" t="str">
        <f t="shared" si="55"/>
        <v>14B-188</v>
      </c>
      <c r="N288" s="62" t="str">
        <f t="shared" si="56"/>
        <v>au_7th</v>
      </c>
    </row>
    <row r="289" spans="1:14" ht="14.1" customHeight="1">
      <c r="A289" s="69">
        <f t="shared" si="53"/>
        <v>46229</v>
      </c>
      <c r="B289" s="96">
        <f>'CHICLETS MASTER S2'!P77</f>
        <v>0.45833333333333298</v>
      </c>
      <c r="C289" s="71" t="s">
        <v>275</v>
      </c>
      <c r="D289" s="99" t="str">
        <f t="shared" si="54"/>
        <v>UC IRVINE 1</v>
      </c>
      <c r="E289" s="71">
        <v>189</v>
      </c>
      <c r="F289" s="155" t="str">
        <f>IF(G285="","L171",IF(G285&lt;I285,_xlfn.CONCAT("L171-",RIGHT(F285,LEN(F285) - FIND("-",F285))), _xlfn.CONCAT("L171-",RIGHT(H285,LEN(H285) - FIND("-",H285)))))</f>
        <v>L171-SD DONS 13A GOLD</v>
      </c>
      <c r="G289" s="157">
        <v>12.3</v>
      </c>
      <c r="H289" s="155" t="str">
        <f>IF(G286="","L172",IF(G286&lt;I286,_xlfn.CONCAT("L172-",RIGHT(F286,LEN(F286) - FIND("-",F286))), _xlfn.CONCAT("L172-",RIGHT(H286,LEN(H286) - FIND("-",H286)))))</f>
        <v>L172-NORTH IRVINE BLACK</v>
      </c>
      <c r="I289" s="157">
        <v>12.5</v>
      </c>
      <c r="J289" s="155" t="s">
        <v>276</v>
      </c>
      <c r="K289" s="155" t="s">
        <v>277</v>
      </c>
      <c r="L289" s="155" t="str">
        <f t="shared" si="55"/>
        <v>14B-189</v>
      </c>
      <c r="N289" s="62" t="str">
        <f t="shared" si="56"/>
        <v>au_3rd</v>
      </c>
    </row>
    <row r="290" spans="1:14" ht="14.1" customHeight="1">
      <c r="A290" s="69">
        <f t="shared" si="53"/>
        <v>46229</v>
      </c>
      <c r="B290" s="96">
        <f>'CHICLETS MASTER S2'!P78</f>
        <v>0.5</v>
      </c>
      <c r="C290" s="71" t="s">
        <v>278</v>
      </c>
      <c r="D290" s="99" t="str">
        <f t="shared" si="54"/>
        <v>UC IRVINE 1</v>
      </c>
      <c r="E290" s="71">
        <v>190</v>
      </c>
      <c r="F290" s="155" t="str">
        <f>IF(G285="","W171",IF(G285&gt;I285,_xlfn.CONCAT("W171-",RIGHT(F285,LEN(F285) - FIND("-",F285))), _xlfn.CONCAT("W171-",RIGHT(H285,LEN(H285) - FIND("-",H285)))))</f>
        <v>W171-DEVILS GATE</v>
      </c>
      <c r="G290" s="156">
        <v>8</v>
      </c>
      <c r="H290" s="155" t="str">
        <f>IF(G286="","W172",IF(G286&gt;I286,_xlfn.CONCAT("W172-",RIGHT(F286,LEN(F286) - FIND("-",F286))), _xlfn.CONCAT("W172-",RIGHT(H286,LEN(H286) - FIND("-",H286)))))</f>
        <v>W172-SANTA BARBARA WPC A</v>
      </c>
      <c r="I290" s="156">
        <v>12</v>
      </c>
      <c r="J290" s="155" t="s">
        <v>279</v>
      </c>
      <c r="K290" s="155" t="s">
        <v>280</v>
      </c>
      <c r="L290" s="155" t="str">
        <f t="shared" si="55"/>
        <v>14B-190</v>
      </c>
      <c r="N290" s="62" t="str">
        <f t="shared" si="56"/>
        <v>au_1st</v>
      </c>
    </row>
    <row r="291" spans="1:14" ht="14.1" customHeight="1" thickBot="1">
      <c r="G291" s="62"/>
    </row>
    <row r="292" spans="1:14" ht="14.1" customHeight="1" thickBot="1">
      <c r="A292" s="60"/>
      <c r="B292" s="60"/>
      <c r="C292" s="60"/>
      <c r="D292" s="65" t="str">
        <f>'CHICLETS MASTER S2'!B84</f>
        <v>WOOLLETT LEFT</v>
      </c>
      <c r="G292" s="62"/>
    </row>
    <row r="293" spans="1:14" ht="14.1" customHeight="1">
      <c r="A293" s="325" t="s">
        <v>124</v>
      </c>
      <c r="B293" s="327" t="s">
        <v>125</v>
      </c>
      <c r="C293" s="327" t="s">
        <v>126</v>
      </c>
      <c r="D293" s="327" t="s">
        <v>127</v>
      </c>
      <c r="E293" s="327" t="s">
        <v>128</v>
      </c>
      <c r="F293" s="327" t="s">
        <v>129</v>
      </c>
      <c r="G293" s="327" t="s">
        <v>130</v>
      </c>
      <c r="H293" s="327" t="s">
        <v>131</v>
      </c>
      <c r="I293" s="327" t="s">
        <v>130</v>
      </c>
      <c r="J293" s="327" t="s">
        <v>132</v>
      </c>
      <c r="K293" s="327" t="s">
        <v>133</v>
      </c>
      <c r="L293" s="327" t="s">
        <v>134</v>
      </c>
    </row>
    <row r="294" spans="1:14" ht="14.1" customHeight="1">
      <c r="A294" s="69">
        <f>$A$255</f>
        <v>46229</v>
      </c>
      <c r="B294" s="167">
        <f>'CHICLETS MASTER S2'!A92</f>
        <v>0.60416666666666663</v>
      </c>
      <c r="C294" s="71" t="s">
        <v>275</v>
      </c>
      <c r="D294" s="99" t="str">
        <f>$D$292</f>
        <v>WOOLLETT LEFT</v>
      </c>
      <c r="E294" s="71">
        <v>191</v>
      </c>
      <c r="F294" s="90" t="str">
        <f>IF(G298="","L173",IF(G298&lt;I298,_xlfn.CONCAT("L173-",RIGHT(F298,LEN(F298) - FIND("-",F298))), _xlfn.CONCAT("L173-",RIGHT(H298,LEN(H298) - FIND("-",H298)))))</f>
        <v>L173-NEWPORT BEACH BLUE</v>
      </c>
      <c r="G294" s="93">
        <v>8</v>
      </c>
      <c r="H294" s="90" t="str">
        <f>IF(G299="","L174",IF(G299&lt;I299,_xlfn.CONCAT("L174-",RIGHT(F299,LEN(F299) - FIND("-",F299))), _xlfn.CONCAT("L174-",RIGHT(H299,LEN(H299) - FIND("-",H299)))))</f>
        <v xml:space="preserve">L174-SD DONS RED	</v>
      </c>
      <c r="I294" s="93">
        <v>6</v>
      </c>
      <c r="J294" s="90" t="s">
        <v>304</v>
      </c>
      <c r="K294" s="90" t="s">
        <v>305</v>
      </c>
      <c r="L294" s="90" t="str">
        <f>$L$15&amp;"-"&amp;TEXT(E294,"000")</f>
        <v>14B-191</v>
      </c>
      <c r="N294" s="62" t="str">
        <f>$K$255&amp;C294</f>
        <v>pt_3rd</v>
      </c>
    </row>
    <row r="295" spans="1:14" ht="14.1" customHeight="1" thickBot="1">
      <c r="A295" s="75"/>
      <c r="B295" s="79"/>
      <c r="C295" s="268"/>
      <c r="D295" s="169"/>
    </row>
    <row r="296" spans="1:14" ht="14.1" customHeight="1" thickBot="1">
      <c r="A296" s="60"/>
      <c r="B296" s="60"/>
      <c r="C296" s="60"/>
      <c r="D296" s="65" t="str">
        <f>'CHICLETS MASTER S2'!$C$84</f>
        <v>WOOLLETT RIGHT</v>
      </c>
      <c r="G296" s="62"/>
    </row>
    <row r="297" spans="1:14" ht="14.1" customHeight="1">
      <c r="A297" s="325" t="s">
        <v>124</v>
      </c>
      <c r="B297" s="327" t="s">
        <v>125</v>
      </c>
      <c r="C297" s="327" t="s">
        <v>126</v>
      </c>
      <c r="D297" s="327" t="s">
        <v>127</v>
      </c>
      <c r="E297" s="327" t="s">
        <v>128</v>
      </c>
      <c r="F297" s="327" t="s">
        <v>129</v>
      </c>
      <c r="G297" s="327" t="s">
        <v>130</v>
      </c>
      <c r="H297" s="327" t="s">
        <v>131</v>
      </c>
      <c r="I297" s="327" t="s">
        <v>130</v>
      </c>
      <c r="J297" s="327" t="s">
        <v>132</v>
      </c>
      <c r="K297" s="327" t="s">
        <v>133</v>
      </c>
      <c r="L297" s="327" t="s">
        <v>134</v>
      </c>
    </row>
    <row r="298" spans="1:14" ht="14.1" customHeight="1">
      <c r="A298" s="69">
        <f>$A$255</f>
        <v>46229</v>
      </c>
      <c r="B298" s="130">
        <f>'CHICLETS MASTER S2'!A86</f>
        <v>0.33333333333333298</v>
      </c>
      <c r="C298" s="71" t="s">
        <v>268</v>
      </c>
      <c r="D298" s="99" t="str">
        <f>$D$296</f>
        <v>WOOLLETT RIGHT</v>
      </c>
      <c r="E298" s="71">
        <v>173</v>
      </c>
      <c r="F298" s="90" t="str">
        <f>IF(G201="","W137",IF(G201&gt;I201,_xlfn.CONCAT("W137-",RIGHT(F201,LEN(F201) - FIND("-",F201))), _xlfn.CONCAT("W137-",RIGHT(H201,LEN(H201) - FIND("-",H201)))))</f>
        <v>W137-NEWPORT BEACH BLUE</v>
      </c>
      <c r="G298" s="93">
        <v>10</v>
      </c>
      <c r="H298" s="90" t="str">
        <f>IF(G206="","W157",IF(G206&gt;I206,_xlfn.CONCAT("W157-",RIGHT(F206,LEN(F206) - FIND("-",F206))), _xlfn.CONCAT("W157-",RIGHT(H206,LEN(H206) - FIND("-",H206)))))</f>
        <v>W157-LA JOLLA UNITED</v>
      </c>
      <c r="I298" s="93">
        <v>11</v>
      </c>
      <c r="J298" s="90">
        <v>192</v>
      </c>
      <c r="K298" s="90">
        <v>191</v>
      </c>
      <c r="L298" s="90" t="str">
        <f>$L$15&amp;"-"&amp;TEXT(E298,"000")</f>
        <v>14B-173</v>
      </c>
      <c r="N298" s="62" t="str">
        <f>$K$255&amp;C298</f>
        <v>pt_semi</v>
      </c>
    </row>
    <row r="299" spans="1:14" ht="14.1" customHeight="1">
      <c r="A299" s="69">
        <f>$A$255</f>
        <v>46229</v>
      </c>
      <c r="B299" s="130">
        <f>'CHICLETS MASTER S2'!A87</f>
        <v>0.375</v>
      </c>
      <c r="C299" s="71" t="s">
        <v>268</v>
      </c>
      <c r="D299" s="99" t="str">
        <f>$D$296</f>
        <v>WOOLLETT RIGHT</v>
      </c>
      <c r="E299" s="71">
        <v>174</v>
      </c>
      <c r="F299" s="90" t="str">
        <f>IF(G200="","W133",IF(G200&gt;I200,_xlfn.CONCAT("W133-",RIGHT(F200,LEN(F200) - FIND("-",F200))), _xlfn.CONCAT("W133-",RIGHT(H200,LEN(H200) - FIND("-",H200)))))</f>
        <v xml:space="preserve">W133-SD DONS RED	</v>
      </c>
      <c r="G299" s="93">
        <v>7</v>
      </c>
      <c r="H299" s="90" t="str">
        <f>IF(G207="","W161",IF(G207&gt;I207,_xlfn.CONCAT("W161-",RIGHT(F207,LEN(F207) - FIND("-",F207))), _xlfn.CONCAT("W161-",RIGHT(H207,LEN(H207) - FIND("-",H207)))))</f>
        <v>W161-CIU GOLD</v>
      </c>
      <c r="I299" s="93">
        <v>10</v>
      </c>
      <c r="J299" s="90">
        <v>192</v>
      </c>
      <c r="K299" s="90">
        <v>191</v>
      </c>
      <c r="L299" s="90" t="str">
        <f>$L$15&amp;"-"&amp;TEXT(E299,"000")</f>
        <v>14B-174</v>
      </c>
      <c r="N299" s="62" t="str">
        <f>$K$255&amp;C299</f>
        <v>pt_semi</v>
      </c>
    </row>
    <row r="300" spans="1:14" ht="14.1" customHeight="1">
      <c r="A300" s="75"/>
      <c r="B300" s="79"/>
      <c r="C300" s="268"/>
      <c r="D300" s="169"/>
    </row>
    <row r="301" spans="1:14" ht="14.1" customHeight="1">
      <c r="A301" s="69">
        <f>$A$255</f>
        <v>46229</v>
      </c>
      <c r="B301" s="167">
        <f>'CHICLETS MASTER S2'!A92</f>
        <v>0.60416666666666663</v>
      </c>
      <c r="C301" s="71" t="s">
        <v>278</v>
      </c>
      <c r="D301" s="99" t="str">
        <f>$D$296</f>
        <v>WOOLLETT RIGHT</v>
      </c>
      <c r="E301" s="71">
        <v>192</v>
      </c>
      <c r="F301" s="90" t="str">
        <f>IF(G298="","W173",IF(G298&gt;I298,_xlfn.CONCAT("W173-",RIGHT(F298,LEN(F298) - FIND("-",F298))), _xlfn.CONCAT("W173-",RIGHT(H298,LEN(H298) - FIND("-",H298)))))</f>
        <v>W173-LA JOLLA UNITED</v>
      </c>
      <c r="G301" s="93">
        <v>4</v>
      </c>
      <c r="H301" s="90" t="str">
        <f>IF(G299="","W174",IF(G299&gt;I299,_xlfn.CONCAT("W174-",RIGHT(F299,LEN(F299) - FIND("-",F299))), _xlfn.CONCAT("W174-",RIGHT(H299,LEN(H299) - FIND("-",H299)))))</f>
        <v>W174-CIU GOLD</v>
      </c>
      <c r="I301" s="93">
        <v>10</v>
      </c>
      <c r="J301" s="90" t="s">
        <v>306</v>
      </c>
      <c r="K301" s="90" t="s">
        <v>307</v>
      </c>
      <c r="L301" s="90" t="str">
        <f>$L$15&amp;"-"&amp;TEXT(E301,"000")</f>
        <v>14B-192</v>
      </c>
      <c r="N301" s="62" t="str">
        <f>$K$255&amp;C301</f>
        <v>pt_1st</v>
      </c>
    </row>
    <row r="302" spans="1:14" ht="14.1" customHeight="1">
      <c r="A302" s="60"/>
      <c r="B302" s="60"/>
      <c r="C302" s="60"/>
      <c r="D302" s="60"/>
      <c r="E302" s="60"/>
      <c r="F302" s="60"/>
      <c r="G302" s="64"/>
      <c r="H302" s="60"/>
      <c r="I302" s="64"/>
      <c r="J302" s="60"/>
      <c r="K302" s="60"/>
      <c r="L302" s="60"/>
    </row>
    <row r="304" spans="1:14" ht="14.1" customHeight="1">
      <c r="A304" s="90" t="s">
        <v>308</v>
      </c>
      <c r="C304" s="155" t="s">
        <v>309</v>
      </c>
    </row>
    <row r="305" spans="1:4" ht="14.1" customHeight="1">
      <c r="A305" s="90" t="s">
        <v>278</v>
      </c>
      <c r="B305" s="131" t="str">
        <f>IF(G301="","W192",IF(G301&gt;I301,_xlfn.CONCAT("W192-",RIGHT(F301,LEN(F301) - FIND("-",F301))), _xlfn.CONCAT("W192-",RIGHT(H301,LEN(H301) - FIND("-",H301)))))</f>
        <v>W192-CIU GOLD</v>
      </c>
      <c r="C305" s="155" t="s">
        <v>278</v>
      </c>
      <c r="D305" s="132" t="str">
        <f>IF(G290="","W190",IF(G290&gt;I290,_xlfn.CONCAT("W190-",RIGHT(F290,LEN(F290) - FIND("-",F290))), _xlfn.CONCAT("W190-",RIGHT(H290,LEN(H290) - FIND("-",H290)))))</f>
        <v>W190-SANTA BARBARA WPC A</v>
      </c>
    </row>
    <row r="306" spans="1:4" ht="14.1" customHeight="1">
      <c r="A306" s="90" t="s">
        <v>310</v>
      </c>
      <c r="B306" s="133" t="str">
        <f>IF(G301="","L192",IF(G301&lt;I301,_xlfn.CONCAT("L192-",RIGHT(F301,LEN(F301) - FIND("-",F301))), _xlfn.CONCAT("L192-",RIGHT(H301,LEN(H301) - FIND("-",H301)))))</f>
        <v>L192-LA JOLLA UNITED</v>
      </c>
      <c r="C306" s="155" t="s">
        <v>310</v>
      </c>
      <c r="D306" s="131" t="str">
        <f>IF(G290="","L190",IF(G290&lt;I290,_xlfn.CONCAT("L190-",RIGHT(F290,LEN(F290) - FIND("-",F290))), _xlfn.CONCAT("L190-",RIGHT(H290,LEN(H290) - FIND("-",H290)))))</f>
        <v>L190-DEVILS GATE</v>
      </c>
    </row>
    <row r="307" spans="1:4" ht="14.1" customHeight="1">
      <c r="A307" s="90" t="s">
        <v>275</v>
      </c>
      <c r="B307" s="131" t="str">
        <f>IF(G294="","W191",IF(G294&gt;I294,_xlfn.CONCAT("W191-",RIGHT(F294,LEN(F294) - FIND("-",F294))), _xlfn.CONCAT("W191-",RIGHT(H294,LEN(H294) - FIND("-",H294)))))</f>
        <v>W191-NEWPORT BEACH BLUE</v>
      </c>
      <c r="C307" s="155" t="s">
        <v>275</v>
      </c>
      <c r="D307" s="132" t="str">
        <f>IF(G289="","W189",IF(G289&gt;I289,_xlfn.CONCAT("W189-",RIGHT(F289,LEN(F289) - FIND("-",F289))), _xlfn.CONCAT("W189-",RIGHT(H289,LEN(H289) - FIND("-",H289)))))</f>
        <v>W189-NORTH IRVINE BLACK</v>
      </c>
    </row>
    <row r="308" spans="1:4" ht="14.1" customHeight="1">
      <c r="A308" s="90" t="s">
        <v>311</v>
      </c>
      <c r="B308" s="131" t="str">
        <f>IF(G294="","L191",IF(G294&lt;I294,_xlfn.CONCAT("L191-",RIGHT(F294,LEN(F294) - FIND("-",F294))), _xlfn.CONCAT("L191-",RIGHT(H294,LEN(H294) - FIND("-",H294)))))</f>
        <v xml:space="preserve">L191-SD DONS RED	</v>
      </c>
      <c r="C308" s="330" t="s">
        <v>311</v>
      </c>
      <c r="D308" s="131" t="str">
        <f>IF(G289="","L189",IF(G289&lt;I289,_xlfn.CONCAT("L189-",RIGHT(F289,LEN(F289) - FIND("-",F289))), _xlfn.CONCAT("L189-",RIGHT(H289,LEN(H289) - FIND("-",H289)))))</f>
        <v>L189-SD DONS 13A GOLD</v>
      </c>
    </row>
    <row r="309" spans="1:4" ht="14.1" customHeight="1">
      <c r="A309" s="90" t="s">
        <v>272</v>
      </c>
      <c r="B309" s="131" t="str">
        <f>IF(G260="","W186",IF(G260&gt;I260,_xlfn.CONCAT("W186-",RIGHT(F260,LEN(F260) - FIND("-",F260))), _xlfn.CONCAT("W186-",RIGHT(H260,LEN(H260) - FIND("-",H260)))))</f>
        <v>W186-MISSION A</v>
      </c>
      <c r="C309" s="155" t="s">
        <v>272</v>
      </c>
      <c r="D309" s="134" t="str">
        <f>IF(G287="","W187",IF(G287&gt;I287,_xlfn.CONCAT("W187-",RIGHT(F287,LEN(F287) - FIND("-",F287))), _xlfn.CONCAT("W187-",RIGHT(H287,LEN(H287) - FIND("-",H287)))))</f>
        <v>W187-PEGASUS</v>
      </c>
    </row>
    <row r="310" spans="1:4" ht="14.1" customHeight="1">
      <c r="A310" s="90" t="s">
        <v>312</v>
      </c>
      <c r="B310" s="133" t="str">
        <f>IF(G260="","L186",IF(G260&lt;I260,_xlfn.CONCAT("L186-",RIGHT(F260,LEN(F260) - FIND("-",F260))), _xlfn.CONCAT("L186-",RIGHT(H260,LEN(H260) - FIND("-",H260)))))</f>
        <v>L186-NORCAL BLACK</v>
      </c>
      <c r="C310" s="155" t="s">
        <v>312</v>
      </c>
      <c r="D310" s="132" t="str">
        <f>IF(G287="","L187",IF(G287&lt;I287,_xlfn.CONCAT("L187-",RIGHT(F287,LEN(F287) - FIND("-",F287))), _xlfn.CONCAT("L187-",RIGHT(H287,LEN(H287) - FIND("-",H287)))))</f>
        <v>L187-CC UNITED BLUE</v>
      </c>
    </row>
    <row r="311" spans="1:4" ht="14.1" customHeight="1">
      <c r="A311" s="90" t="s">
        <v>269</v>
      </c>
      <c r="B311" s="131" t="str">
        <f>IF(G261="","W185",IF(G261&gt;I261,_xlfn.CONCAT("W185-",RIGHT(F261,LEN(F261) - FIND("-",F261))), _xlfn.CONCAT("W185-",RIGHT(H261,LEN(H261) - FIND("-",H261)))))</f>
        <v>W185-PATRIOT NAVY</v>
      </c>
      <c r="C311" s="155" t="s">
        <v>269</v>
      </c>
      <c r="D311" s="131" t="str">
        <f>IF(G288="","W188",IF(G288&gt;I288,_xlfn.CONCAT("W188-",RIGHT(F288,LEN(F288) - FIND("-",F288))), _xlfn.CONCAT("W188-",RIGHT(H288,LEN(H288) - FIND("-",H288)))))</f>
        <v>W188-NORTHWEST</v>
      </c>
    </row>
    <row r="312" spans="1:4" ht="14.1" customHeight="1">
      <c r="A312" s="90" t="s">
        <v>313</v>
      </c>
      <c r="B312" s="133" t="str">
        <f>IF(G261="","L185",IF(G261&lt;I261,_xlfn.CONCAT("L185-",RIGHT(F261,LEN(F261) - FIND("-",F261))), _xlfn.CONCAT("L185-",RIGHT(H261,LEN(H261) - FIND("-",H261)))))</f>
        <v>L185-LA PREMIER BLACK</v>
      </c>
      <c r="C312" s="155" t="s">
        <v>313</v>
      </c>
      <c r="D312" s="135" t="str">
        <f>IF(G288="","L188",IF(G288&lt;I288,_xlfn.CONCAT("L188-",RIGHT(F288,LEN(F288) - FIND("-",F288))), _xlfn.CONCAT("L188-",RIGHT(H288,LEN(H288) - FIND("-",H288)))))</f>
        <v>L188-CLOVIS</v>
      </c>
    </row>
    <row r="313" spans="1:4" ht="14.1" customHeight="1">
      <c r="A313" s="90" t="s">
        <v>281</v>
      </c>
      <c r="B313" s="131" t="str">
        <f>IF(G262="","W182",IF(G262&gt;I262,_xlfn.CONCAT("W182-",RIGHT(F262,LEN(F262) - FIND("-",F262))), _xlfn.CONCAT("W182-",RIGHT(H262,LEN(H262) - FIND("-",H262)))))</f>
        <v>W182-LAMORINDA A</v>
      </c>
      <c r="C313" s="155" t="s">
        <v>281</v>
      </c>
      <c r="D313" s="131" t="str">
        <f>IF(G277="","W183",IF(G277&gt;I277,_xlfn.CONCAT("W183-",RIGHT(F277,LEN(F277) - FIND("-",F277))), _xlfn.CONCAT("W183-",RIGHT(H277,LEN(H277) - FIND("-",H277)))))</f>
        <v>W183-LONGHORN</v>
      </c>
    </row>
    <row r="314" spans="1:4" ht="14.1" customHeight="1">
      <c r="A314" s="90" t="s">
        <v>315</v>
      </c>
      <c r="B314" s="133" t="str">
        <f>IF(G262="","L182",IF(G262&lt;I262,_xlfn.CONCAT("L182-",RIGHT(F262,LEN(F262) - FIND("-",F262))), _xlfn.CONCAT("L182-",RIGHT(H262,LEN(H262) - FIND("-",H262)))))</f>
        <v>L182-COMMERCE</v>
      </c>
      <c r="C314" s="155" t="s">
        <v>315</v>
      </c>
      <c r="D314" s="135" t="str">
        <f>IF(G277="","L183",IF(G277&lt;I277,_xlfn.CONCAT("L183-",RIGHT(F277,LEN(F277) - FIND("-",F277))), _xlfn.CONCAT("L183-",RIGHT(H277,LEN(H277) - FIND("-",H277)))))</f>
        <v>L183-GREENWICH WHITE</v>
      </c>
    </row>
    <row r="315" spans="1:4" ht="14.1" customHeight="1">
      <c r="A315" s="90" t="s">
        <v>284</v>
      </c>
      <c r="B315" s="131" t="str">
        <f>IF(G263="","W181",IF(G263&gt;I263,_xlfn.CONCAT("W181-",RIGHT(F263,LEN(F263) - FIND("-",F263))), _xlfn.CONCAT("W181-",RIGHT(H263,LEN(H263) - FIND("-",H263)))))</f>
        <v>W181-GREENWICH BLUE</v>
      </c>
      <c r="C315" s="155" t="s">
        <v>284</v>
      </c>
      <c r="D315" s="131" t="str">
        <f>IF(G276="","W184",IF(G276&gt;I276,_xlfn.CONCAT("W184-",RIGHT(F276,LEN(F276) - FIND("-",F276))), _xlfn.CONCAT("W184-",RIGHT(H276,LEN(H276) - FIND("-",H276)))))</f>
        <v>W184-AMERICAN RIVER A</v>
      </c>
    </row>
    <row r="316" spans="1:4" ht="14.1" customHeight="1">
      <c r="A316" s="90" t="s">
        <v>318</v>
      </c>
      <c r="B316" s="133" t="str">
        <f>IF(G263="","L181",IF(G263&lt;I263,_xlfn.CONCAT("L181-",RIGHT(F263,LEN(F263) - FIND("-",F263))), _xlfn.CONCAT("L181-",RIGHT(H263,LEN(H263) - FIND("-",H263)))))</f>
        <v>L181-908 YELLOW A</v>
      </c>
      <c r="C316" s="155" t="s">
        <v>318</v>
      </c>
      <c r="D316" s="134" t="str">
        <f>IF(G276="","L184",IF(G276&lt;I276,_xlfn.CONCAT("L184-",RIGHT(F276,LEN(F276) - FIND("-",F276))), _xlfn.CONCAT("L184-",RIGHT(H276,LEN(H276) - FIND("-",H276)))))</f>
        <v>L184-PUGET SOUND</v>
      </c>
    </row>
    <row r="317" spans="1:4" ht="14.1" customHeight="1">
      <c r="A317" s="90" t="s">
        <v>287</v>
      </c>
      <c r="B317" s="131" t="str">
        <f>IF(G278="","W178",IF(G278&gt;I278,_xlfn.CONCAT("W178-",RIGHT(F278,LEN(F278) - FIND("-",F278))), _xlfn.CONCAT("W178-",RIGHT(H278,LEN(H278) - FIND("-",H278)))))</f>
        <v>W178-SD SHORES BLACK</v>
      </c>
      <c r="C317" s="155" t="s">
        <v>287</v>
      </c>
      <c r="D317" s="131" t="str">
        <f>IF(G272="","W179",IF(G272&gt;I272,_xlfn.CONCAT("W179-",RIGHT(F272,LEN(F272) - FIND("-",F272))), _xlfn.CONCAT("W179-",RIGHT(H272,LEN(H272) - FIND("-",H272)))))</f>
        <v>W179-TEXAS THUNDER</v>
      </c>
    </row>
    <row r="318" spans="1:4" ht="14.1" customHeight="1">
      <c r="A318" s="90" t="s">
        <v>319</v>
      </c>
      <c r="B318" s="133" t="str">
        <f>IF(G278="","L178",IF(G278&lt;I278,_xlfn.CONCAT("L178-",RIGHT(F278,LEN(F278) - FIND("-",F278))), _xlfn.CONCAT("L178-",RIGHT(H278,LEN(H278) - FIND("-",H278)))))</f>
        <v>L178-DIABLO ALLIANCE A</v>
      </c>
      <c r="C318" s="155" t="s">
        <v>319</v>
      </c>
      <c r="D318" s="135" t="str">
        <f>IF(G272="","L179",IF(G272&lt;I272,_xlfn.CONCAT("L179-",RIGHT(F272,LEN(F272) - FIND("-",F272))), _xlfn.CONCAT("L179-",RIGHT(H272,LEN(H272) - FIND("-",H272)))))</f>
        <v>L179-HONOLULU A</v>
      </c>
    </row>
    <row r="319" spans="1:4" ht="14.1" customHeight="1">
      <c r="A319" s="90" t="s">
        <v>290</v>
      </c>
      <c r="B319" s="131" t="str">
        <f>IF(G279="","W177",IF(G279&gt;I279,_xlfn.CONCAT("W177-",RIGHT(F279,LEN(F279) - FIND("-",F279))), _xlfn.CONCAT("W177-",RIGHT(H279,LEN(H279) - FIND("-",H279)))))</f>
        <v>W177-CC UNITED BLACK</v>
      </c>
      <c r="C319" s="155" t="s">
        <v>290</v>
      </c>
      <c r="D319" s="131" t="str">
        <f>IF(G271="","W180",IF(G271&gt;I271,_xlfn.CONCAT("W180-",RIGHT(F271,LEN(F271) - FIND("-",F271))), _xlfn.CONCAT("W180-",RIGHT(H271,LEN(H271) - FIND("-",H271)))))</f>
        <v>W180-COLORADO</v>
      </c>
    </row>
    <row r="320" spans="1:4" ht="14.1" customHeight="1">
      <c r="A320" s="90" t="s">
        <v>320</v>
      </c>
      <c r="B320" s="133" t="str">
        <f>IF(G279="","L177",IF(G279&lt;I279,_xlfn.CONCAT("L177-",RIGHT(F279,LEN(F279) - FIND("-",F279))), _xlfn.CONCAT("L177-",RIGHT(H279,LEN(H279) - FIND("-",H279)))))</f>
        <v>L177-PALOS VERDES BLACK</v>
      </c>
      <c r="C320" s="155" t="s">
        <v>320</v>
      </c>
      <c r="D320" s="135" t="str">
        <f>IF(G271="","L180",IF(G271&lt;I271,_xlfn.CONCAT("L180-",RIGHT(F271,LEN(F271) - FIND("-",F271))), _xlfn.CONCAT("L180-",RIGHT(H271,LEN(H271) - FIND("-",H271)))))</f>
        <v>L180-TOPAZ TSUNAMI</v>
      </c>
    </row>
    <row r="321" spans="1:4" ht="14.1" customHeight="1">
      <c r="A321" s="90" t="s">
        <v>293</v>
      </c>
      <c r="B321" s="131" t="str">
        <f>IF(G280="","W170",IF(G280&gt;I280,_xlfn.CONCAT("W170-",RIGHT(F280,LEN(F280) - FIND("-",F280))), _xlfn.CONCAT("W170-",RIGHT(H280,LEN(H280) - FIND("-",H280)))))</f>
        <v>W170-STANFORD RED</v>
      </c>
      <c r="C321" s="155" t="s">
        <v>293</v>
      </c>
      <c r="D321" s="131" t="str">
        <f>IF(G270="","W175",IF(G270&gt;I270,_xlfn.CONCAT("W175-",RIGHT(F270,LEN(F270) - FIND("-",F270))), _xlfn.CONCAT("W175-",RIGHT(H270,LEN(H270) - FIND("-",H270)))))</f>
        <v>W175-BARCELONA LIONS</v>
      </c>
    </row>
    <row r="322" spans="1:4" ht="14.1" customHeight="1">
      <c r="A322" s="90" t="s">
        <v>321</v>
      </c>
      <c r="B322" s="133" t="str">
        <f>IF(G280="","L170",IF(G280&lt;I280,_xlfn.CONCAT("L170-",RIGHT(F280,LEN(F280) - FIND("-",F280))), _xlfn.CONCAT("L170-",RIGHT(H280,LEN(H280) - FIND("-",H280)))))</f>
        <v>L170-VANGUARD BLUE</v>
      </c>
      <c r="C322" s="155" t="s">
        <v>321</v>
      </c>
      <c r="D322" s="135" t="str">
        <f>IF(G270="","L175",IF(G270&lt;I270,_xlfn.CONCAT("L175-",RIGHT(F270,LEN(F270) - FIND("-",F270))), _xlfn.CONCAT("L175-",RIGHT(H270,LEN(H270) - FIND("-",H270)))))</f>
        <v>L175-KEARNS</v>
      </c>
    </row>
    <row r="323" spans="1:4" ht="14.1" customHeight="1">
      <c r="A323" s="127" t="s">
        <v>296</v>
      </c>
      <c r="B323" s="132" t="str">
        <f>IF(G281="","W169",IF(G281&gt;I281,_xlfn.CONCAT("W169-",RIGHT(F281,LEN(F281) - FIND("-",F281))), _xlfn.CONCAT("W169-",RIGHT(H281,LEN(H281) - FIND("-",H281)))))</f>
        <v xml:space="preserve">W169-CDM BLUE	</v>
      </c>
      <c r="C323" s="155" t="s">
        <v>296</v>
      </c>
      <c r="D323" s="131" t="str">
        <f>IF(G269="","W176",IF(G269&gt;I269,_xlfn.CONCAT("W176-",RIGHT(F269,LEN(F269) - FIND("-",F269))), _xlfn.CONCAT("W176-",RIGHT(H269,LEN(H269) - FIND("-",H269)))))</f>
        <v>W176-PRINCETON</v>
      </c>
    </row>
    <row r="324" spans="1:4" ht="14.1" customHeight="1">
      <c r="A324" s="274" t="s">
        <v>322</v>
      </c>
      <c r="B324" s="131" t="str">
        <f>IF(G281="","L169",IF(G281&lt;I281,_xlfn.CONCAT("L169-",RIGHT(F281,LEN(F281) - FIND("-",F281))), _xlfn.CONCAT("L169-",RIGHT(H281,LEN(H281) - FIND("-",H281)))))</f>
        <v>L169-680 RED</v>
      </c>
      <c r="C324" s="159" t="s">
        <v>322</v>
      </c>
      <c r="D324" s="134" t="str">
        <f>IF(G269="","L176",IF(G269&lt;I269,_xlfn.CONCAT("L176-",RIGHT(F269,LEN(F269) - FIND("-",F269))), _xlfn.CONCAT("L176-",RIGHT(H269,LEN(H269) - FIND("-",H269)))))</f>
        <v>L176-NIPC</v>
      </c>
    </row>
    <row r="325" spans="1:4" ht="14.1" customHeight="1">
      <c r="A325" s="275" t="s">
        <v>323</v>
      </c>
      <c r="B325" s="103" t="s">
        <v>578</v>
      </c>
      <c r="C325" s="170" t="s">
        <v>323</v>
      </c>
      <c r="D325" s="103" t="s">
        <v>579</v>
      </c>
    </row>
    <row r="326" spans="1:4" ht="14.1" customHeight="1">
      <c r="A326" s="102" t="s">
        <v>325</v>
      </c>
      <c r="B326" s="106" t="s">
        <v>580</v>
      </c>
      <c r="C326" s="170" t="s">
        <v>325</v>
      </c>
      <c r="D326" s="106" t="s">
        <v>581</v>
      </c>
    </row>
    <row r="327" spans="1:4" ht="14.1" customHeight="1">
      <c r="A327" s="102" t="s">
        <v>327</v>
      </c>
      <c r="B327" s="106" t="s">
        <v>582</v>
      </c>
      <c r="C327" s="170" t="s">
        <v>327</v>
      </c>
      <c r="D327" s="106" t="s">
        <v>583</v>
      </c>
    </row>
    <row r="328" spans="1:4" ht="14.1" customHeight="1">
      <c r="A328" s="102" t="s">
        <v>329</v>
      </c>
      <c r="B328" s="106" t="s">
        <v>584</v>
      </c>
      <c r="C328" s="170" t="s">
        <v>329</v>
      </c>
      <c r="D328" s="106" t="s">
        <v>585</v>
      </c>
    </row>
  </sheetData>
  <hyperlinks>
    <hyperlink ref="B1" r:id="rId1" xr:uid="{8F765ED2-24A7-4070-B927-9C93AC9AC31E}"/>
    <hyperlink ref="C1" r:id="rId2" xr:uid="{98F599DA-4AC5-4154-AE69-C5D2FA5590ED}"/>
    <hyperlink ref="E1" r:id="rId3" xr:uid="{D0C063F1-0751-43D0-B6FB-49DCF90B75A9}"/>
  </hyperlinks>
  <pageMargins left="0.75" right="0.75" top="1" bottom="1" header="0.25" footer="0.5"/>
  <pageSetup fitToHeight="0" orientation="landscape" r:id="rId4"/>
  <rowBreaks count="5" manualBreakCount="5">
    <brk id="53" max="16383" man="1"/>
    <brk id="91" max="16383" man="1"/>
    <brk id="153" max="16383" man="1"/>
    <brk id="191" max="16383" man="1"/>
    <brk id="25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9648-5AB3-4940-96A2-BC74DEC1E14E}">
  <sheetPr>
    <tabColor rgb="FFFF6600"/>
  </sheetPr>
  <dimension ref="A1:O328"/>
  <sheetViews>
    <sheetView topLeftCell="A127" zoomScale="120" zoomScaleNormal="120" workbookViewId="0">
      <selection activeCell="H161" sqref="H161"/>
    </sheetView>
  </sheetViews>
  <sheetFormatPr defaultColWidth="12.85546875" defaultRowHeight="14.1" customHeight="1"/>
  <cols>
    <col min="1" max="1" width="26.42578125" style="62" customWidth="1"/>
    <col min="2" max="2" width="36.28515625" style="62" bestFit="1" customWidth="1"/>
    <col min="3" max="4" width="33.140625" style="62" bestFit="1" customWidth="1"/>
    <col min="5" max="5" width="33.85546875" style="62" bestFit="1" customWidth="1"/>
    <col min="6" max="6" width="37.140625" style="62" customWidth="1"/>
    <col min="7" max="7" width="5.5703125" style="80" customWidth="1"/>
    <col min="8" max="8" width="36" style="62" customWidth="1"/>
    <col min="9" max="9" width="6.42578125" style="62" customWidth="1"/>
    <col min="10" max="11" width="6.85546875" style="62" bestFit="1" customWidth="1"/>
    <col min="12" max="12" width="7.85546875" style="62" bestFit="1" customWidth="1"/>
    <col min="13" max="13" width="10.28515625" style="62" customWidth="1"/>
    <col min="14" max="14" width="8.85546875" style="62" bestFit="1" customWidth="1"/>
    <col min="15" max="15" width="10.7109375" style="62" bestFit="1" customWidth="1"/>
    <col min="16" max="16383" width="12.85546875" style="62"/>
    <col min="16384" max="16384" width="12.85546875" style="62" bestFit="1"/>
  </cols>
  <sheetData>
    <row r="1" spans="1:12" s="60" customFormat="1" ht="14.1" customHeight="1" thickTop="1" thickBot="1">
      <c r="A1" s="57" t="s">
        <v>68</v>
      </c>
      <c r="B1" s="52" t="s">
        <v>69</v>
      </c>
      <c r="C1" s="53" t="s">
        <v>70</v>
      </c>
      <c r="D1" s="58" t="s">
        <v>71</v>
      </c>
      <c r="E1" s="54" t="s">
        <v>72</v>
      </c>
      <c r="F1" s="147"/>
      <c r="G1" s="59"/>
      <c r="H1" s="59"/>
      <c r="I1" s="59"/>
      <c r="J1" s="59"/>
      <c r="K1" s="59"/>
      <c r="L1" s="59"/>
    </row>
    <row r="2" spans="1:12" ht="14.1" customHeight="1" thickBot="1">
      <c r="A2" s="61">
        <v>46226</v>
      </c>
      <c r="B2" s="60"/>
      <c r="D2" s="63" t="s">
        <v>484</v>
      </c>
      <c r="F2" s="60"/>
      <c r="G2" s="64"/>
      <c r="H2" s="60"/>
      <c r="I2" s="60"/>
      <c r="J2" s="60"/>
      <c r="K2" s="60"/>
      <c r="L2" s="60"/>
    </row>
    <row r="3" spans="1:12" s="60" customFormat="1" ht="14.1" customHeight="1" thickBot="1">
      <c r="A3" s="62"/>
      <c r="D3" s="65" t="s">
        <v>74</v>
      </c>
    </row>
    <row r="4" spans="1:12" ht="14.1" customHeight="1">
      <c r="A4" s="148" t="s">
        <v>75</v>
      </c>
      <c r="B4" s="149" t="s">
        <v>76</v>
      </c>
      <c r="C4" s="148" t="s">
        <v>77</v>
      </c>
      <c r="D4" s="148" t="s">
        <v>78</v>
      </c>
      <c r="E4" s="148" t="s">
        <v>79</v>
      </c>
      <c r="F4" s="148" t="s">
        <v>80</v>
      </c>
      <c r="G4" s="64"/>
      <c r="H4" s="66" t="s">
        <v>81</v>
      </c>
    </row>
    <row r="5" spans="1:12" ht="14.1" customHeight="1">
      <c r="A5" s="118" t="s">
        <v>586</v>
      </c>
      <c r="B5" s="118" t="s">
        <v>587</v>
      </c>
      <c r="C5" s="118" t="s">
        <v>588</v>
      </c>
      <c r="D5" s="118" t="s">
        <v>589</v>
      </c>
      <c r="E5" s="118" t="s">
        <v>590</v>
      </c>
      <c r="F5" s="118" t="s">
        <v>591</v>
      </c>
      <c r="G5" s="64"/>
    </row>
    <row r="6" spans="1:12" ht="14.1" customHeight="1">
      <c r="A6" s="67" t="s">
        <v>592</v>
      </c>
      <c r="B6" s="67" t="s">
        <v>593</v>
      </c>
      <c r="C6" s="67" t="s">
        <v>594</v>
      </c>
      <c r="D6" s="67" t="s">
        <v>595</v>
      </c>
      <c r="E6" s="67" t="s">
        <v>596</v>
      </c>
      <c r="F6" s="67" t="s">
        <v>597</v>
      </c>
      <c r="G6" s="64"/>
    </row>
    <row r="7" spans="1:12" ht="14.1" customHeight="1">
      <c r="A7" s="67" t="s">
        <v>598</v>
      </c>
      <c r="B7" s="67" t="s">
        <v>599</v>
      </c>
      <c r="C7" s="67" t="s">
        <v>600</v>
      </c>
      <c r="D7" s="67" t="s">
        <v>601</v>
      </c>
      <c r="E7" s="67" t="s">
        <v>602</v>
      </c>
      <c r="F7" s="67" t="s">
        <v>603</v>
      </c>
      <c r="G7" s="64"/>
    </row>
    <row r="8" spans="1:12" ht="14.1" customHeight="1">
      <c r="A8" s="67" t="s">
        <v>350</v>
      </c>
      <c r="B8" s="67" t="s">
        <v>604</v>
      </c>
      <c r="C8" s="67" t="s">
        <v>605</v>
      </c>
      <c r="D8" s="67" t="s">
        <v>606</v>
      </c>
      <c r="E8" s="67" t="s">
        <v>607</v>
      </c>
      <c r="F8" s="67" t="s">
        <v>608</v>
      </c>
      <c r="G8" s="64"/>
    </row>
    <row r="9" spans="1:12" ht="14.1" customHeight="1">
      <c r="A9" s="60"/>
      <c r="B9" s="60"/>
      <c r="C9" s="60"/>
      <c r="D9" s="60"/>
      <c r="E9" s="60"/>
      <c r="F9" s="60"/>
      <c r="G9" s="64"/>
    </row>
    <row r="10" spans="1:12" ht="14.1" customHeight="1">
      <c r="A10" s="148" t="s">
        <v>100</v>
      </c>
      <c r="B10" s="148" t="s">
        <v>101</v>
      </c>
      <c r="C10" s="148" t="s">
        <v>102</v>
      </c>
      <c r="D10" s="148" t="s">
        <v>103</v>
      </c>
      <c r="E10" s="148" t="s">
        <v>104</v>
      </c>
      <c r="F10" s="148" t="s">
        <v>105</v>
      </c>
      <c r="G10" s="64"/>
      <c r="J10" s="60"/>
    </row>
    <row r="11" spans="1:12" ht="14.1" customHeight="1">
      <c r="A11" s="67" t="s">
        <v>609</v>
      </c>
      <c r="B11" s="67" t="s">
        <v>610</v>
      </c>
      <c r="C11" s="67" t="s">
        <v>611</v>
      </c>
      <c r="D11" s="67" t="s">
        <v>612</v>
      </c>
      <c r="E11" s="67" t="s">
        <v>613</v>
      </c>
      <c r="F11" s="67" t="s">
        <v>614</v>
      </c>
      <c r="G11" s="64"/>
      <c r="J11" s="60"/>
    </row>
    <row r="12" spans="1:12" ht="14.1" customHeight="1">
      <c r="A12" s="67" t="s">
        <v>615</v>
      </c>
      <c r="B12" s="67" t="s">
        <v>616</v>
      </c>
      <c r="C12" s="67" t="s">
        <v>516</v>
      </c>
      <c r="D12" s="67" t="s">
        <v>617</v>
      </c>
      <c r="E12" s="67" t="s">
        <v>618</v>
      </c>
      <c r="F12" s="67" t="s">
        <v>619</v>
      </c>
      <c r="G12" s="64"/>
      <c r="J12" s="60"/>
    </row>
    <row r="13" spans="1:12" ht="14.1" customHeight="1">
      <c r="A13" s="67" t="s">
        <v>620</v>
      </c>
      <c r="B13" s="67" t="s">
        <v>621</v>
      </c>
      <c r="C13" s="67" t="s">
        <v>622</v>
      </c>
      <c r="D13" s="67" t="s">
        <v>623</v>
      </c>
      <c r="E13" s="67" t="s">
        <v>624</v>
      </c>
      <c r="F13" s="67" t="s">
        <v>625</v>
      </c>
      <c r="G13" s="64"/>
      <c r="J13" s="60"/>
    </row>
    <row r="14" spans="1:12" ht="14.1" customHeight="1">
      <c r="A14" s="67" t="s">
        <v>626</v>
      </c>
      <c r="B14" s="67" t="s">
        <v>627</v>
      </c>
      <c r="C14" s="67" t="s">
        <v>628</v>
      </c>
      <c r="D14" s="67" t="s">
        <v>629</v>
      </c>
      <c r="E14" s="67" t="s">
        <v>630</v>
      </c>
      <c r="F14" s="67" t="s">
        <v>631</v>
      </c>
      <c r="G14" s="64"/>
      <c r="J14" s="60"/>
    </row>
    <row r="15" spans="1:12" ht="14.1" customHeight="1" thickBot="1">
      <c r="G15" s="62"/>
      <c r="L15" s="62" t="s">
        <v>632</v>
      </c>
    </row>
    <row r="16" spans="1:12" ht="14.1" customHeight="1" thickBot="1">
      <c r="B16" s="60"/>
      <c r="C16" s="60"/>
      <c r="D16" s="68" t="str">
        <f>'CHICLETS MASTER S2'!AV3</f>
        <v>FULLERTON COLLEGE</v>
      </c>
      <c r="E16" s="60"/>
      <c r="F16" s="60"/>
      <c r="G16" s="64"/>
      <c r="H16" s="60"/>
      <c r="I16" s="60"/>
      <c r="J16" s="60"/>
      <c r="K16" s="60"/>
      <c r="L16" s="60"/>
    </row>
    <row r="17" spans="1:12" ht="14.1" customHeight="1">
      <c r="A17" s="150" t="s">
        <v>124</v>
      </c>
      <c r="B17" s="151" t="s">
        <v>125</v>
      </c>
      <c r="C17" s="151" t="s">
        <v>126</v>
      </c>
      <c r="D17" s="151" t="s">
        <v>127</v>
      </c>
      <c r="E17" s="151" t="s">
        <v>128</v>
      </c>
      <c r="F17" s="151" t="s">
        <v>129</v>
      </c>
      <c r="G17" s="151" t="s">
        <v>130</v>
      </c>
      <c r="H17" s="151" t="s">
        <v>131</v>
      </c>
      <c r="I17" s="151" t="s">
        <v>130</v>
      </c>
      <c r="J17" s="151" t="s">
        <v>132</v>
      </c>
      <c r="K17" s="151" t="s">
        <v>133</v>
      </c>
      <c r="L17" s="151" t="s">
        <v>134</v>
      </c>
    </row>
    <row r="18" spans="1:12" ht="14.1" customHeight="1">
      <c r="A18" s="69">
        <f t="shared" ref="A18:A29" si="0">$A$2</f>
        <v>46226</v>
      </c>
      <c r="B18" s="70">
        <f>'CHICLETS MASTER S2'!AU4</f>
        <v>0.29166666666666669</v>
      </c>
      <c r="C18" s="71" t="s">
        <v>218</v>
      </c>
      <c r="D18" s="71" t="str">
        <f t="shared" ref="D18:D29" si="1">$D$16</f>
        <v>FULLERTON COLLEGE</v>
      </c>
      <c r="E18" s="71">
        <v>1</v>
      </c>
      <c r="F18" s="71" t="str">
        <f>C5</f>
        <v>3-STANFORD RED</v>
      </c>
      <c r="G18" s="73">
        <v>19</v>
      </c>
      <c r="H18" s="71" t="str">
        <f>C8</f>
        <v>46-NIPC</v>
      </c>
      <c r="I18" s="71">
        <v>1</v>
      </c>
      <c r="J18" s="71">
        <v>25</v>
      </c>
      <c r="K18" s="71">
        <v>29</v>
      </c>
      <c r="L18" s="71" t="str">
        <f t="shared" ref="L18:L29" si="2">IF(E18="","",$L$15&amp;"-"&amp;TEXT(E18,"000"))</f>
        <v>16B-001</v>
      </c>
    </row>
    <row r="19" spans="1:12" ht="14.1" customHeight="1">
      <c r="A19" s="69">
        <f t="shared" si="0"/>
        <v>46226</v>
      </c>
      <c r="B19" s="70">
        <f>'CHICLETS MASTER S2'!AU5</f>
        <v>0.3263888888888889</v>
      </c>
      <c r="C19" s="71" t="s">
        <v>218</v>
      </c>
      <c r="D19" s="71" t="str">
        <f t="shared" si="1"/>
        <v>FULLERTON COLLEGE</v>
      </c>
      <c r="E19" s="71">
        <v>5</v>
      </c>
      <c r="F19" s="71" t="str">
        <f>C6</f>
        <v>22-TEXAS THUNDER BLACK</v>
      </c>
      <c r="G19" s="73">
        <v>5</v>
      </c>
      <c r="H19" s="71" t="str">
        <f>C7</f>
        <v>27-ROSE BOWL RED</v>
      </c>
      <c r="I19" s="73">
        <v>8</v>
      </c>
      <c r="J19" s="71">
        <v>25</v>
      </c>
      <c r="K19" s="71">
        <v>29</v>
      </c>
      <c r="L19" s="71" t="str">
        <f t="shared" si="2"/>
        <v>16B-005</v>
      </c>
    </row>
    <row r="20" spans="1:12" ht="14.1" customHeight="1">
      <c r="A20" s="69">
        <f t="shared" si="0"/>
        <v>46226</v>
      </c>
      <c r="B20" s="70">
        <f>'CHICLETS MASTER S2'!AU6</f>
        <v>0.36111111111111099</v>
      </c>
      <c r="C20" s="71" t="s">
        <v>218</v>
      </c>
      <c r="D20" s="71" t="str">
        <f t="shared" si="1"/>
        <v>FULLERTON COLLEGE</v>
      </c>
      <c r="E20" s="71">
        <v>9</v>
      </c>
      <c r="F20" s="71" t="str">
        <f>A5</f>
        <v>1-SD SHORES BLACK</v>
      </c>
      <c r="G20" s="73">
        <v>19</v>
      </c>
      <c r="H20" s="71" t="str">
        <f>A8</f>
        <v>48-BARCELONA LIONS</v>
      </c>
      <c r="I20" s="71">
        <v>0</v>
      </c>
      <c r="J20" s="71">
        <v>33</v>
      </c>
      <c r="K20" s="71">
        <v>37</v>
      </c>
      <c r="L20" s="71" t="str">
        <f t="shared" si="2"/>
        <v>16B-009</v>
      </c>
    </row>
    <row r="21" spans="1:12" ht="14.1" customHeight="1">
      <c r="A21" s="69">
        <f t="shared" si="0"/>
        <v>46226</v>
      </c>
      <c r="B21" s="70">
        <f>'CHICLETS MASTER S2'!AU7</f>
        <v>0.39583333333333398</v>
      </c>
      <c r="C21" s="71" t="s">
        <v>218</v>
      </c>
      <c r="D21" s="71" t="str">
        <f t="shared" si="1"/>
        <v>FULLERTON COLLEGE</v>
      </c>
      <c r="E21" s="71">
        <v>13</v>
      </c>
      <c r="F21" s="71" t="str">
        <f>A6</f>
        <v>24-SAN JOSE FOUNDATION</v>
      </c>
      <c r="G21" s="73">
        <v>12</v>
      </c>
      <c r="H21" s="71" t="str">
        <f>A7</f>
        <v>25-SAND CANYON BLACK</v>
      </c>
      <c r="I21" s="71">
        <v>9</v>
      </c>
      <c r="J21" s="71">
        <v>33</v>
      </c>
      <c r="K21" s="71">
        <v>37</v>
      </c>
      <c r="L21" s="71" t="str">
        <f t="shared" si="2"/>
        <v>16B-013</v>
      </c>
    </row>
    <row r="22" spans="1:12" ht="14.1" customHeight="1">
      <c r="A22" s="69">
        <f t="shared" si="0"/>
        <v>46226</v>
      </c>
      <c r="B22" s="70">
        <f>'CHICLETS MASTER S2'!AU8</f>
        <v>0.43055555555555602</v>
      </c>
      <c r="C22" s="71" t="s">
        <v>218</v>
      </c>
      <c r="D22" s="71" t="str">
        <f t="shared" si="1"/>
        <v>FULLERTON COLLEGE</v>
      </c>
      <c r="E22" s="71">
        <v>17</v>
      </c>
      <c r="F22" s="71" t="str">
        <f>B5</f>
        <v>2-LA JOLLA UNITED NAVY</v>
      </c>
      <c r="G22" s="73">
        <v>16</v>
      </c>
      <c r="H22" s="71" t="str">
        <f>B8</f>
        <v>47-HONOLULU B</v>
      </c>
      <c r="I22" s="71">
        <v>1</v>
      </c>
      <c r="J22" s="71">
        <v>41</v>
      </c>
      <c r="K22" s="71">
        <v>45</v>
      </c>
      <c r="L22" s="71" t="str">
        <f t="shared" si="2"/>
        <v>16B-017</v>
      </c>
    </row>
    <row r="23" spans="1:12" ht="14.1" customHeight="1">
      <c r="A23" s="69">
        <f t="shared" si="0"/>
        <v>46226</v>
      </c>
      <c r="B23" s="70">
        <f>'CHICLETS MASTER S2'!AU9</f>
        <v>0.46527777777777801</v>
      </c>
      <c r="C23" s="71" t="s">
        <v>218</v>
      </c>
      <c r="D23" s="71" t="str">
        <f t="shared" si="1"/>
        <v>FULLERTON COLLEGE</v>
      </c>
      <c r="E23" s="71">
        <v>21</v>
      </c>
      <c r="F23" s="71" t="str">
        <f>B6</f>
        <v>23-GREENWICH WHITE</v>
      </c>
      <c r="G23" s="73">
        <v>8</v>
      </c>
      <c r="H23" s="71" t="str">
        <f>B7</f>
        <v>26-CAPITAL</v>
      </c>
      <c r="I23" s="71">
        <v>13</v>
      </c>
      <c r="J23" s="71">
        <v>41</v>
      </c>
      <c r="K23" s="71">
        <v>45</v>
      </c>
      <c r="L23" s="71" t="str">
        <f t="shared" si="2"/>
        <v>16B-021</v>
      </c>
    </row>
    <row r="24" spans="1:12" ht="14.1" customHeight="1">
      <c r="A24" s="69">
        <f t="shared" si="0"/>
        <v>46226</v>
      </c>
      <c r="B24" s="70">
        <f>'CHICLETS MASTER S2'!AU10</f>
        <v>0.5</v>
      </c>
      <c r="C24" s="71" t="s">
        <v>218</v>
      </c>
      <c r="D24" s="71" t="str">
        <f t="shared" si="1"/>
        <v>FULLERTON COLLEGE</v>
      </c>
      <c r="E24" s="71">
        <v>25</v>
      </c>
      <c r="F24" s="71" t="str">
        <f>IF(G18="","W1",IF(G18&gt;I18,_xlfn.CONCAT("W1-",RIGHT(F18,LEN(F18) - FIND("-",F18))), _xlfn.CONCAT("W1-",RIGHT(H18,LEN(H18) - FIND("-",H18)))))</f>
        <v>W1-STANFORD RED</v>
      </c>
      <c r="G24" s="81">
        <v>12</v>
      </c>
      <c r="H24" s="71" t="str">
        <f>IF(G19="","W5",IF(G19&gt;I19,_xlfn.CONCAT("W5-",RIGHT(F19,LEN(F19) - FIND("-",F19))), _xlfn.CONCAT("W5-",RIGHT(H19,LEN(H19) - FIND("-",H19)))))</f>
        <v>W5-ROSE BOWL RED</v>
      </c>
      <c r="I24" s="71">
        <v>4</v>
      </c>
      <c r="J24" s="71" t="s">
        <v>381</v>
      </c>
      <c r="K24" s="71">
        <v>50</v>
      </c>
      <c r="L24" s="71" t="str">
        <f t="shared" si="2"/>
        <v>16B-025</v>
      </c>
    </row>
    <row r="25" spans="1:12" ht="14.1" customHeight="1">
      <c r="A25" s="69">
        <f t="shared" si="0"/>
        <v>46226</v>
      </c>
      <c r="B25" s="70">
        <f>'CHICLETS MASTER S2'!AU11</f>
        <v>0.53472222222222199</v>
      </c>
      <c r="C25" s="71" t="s">
        <v>218</v>
      </c>
      <c r="D25" s="71" t="str">
        <f t="shared" si="1"/>
        <v>FULLERTON COLLEGE</v>
      </c>
      <c r="E25" s="71">
        <v>29</v>
      </c>
      <c r="F25" s="71" t="str">
        <f>IF(G18="","L1",IF(G18&lt;I18,_xlfn.CONCAT("L1-",RIGHT(F18,LEN(F18) - FIND("-",F18))), _xlfn.CONCAT("L1-",RIGHT(H18,LEN(H18) - FIND("-",H18)))))</f>
        <v>L1-NIPC</v>
      </c>
      <c r="G25" s="81">
        <v>1</v>
      </c>
      <c r="H25" s="71" t="str">
        <f>IF(G19="","L5",IF(G19&lt;I19,_xlfn.CONCAT("L5-",RIGHT(F19,LEN(F19) - FIND("-",F19))), _xlfn.CONCAT("L5-",RIGHT(H19,LEN(H19) - FIND("-",H19)))))</f>
        <v>L5-TEXAS THUNDER BLACK</v>
      </c>
      <c r="I25" s="71">
        <v>21</v>
      </c>
      <c r="J25" s="71">
        <v>49</v>
      </c>
      <c r="K25" s="71" t="s">
        <v>382</v>
      </c>
      <c r="L25" s="71" t="str">
        <f t="shared" si="2"/>
        <v>16B-029</v>
      </c>
    </row>
    <row r="26" spans="1:12" ht="14.1" customHeight="1">
      <c r="A26" s="69">
        <f t="shared" si="0"/>
        <v>46226</v>
      </c>
      <c r="B26" s="70">
        <f>'CHICLETS MASTER S2'!AU12</f>
        <v>0.56944444444444497</v>
      </c>
      <c r="C26" s="71" t="s">
        <v>218</v>
      </c>
      <c r="D26" s="71" t="str">
        <f t="shared" si="1"/>
        <v>FULLERTON COLLEGE</v>
      </c>
      <c r="E26" s="71">
        <v>33</v>
      </c>
      <c r="F26" s="71" t="str">
        <f>IF(G20="","W9",IF(G20&gt;I20,_xlfn.CONCAT("W9-",RIGHT(F20,LEN(F20) - FIND("-",F20))), _xlfn.CONCAT("W9-",RIGHT(H20,LEN(H20) - FIND("-",H20)))))</f>
        <v>W9-SD SHORES BLACK</v>
      </c>
      <c r="G26" s="81">
        <v>8</v>
      </c>
      <c r="H26" s="71" t="str">
        <f>IF(G21="","W13",IF(G21&gt;I21,_xlfn.CONCAT("W13-",RIGHT(F21,LEN(F21) - FIND("-",F21))), _xlfn.CONCAT("W13-",RIGHT(H21,LEN(H21) - FIND("-",H21)))))</f>
        <v>W13-SAN JOSE FOUNDATION</v>
      </c>
      <c r="I26" s="71">
        <v>4</v>
      </c>
      <c r="J26" s="71" t="s">
        <v>383</v>
      </c>
      <c r="K26" s="71">
        <v>57</v>
      </c>
      <c r="L26" s="71" t="str">
        <f t="shared" si="2"/>
        <v>16B-033</v>
      </c>
    </row>
    <row r="27" spans="1:12" ht="14.1" customHeight="1">
      <c r="A27" s="69">
        <f t="shared" si="0"/>
        <v>46226</v>
      </c>
      <c r="B27" s="70">
        <f>'CHICLETS MASTER S2'!AU13</f>
        <v>0.60416666666666696</v>
      </c>
      <c r="C27" s="71" t="s">
        <v>218</v>
      </c>
      <c r="D27" s="71" t="str">
        <f t="shared" si="1"/>
        <v>FULLERTON COLLEGE</v>
      </c>
      <c r="E27" s="71">
        <v>37</v>
      </c>
      <c r="F27" s="71" t="str">
        <f>IF(G20="","L9",IF(G20&lt;I20,_xlfn.CONCAT("L9-",RIGHT(F20,LEN(F20) - FIND("-",F20))), _xlfn.CONCAT("L9-",RIGHT(H20,LEN(H20) - FIND("-",H20)))))</f>
        <v>L9-BARCELONA LIONS</v>
      </c>
      <c r="G27" s="81">
        <v>1</v>
      </c>
      <c r="H27" s="71" t="str">
        <f>IF(G21="","L13",IF(G21&lt;I21,_xlfn.CONCAT("L13-",RIGHT(F21,LEN(F21) - FIND("-",F21))), _xlfn.CONCAT("L13-",RIGHT(H21,LEN(H21) - FIND("-",H21)))))</f>
        <v>L13-SAND CANYON BLACK</v>
      </c>
      <c r="I27" s="71">
        <v>16</v>
      </c>
      <c r="J27" s="71">
        <v>53</v>
      </c>
      <c r="K27" s="71" t="s">
        <v>384</v>
      </c>
      <c r="L27" s="71" t="str">
        <f t="shared" si="2"/>
        <v>16B-037</v>
      </c>
    </row>
    <row r="28" spans="1:12" ht="14.1" customHeight="1">
      <c r="A28" s="69">
        <f t="shared" si="0"/>
        <v>46226</v>
      </c>
      <c r="B28" s="70">
        <f>'CHICLETS MASTER S2'!AU14</f>
        <v>0.63888888888888895</v>
      </c>
      <c r="C28" s="71" t="s">
        <v>218</v>
      </c>
      <c r="D28" s="71" t="str">
        <f t="shared" si="1"/>
        <v>FULLERTON COLLEGE</v>
      </c>
      <c r="E28" s="71">
        <v>41</v>
      </c>
      <c r="F28" s="71" t="str">
        <f>IF(G22="","W17",IF(G22&gt;I22,_xlfn.CONCAT("W17-",RIGHT(F22,LEN(F22) - FIND("-",F22))), _xlfn.CONCAT("W17-",RIGHT(H22,LEN(H22) - FIND("-",H22)))))</f>
        <v>W17-LA JOLLA UNITED NAVY</v>
      </c>
      <c r="G28" s="73">
        <v>12</v>
      </c>
      <c r="H28" s="71" t="str">
        <f>IF(G23="","W21",IF(G23&gt;I23,_xlfn.CONCAT("W21-",RIGHT(F23,LEN(F23) - FIND("-",F23))), _xlfn.CONCAT("W21-",RIGHT(H23,LEN(H23) - FIND("-",H23)))))</f>
        <v>W21-CAPITAL</v>
      </c>
      <c r="I28" s="71">
        <v>3</v>
      </c>
      <c r="J28" s="71" t="s">
        <v>385</v>
      </c>
      <c r="K28" s="71">
        <v>53</v>
      </c>
      <c r="L28" s="71" t="str">
        <f t="shared" si="2"/>
        <v>16B-041</v>
      </c>
    </row>
    <row r="29" spans="1:12" ht="14.1" customHeight="1">
      <c r="A29" s="69">
        <f t="shared" si="0"/>
        <v>46226</v>
      </c>
      <c r="B29" s="70">
        <f>'CHICLETS MASTER S2'!AU15</f>
        <v>0.67361111111111105</v>
      </c>
      <c r="C29" s="71" t="s">
        <v>218</v>
      </c>
      <c r="D29" s="71" t="str">
        <f t="shared" si="1"/>
        <v>FULLERTON COLLEGE</v>
      </c>
      <c r="E29" s="71">
        <v>45</v>
      </c>
      <c r="F29" s="71" t="str">
        <f>IF(G22="","L17",IF(G22&lt;I22,_xlfn.CONCAT("L17-",RIGHT(F22,LEN(F22) - FIND("-",F22))), _xlfn.CONCAT("L17-",RIGHT(H22,LEN(H22) - FIND("-",H22)))))</f>
        <v>L17-HONOLULU B</v>
      </c>
      <c r="G29" s="73">
        <v>6</v>
      </c>
      <c r="H29" s="71" t="str">
        <f>IF(G23="","L21",IF(G23&lt;I23,_xlfn.CONCAT("L21-",RIGHT(F23,LEN(F23) - FIND("-",F23))), _xlfn.CONCAT("L21-",RIGHT(H23,LEN(H23) - FIND("-",H23)))))</f>
        <v>L21-GREENWICH WHITE</v>
      </c>
      <c r="I29" s="71">
        <v>11</v>
      </c>
      <c r="J29" s="71">
        <v>57</v>
      </c>
      <c r="K29" s="71" t="s">
        <v>386</v>
      </c>
      <c r="L29" s="71" t="str">
        <f t="shared" si="2"/>
        <v>16B-045</v>
      </c>
    </row>
    <row r="30" spans="1:12" ht="14.1" customHeight="1">
      <c r="A30" s="75"/>
      <c r="B30" s="60" t="s">
        <v>139</v>
      </c>
      <c r="C30" s="60"/>
      <c r="D30" s="60"/>
      <c r="E30" s="60"/>
      <c r="F30" s="60"/>
      <c r="G30" s="64"/>
      <c r="H30" s="60"/>
      <c r="I30" s="60"/>
      <c r="J30" s="60"/>
      <c r="K30" s="60"/>
      <c r="L30" s="60"/>
    </row>
    <row r="31" spans="1:12" ht="14.1" customHeight="1">
      <c r="A31" s="69">
        <f>$A$2</f>
        <v>46226</v>
      </c>
      <c r="B31" s="70">
        <f>'CHICLETS MASTER S2'!AU17</f>
        <v>0.74305555555555602</v>
      </c>
      <c r="C31" s="71" t="s">
        <v>140</v>
      </c>
      <c r="D31" s="71" t="str">
        <f>$D$16</f>
        <v>FULLERTON COLLEGE</v>
      </c>
      <c r="E31" s="71">
        <v>49</v>
      </c>
      <c r="F31" s="66" t="str">
        <f>IF(G43="","L26",IF(G43&lt;I43,_xlfn.CONCAT("L26-",RIGHT(F43,LEN(F43) - FIND("-",F43))), _xlfn.CONCAT("L26-",RIGHT(H43,LEN(H43) - FIND("-",H43)))))</f>
        <v>L26-ELMHURST</v>
      </c>
      <c r="G31" s="81">
        <v>2</v>
      </c>
      <c r="H31" s="71" t="str">
        <f>IF(G25="","W29",IF(G25&gt;I25,_xlfn.CONCAT("W29-",RIGHT(F25,LEN(F25) - FIND("-",F25))), _xlfn.CONCAT("W29-",RIGHT(H25,LEN(H25) - FIND("-",H25)))))</f>
        <v>W29-TEXAS THUNDER BLACK</v>
      </c>
      <c r="I31" s="71">
        <v>17</v>
      </c>
      <c r="J31" s="71" t="s">
        <v>155</v>
      </c>
      <c r="K31" s="71" t="s">
        <v>152</v>
      </c>
      <c r="L31" s="71" t="str">
        <f>IF(E31="","",$L$15&amp;"-"&amp;TEXT(E31,"000"))</f>
        <v>16B-049</v>
      </c>
    </row>
    <row r="32" spans="1:12" ht="14.1" customHeight="1">
      <c r="A32" s="69">
        <f>$A$2</f>
        <v>46226</v>
      </c>
      <c r="B32" s="70">
        <f>'CHICLETS MASTER S2'!AU18</f>
        <v>0.77777777777777801</v>
      </c>
      <c r="C32" s="71" t="s">
        <v>140</v>
      </c>
      <c r="D32" s="71" t="str">
        <f>$D$16</f>
        <v>FULLERTON COLLEGE</v>
      </c>
      <c r="E32" s="71">
        <v>53</v>
      </c>
      <c r="F32" s="71" t="str">
        <f>IF(G28="","L41",IF(G28&lt;I28,_xlfn.CONCAT("L41-",RIGHT(F28,LEN(F28) - FIND("-",F28))), _xlfn.CONCAT("L41-",RIGHT(H28,LEN(H28) - FIND("-",H28)))))</f>
        <v>L41-CAPITAL</v>
      </c>
      <c r="G32" s="81">
        <v>8</v>
      </c>
      <c r="H32" s="71" t="str">
        <f>IF(G27="","W37",IF(G27&gt;I27,_xlfn.CONCAT("W37-",RIGHT(F27,LEN(F27) - FIND("-",F27))), _xlfn.CONCAT("W37-",RIGHT(H27,LEN(H27) - FIND("-",H27)))))</f>
        <v>W37-SAND CANYON BLACK</v>
      </c>
      <c r="I32" s="71">
        <v>9</v>
      </c>
      <c r="J32" s="71" t="s">
        <v>147</v>
      </c>
      <c r="K32" s="71" t="s">
        <v>148</v>
      </c>
      <c r="L32" s="71" t="str">
        <f>IF(E32="","",$L$15&amp;"-"&amp;TEXT(E32,"000"))</f>
        <v>16B-053</v>
      </c>
    </row>
    <row r="33" spans="1:12" ht="14.1" customHeight="1">
      <c r="A33" s="69">
        <f>$A$2</f>
        <v>46226</v>
      </c>
      <c r="B33" s="70">
        <f>'CHICLETS MASTER S2'!AU19</f>
        <v>0.8125</v>
      </c>
      <c r="C33" s="71" t="s">
        <v>140</v>
      </c>
      <c r="D33" s="71" t="str">
        <f>$D$16</f>
        <v>FULLERTON COLLEGE</v>
      </c>
      <c r="E33" s="71">
        <v>57</v>
      </c>
      <c r="F33" s="71" t="str">
        <f>IF(G26="","L33",IF(G26&lt;I26,_xlfn.CONCAT("L33-",RIGHT(F26,LEN(F26) - FIND("-",F26))), _xlfn.CONCAT("L33-",RIGHT(H26,LEN(H26) - FIND("-",H26)))))</f>
        <v>L33-SAN JOSE FOUNDATION</v>
      </c>
      <c r="G33" s="81">
        <v>17</v>
      </c>
      <c r="H33" s="71" t="str">
        <f>IF(G29="","W45",IF(G29&gt;I29,_xlfn.CONCAT("W45-",RIGHT(F29,LEN(F29) - FIND("-",F29))), _xlfn.CONCAT("W45-",RIGHT(H29,LEN(H29) - FIND("-",H29)))))</f>
        <v>W45-GREENWICH WHITE</v>
      </c>
      <c r="I33" s="71">
        <v>7</v>
      </c>
      <c r="J33" s="71" t="s">
        <v>143</v>
      </c>
      <c r="K33" s="71" t="s">
        <v>144</v>
      </c>
      <c r="L33" s="71" t="str">
        <f>IF(E33="","",$L$15&amp;"-"&amp;TEXT(E33,"000"))</f>
        <v>16B-057</v>
      </c>
    </row>
    <row r="34" spans="1:12" ht="14.1" customHeight="1" thickBot="1">
      <c r="A34" s="78"/>
      <c r="B34" s="79"/>
      <c r="C34" s="60"/>
      <c r="D34" s="60"/>
      <c r="E34" s="60"/>
      <c r="I34" s="60"/>
      <c r="J34" s="60"/>
      <c r="K34" s="60"/>
      <c r="L34" s="60"/>
    </row>
    <row r="35" spans="1:12" ht="14.1" customHeight="1" thickBot="1">
      <c r="B35" s="79"/>
      <c r="C35" s="60"/>
      <c r="D35" s="152" t="str">
        <f>'CHICLETS MASTER S2'!AW3</f>
        <v>LONG BEACH CC 1</v>
      </c>
      <c r="E35" s="60"/>
      <c r="I35" s="60"/>
      <c r="J35" s="60"/>
      <c r="K35" s="60"/>
      <c r="L35" s="60"/>
    </row>
    <row r="36" spans="1:12" ht="14.1" customHeight="1">
      <c r="A36" s="150" t="s">
        <v>124</v>
      </c>
      <c r="B36" s="151" t="s">
        <v>125</v>
      </c>
      <c r="C36" s="151" t="s">
        <v>126</v>
      </c>
      <c r="D36" s="151" t="s">
        <v>127</v>
      </c>
      <c r="E36" s="151" t="s">
        <v>128</v>
      </c>
      <c r="F36" s="151" t="s">
        <v>129</v>
      </c>
      <c r="G36" s="151" t="s">
        <v>130</v>
      </c>
      <c r="H36" s="151" t="s">
        <v>131</v>
      </c>
      <c r="I36" s="151" t="s">
        <v>130</v>
      </c>
      <c r="J36" s="151" t="s">
        <v>132</v>
      </c>
      <c r="K36" s="151" t="s">
        <v>133</v>
      </c>
      <c r="L36" s="151" t="s">
        <v>134</v>
      </c>
    </row>
    <row r="37" spans="1:12" ht="14.1" customHeight="1">
      <c r="A37" s="69">
        <f t="shared" ref="A37:A48" si="3">$A$2</f>
        <v>46226</v>
      </c>
      <c r="B37" s="70">
        <f>'CHICLETS MASTER S2'!AU4</f>
        <v>0.29166666666666669</v>
      </c>
      <c r="C37" s="71" t="s">
        <v>218</v>
      </c>
      <c r="D37" s="71" t="str">
        <f t="shared" ref="D37:D48" si="4">$D$35</f>
        <v>LONG BEACH CC 1</v>
      </c>
      <c r="E37" s="71">
        <v>2</v>
      </c>
      <c r="F37" s="71" t="str">
        <f>D5</f>
        <v>4-KEARNS</v>
      </c>
      <c r="G37" s="73">
        <v>8</v>
      </c>
      <c r="H37" s="71" t="str">
        <f>D8</f>
        <v>45-ELMHURST</v>
      </c>
      <c r="I37" s="71">
        <v>14</v>
      </c>
      <c r="J37" s="71">
        <v>26</v>
      </c>
      <c r="K37" s="71">
        <v>30</v>
      </c>
      <c r="L37" s="71" t="str">
        <f t="shared" ref="L37:L48" si="5">IF(E37="","",$L$15&amp;"-"&amp;TEXT(E37,"000"))</f>
        <v>16B-002</v>
      </c>
    </row>
    <row r="38" spans="1:12" ht="14.1" customHeight="1">
      <c r="A38" s="69">
        <f t="shared" si="3"/>
        <v>46226</v>
      </c>
      <c r="B38" s="70">
        <f>'CHICLETS MASTER S2'!AU5</f>
        <v>0.3263888888888889</v>
      </c>
      <c r="C38" s="71" t="s">
        <v>218</v>
      </c>
      <c r="D38" s="71" t="str">
        <f t="shared" si="4"/>
        <v>LONG BEACH CC 1</v>
      </c>
      <c r="E38" s="71">
        <v>6</v>
      </c>
      <c r="F38" s="71" t="str">
        <f>D6</f>
        <v>21-AETOS</v>
      </c>
      <c r="G38" s="73">
        <v>15</v>
      </c>
      <c r="H38" s="71" t="str">
        <f>D7</f>
        <v>28-VNITED A</v>
      </c>
      <c r="I38" s="71">
        <v>9</v>
      </c>
      <c r="J38" s="71">
        <v>26</v>
      </c>
      <c r="K38" s="71">
        <v>30</v>
      </c>
      <c r="L38" s="71" t="str">
        <f t="shared" si="5"/>
        <v>16B-006</v>
      </c>
    </row>
    <row r="39" spans="1:12" ht="14.1" customHeight="1">
      <c r="A39" s="69">
        <f t="shared" si="3"/>
        <v>46226</v>
      </c>
      <c r="B39" s="70">
        <f>'CHICLETS MASTER S2'!AU6</f>
        <v>0.36111111111111099</v>
      </c>
      <c r="C39" s="71" t="s">
        <v>218</v>
      </c>
      <c r="D39" s="71" t="str">
        <f t="shared" si="4"/>
        <v>LONG BEACH CC 1</v>
      </c>
      <c r="E39" s="71">
        <v>10</v>
      </c>
      <c r="F39" s="71" t="str">
        <f>E5</f>
        <v>5-SD DONS</v>
      </c>
      <c r="G39" s="73">
        <v>7</v>
      </c>
      <c r="H39" s="71" t="str">
        <f>E8</f>
        <v>44-KERN PREMIER</v>
      </c>
      <c r="I39" s="71">
        <v>5</v>
      </c>
      <c r="J39" s="71">
        <v>34</v>
      </c>
      <c r="K39" s="71">
        <v>38</v>
      </c>
      <c r="L39" s="71" t="str">
        <f t="shared" si="5"/>
        <v>16B-010</v>
      </c>
    </row>
    <row r="40" spans="1:12" ht="14.1" customHeight="1">
      <c r="A40" s="69">
        <f t="shared" si="3"/>
        <v>46226</v>
      </c>
      <c r="B40" s="70">
        <f>'CHICLETS MASTER S2'!AU7</f>
        <v>0.39583333333333398</v>
      </c>
      <c r="C40" s="71" t="s">
        <v>218</v>
      </c>
      <c r="D40" s="71" t="str">
        <f t="shared" si="4"/>
        <v>LONG BEACH CC 1</v>
      </c>
      <c r="E40" s="71">
        <v>14</v>
      </c>
      <c r="F40" s="71" t="str">
        <f>E6</f>
        <v>20-IMPERIAL</v>
      </c>
      <c r="G40" s="73">
        <v>11</v>
      </c>
      <c r="H40" s="71" t="str">
        <f>E7</f>
        <v>29-SANTA CRUZ</v>
      </c>
      <c r="I40" s="71">
        <v>7</v>
      </c>
      <c r="J40" s="71">
        <v>34</v>
      </c>
      <c r="K40" s="71">
        <v>38</v>
      </c>
      <c r="L40" s="71" t="str">
        <f t="shared" si="5"/>
        <v>16B-014</v>
      </c>
    </row>
    <row r="41" spans="1:12" ht="14.1" customHeight="1">
      <c r="A41" s="69">
        <f t="shared" si="3"/>
        <v>46226</v>
      </c>
      <c r="B41" s="70">
        <f>'CHICLETS MASTER S2'!AU8</f>
        <v>0.43055555555555602</v>
      </c>
      <c r="C41" s="71" t="s">
        <v>218</v>
      </c>
      <c r="D41" s="71" t="str">
        <f t="shared" si="4"/>
        <v>LONG BEACH CC 1</v>
      </c>
      <c r="E41" s="71">
        <v>18</v>
      </c>
      <c r="F41" s="71" t="str">
        <f>F5</f>
        <v>6-NEWPORT BEACH BLUE</v>
      </c>
      <c r="G41" s="73">
        <v>22</v>
      </c>
      <c r="H41" s="71" t="str">
        <f>F8</f>
        <v>43-LYONS AQUATICS</v>
      </c>
      <c r="I41" s="71">
        <v>4</v>
      </c>
      <c r="J41" s="71">
        <v>42</v>
      </c>
      <c r="K41" s="71">
        <v>46</v>
      </c>
      <c r="L41" s="71" t="str">
        <f t="shared" si="5"/>
        <v>16B-018</v>
      </c>
    </row>
    <row r="42" spans="1:12" ht="14.1" customHeight="1">
      <c r="A42" s="69">
        <f t="shared" si="3"/>
        <v>46226</v>
      </c>
      <c r="B42" s="70">
        <f>'CHICLETS MASTER S2'!AU9</f>
        <v>0.46527777777777801</v>
      </c>
      <c r="C42" s="71" t="s">
        <v>218</v>
      </c>
      <c r="D42" s="71" t="str">
        <f t="shared" si="4"/>
        <v>LONG BEACH CC 1</v>
      </c>
      <c r="E42" s="71">
        <v>22</v>
      </c>
      <c r="F42" s="71" t="str">
        <f>F6</f>
        <v>19-MISSION</v>
      </c>
      <c r="G42" s="73">
        <v>7</v>
      </c>
      <c r="H42" s="71" t="str">
        <f>F7</f>
        <v>30-LB SHORE RED</v>
      </c>
      <c r="I42" s="71">
        <v>10</v>
      </c>
      <c r="J42" s="71">
        <v>42</v>
      </c>
      <c r="K42" s="71">
        <v>46</v>
      </c>
      <c r="L42" s="71" t="str">
        <f t="shared" si="5"/>
        <v>16B-022</v>
      </c>
    </row>
    <row r="43" spans="1:12" ht="14.1" customHeight="1">
      <c r="A43" s="69">
        <f t="shared" si="3"/>
        <v>46226</v>
      </c>
      <c r="B43" s="70">
        <f>'CHICLETS MASTER S2'!AU10</f>
        <v>0.5</v>
      </c>
      <c r="C43" s="71" t="s">
        <v>218</v>
      </c>
      <c r="D43" s="71" t="str">
        <f t="shared" si="4"/>
        <v>LONG BEACH CC 1</v>
      </c>
      <c r="E43" s="71">
        <v>26</v>
      </c>
      <c r="F43" s="71" t="str">
        <f>IF(G37="","W2",IF(G37&gt;I37,_xlfn.CONCAT("W2-",RIGHT(F37,LEN(F37) - FIND("-",F37))), _xlfn.CONCAT("W2-",RIGHT(H37,LEN(H37) - FIND("-",H37)))))</f>
        <v>W2-ELMHURST</v>
      </c>
      <c r="G43" s="81">
        <v>3</v>
      </c>
      <c r="H43" s="71" t="str">
        <f>IF(G38="","W6",IF(G38&gt;I38,_xlfn.CONCAT("W6-",RIGHT(F38,LEN(F38) - FIND("-",F38))), _xlfn.CONCAT("W6-",RIGHT(H38,LEN(H38) - FIND("-",H38)))))</f>
        <v>W6-AETOS</v>
      </c>
      <c r="I43" s="71">
        <v>7</v>
      </c>
      <c r="J43" s="71" t="s">
        <v>387</v>
      </c>
      <c r="K43" s="71">
        <v>49</v>
      </c>
      <c r="L43" s="71" t="str">
        <f t="shared" si="5"/>
        <v>16B-026</v>
      </c>
    </row>
    <row r="44" spans="1:12" ht="14.1" customHeight="1">
      <c r="A44" s="69">
        <f t="shared" si="3"/>
        <v>46226</v>
      </c>
      <c r="B44" s="70">
        <f>'CHICLETS MASTER S2'!AU11</f>
        <v>0.53472222222222199</v>
      </c>
      <c r="C44" s="71" t="s">
        <v>218</v>
      </c>
      <c r="D44" s="71" t="str">
        <f t="shared" si="4"/>
        <v>LONG BEACH CC 1</v>
      </c>
      <c r="E44" s="71">
        <v>30</v>
      </c>
      <c r="F44" s="71" t="str">
        <f>IF(G37="","L2",IF(G37&lt;I37,_xlfn.CONCAT("L2-",RIGHT(F37,LEN(F37) - FIND("-",F37))), _xlfn.CONCAT("L2-",RIGHT(H37,LEN(H37) - FIND("-",H37)))))</f>
        <v>L2-KEARNS</v>
      </c>
      <c r="G44" s="81">
        <v>4</v>
      </c>
      <c r="H44" s="71" t="str">
        <f>IF(G38="","L6",IF(G38&lt;I38,_xlfn.CONCAT("L6-",RIGHT(F38,LEN(F38) - FIND("-",F38))), _xlfn.CONCAT("L6-",RIGHT(H38,LEN(H38) - FIND("-",H38)))))</f>
        <v>L6-VNITED A</v>
      </c>
      <c r="I44" s="71">
        <v>15</v>
      </c>
      <c r="J44" s="71">
        <v>50</v>
      </c>
      <c r="K44" s="71" t="s">
        <v>388</v>
      </c>
      <c r="L44" s="71" t="str">
        <f t="shared" si="5"/>
        <v>16B-030</v>
      </c>
    </row>
    <row r="45" spans="1:12" ht="14.1" customHeight="1">
      <c r="A45" s="69">
        <f t="shared" si="3"/>
        <v>46226</v>
      </c>
      <c r="B45" s="70">
        <f>'CHICLETS MASTER S2'!AU12</f>
        <v>0.56944444444444497</v>
      </c>
      <c r="C45" s="71" t="s">
        <v>218</v>
      </c>
      <c r="D45" s="71" t="str">
        <f t="shared" si="4"/>
        <v>LONG BEACH CC 1</v>
      </c>
      <c r="E45" s="71">
        <v>34</v>
      </c>
      <c r="F45" s="71" t="str">
        <f>IF(G39="","W10",IF(G39&gt;I39,_xlfn.CONCAT("W10-",RIGHT(F39,LEN(F39) - FIND("-",F39))), _xlfn.CONCAT("W10-",RIGHT(H39,LEN(H39) - FIND("-",H39)))))</f>
        <v>W10-SD DONS</v>
      </c>
      <c r="G45" s="73">
        <v>11</v>
      </c>
      <c r="H45" s="71" t="str">
        <f>IF(G40="","W14",IF(G40&gt;I40,_xlfn.CONCAT("W14-",RIGHT(F40,LEN(F40) - FIND("-",F40))), _xlfn.CONCAT("W14-",RIGHT(H40,LEN(H40) - FIND("-",H40)))))</f>
        <v>W14-IMPERIAL</v>
      </c>
      <c r="I45" s="71">
        <v>13</v>
      </c>
      <c r="J45" s="71" t="s">
        <v>389</v>
      </c>
      <c r="K45" s="71">
        <v>58</v>
      </c>
      <c r="L45" s="71" t="str">
        <f t="shared" si="5"/>
        <v>16B-034</v>
      </c>
    </row>
    <row r="46" spans="1:12" ht="14.1" customHeight="1">
      <c r="A46" s="69">
        <f t="shared" si="3"/>
        <v>46226</v>
      </c>
      <c r="B46" s="70">
        <f>'CHICLETS MASTER S2'!AU13</f>
        <v>0.60416666666666696</v>
      </c>
      <c r="C46" s="71" t="s">
        <v>218</v>
      </c>
      <c r="D46" s="71" t="str">
        <f t="shared" si="4"/>
        <v>LONG BEACH CC 1</v>
      </c>
      <c r="E46" s="71">
        <v>38</v>
      </c>
      <c r="F46" s="71" t="str">
        <f>IF(G39="","L10",IF(G39&lt;I39,_xlfn.CONCAT("L10-",RIGHT(F39,LEN(F39) - FIND("-",F39))), _xlfn.CONCAT("L10-",RIGHT(H39,LEN(H39) - FIND("-",H39)))))</f>
        <v>L10-KERN PREMIER</v>
      </c>
      <c r="G46" s="73">
        <v>7</v>
      </c>
      <c r="H46" s="71" t="str">
        <f>IF(G40="","L14",IF(G40&lt;I40,_xlfn.CONCAT("L14-",RIGHT(F40,LEN(F40) - FIND("-",F40))), _xlfn.CONCAT("L14-",RIGHT(H40,LEN(H40) - FIND("-",H40)))))</f>
        <v>L14-SANTA CRUZ</v>
      </c>
      <c r="I46" s="71">
        <v>13</v>
      </c>
      <c r="J46" s="71">
        <v>54</v>
      </c>
      <c r="K46" s="71" t="s">
        <v>390</v>
      </c>
      <c r="L46" s="71" t="str">
        <f t="shared" si="5"/>
        <v>16B-038</v>
      </c>
    </row>
    <row r="47" spans="1:12" ht="14.1" customHeight="1">
      <c r="A47" s="69">
        <f t="shared" si="3"/>
        <v>46226</v>
      </c>
      <c r="B47" s="70">
        <f>'CHICLETS MASTER S2'!AU14</f>
        <v>0.63888888888888895</v>
      </c>
      <c r="C47" s="71" t="s">
        <v>218</v>
      </c>
      <c r="D47" s="71" t="str">
        <f t="shared" si="4"/>
        <v>LONG BEACH CC 1</v>
      </c>
      <c r="E47" s="71">
        <v>42</v>
      </c>
      <c r="F47" s="71" t="str">
        <f>IF(G41="","W18",IF(G41&gt;I41,_xlfn.CONCAT("W18-",RIGHT(F41,LEN(F41) - FIND("-",F41))), _xlfn.CONCAT("W18-",RIGHT(H41,LEN(H41) - FIND("-",H41)))))</f>
        <v>W18-NEWPORT BEACH BLUE</v>
      </c>
      <c r="G47" s="73">
        <v>20</v>
      </c>
      <c r="H47" s="71" t="str">
        <f>IF(G42="","W22",IF(G42&gt;I42,_xlfn.CONCAT("W22-",RIGHT(F42,LEN(F42) - FIND("-",F42))), _xlfn.CONCAT("W22-",RIGHT(H42,LEN(H42) - FIND("-",H42)))))</f>
        <v>W22-LB SHORE RED</v>
      </c>
      <c r="I47" s="71">
        <v>4</v>
      </c>
      <c r="J47" s="71" t="s">
        <v>391</v>
      </c>
      <c r="K47" s="71">
        <v>54</v>
      </c>
      <c r="L47" s="71" t="str">
        <f t="shared" si="5"/>
        <v>16B-042</v>
      </c>
    </row>
    <row r="48" spans="1:12" ht="14.1" customHeight="1">
      <c r="A48" s="69">
        <f t="shared" si="3"/>
        <v>46226</v>
      </c>
      <c r="B48" s="70">
        <f>'CHICLETS MASTER S2'!AU15</f>
        <v>0.67361111111111105</v>
      </c>
      <c r="C48" s="71" t="s">
        <v>218</v>
      </c>
      <c r="D48" s="71" t="str">
        <f t="shared" si="4"/>
        <v>LONG BEACH CC 1</v>
      </c>
      <c r="E48" s="71">
        <v>46</v>
      </c>
      <c r="F48" s="71" t="str">
        <f>IF(G41="","L18",IF(G41&lt;I41,_xlfn.CONCAT("L18-",RIGHT(F41,LEN(F41) - FIND("-",F41))), _xlfn.CONCAT("L18-",RIGHT(H41,LEN(H41) - FIND("-",H41)))))</f>
        <v>L18-LYONS AQUATICS</v>
      </c>
      <c r="G48" s="73">
        <v>5</v>
      </c>
      <c r="H48" s="71" t="str">
        <f>IF(G42="","L22",IF(G42&lt;I42,_xlfn.CONCAT("L22-",RIGHT(F42,LEN(F42) - FIND("-",F42))), _xlfn.CONCAT("L22-",RIGHT(H42,LEN(H42) - FIND("-",H42)))))</f>
        <v>L22-MISSION</v>
      </c>
      <c r="I48" s="71">
        <v>15</v>
      </c>
      <c r="J48" s="71">
        <v>58</v>
      </c>
      <c r="K48" s="71" t="s">
        <v>392</v>
      </c>
      <c r="L48" s="71" t="str">
        <f t="shared" si="5"/>
        <v>16B-046</v>
      </c>
    </row>
    <row r="49" spans="1:12" ht="14.1" customHeight="1">
      <c r="A49" s="75"/>
      <c r="B49" s="60" t="s">
        <v>139</v>
      </c>
      <c r="C49" s="60"/>
      <c r="D49" s="60"/>
      <c r="E49" s="60"/>
      <c r="F49" s="60"/>
      <c r="G49" s="64"/>
      <c r="H49" s="60"/>
      <c r="I49" s="60"/>
      <c r="J49" s="60"/>
      <c r="K49" s="60"/>
      <c r="L49" s="60"/>
    </row>
    <row r="50" spans="1:12" ht="14.1" customHeight="1">
      <c r="A50" s="69">
        <f>$A$2</f>
        <v>46226</v>
      </c>
      <c r="B50" s="70">
        <f>'CHICLETS MASTER S2'!AU17</f>
        <v>0.74305555555555602</v>
      </c>
      <c r="C50" s="71" t="s">
        <v>140</v>
      </c>
      <c r="D50" s="71" t="str">
        <f>$D$35</f>
        <v>LONG BEACH CC 1</v>
      </c>
      <c r="E50" s="71">
        <v>50</v>
      </c>
      <c r="F50" s="76" t="str">
        <f>IF(G24="","L25",IF(G24&lt;I24,_xlfn.CONCAT("L25-",RIGHT(F24,LEN(F24) - FIND("-",F24))), _xlfn.CONCAT("L25-",RIGHT(H24,LEN(H24) - FIND("-",H24)))))</f>
        <v>L25-ROSE BOWL RED</v>
      </c>
      <c r="G50" s="81">
        <v>12</v>
      </c>
      <c r="H50" s="71" t="str">
        <f>IF(G44="","W30",IF(G44&gt;I44,_xlfn.CONCAT("W30-",RIGHT(F44,LEN(F44) - FIND("-",F44))), _xlfn.CONCAT("W30-",RIGHT(H44,LEN(H44) - FIND("-",H44)))))</f>
        <v>W30-VNITED A</v>
      </c>
      <c r="I50" s="71">
        <v>11</v>
      </c>
      <c r="J50" s="71" t="s">
        <v>151</v>
      </c>
      <c r="K50" s="71" t="s">
        <v>393</v>
      </c>
      <c r="L50" s="71" t="str">
        <f>IF(E50="","",$L$15&amp;"-"&amp;TEXT(E50,"000"))</f>
        <v>16B-050</v>
      </c>
    </row>
    <row r="51" spans="1:12" ht="14.1" customHeight="1">
      <c r="A51" s="69">
        <f>$A$2</f>
        <v>46226</v>
      </c>
      <c r="B51" s="70">
        <f>'CHICLETS MASTER S2'!AU18</f>
        <v>0.77777777777777801</v>
      </c>
      <c r="C51" s="71" t="s">
        <v>140</v>
      </c>
      <c r="D51" s="71" t="str">
        <f>$D$35</f>
        <v>LONG BEACH CC 1</v>
      </c>
      <c r="E51" s="71">
        <v>54</v>
      </c>
      <c r="F51" s="71" t="str">
        <f>IF(G47="","L42",IF(G47&lt;I47,_xlfn.CONCAT("L42-",RIGHT(F47,LEN(F47) - FIND("-",F47))), _xlfn.CONCAT("L42-",RIGHT(H47,LEN(H47) - FIND("-",H47)))))</f>
        <v>L42-LB SHORE RED</v>
      </c>
      <c r="G51" s="81">
        <v>7</v>
      </c>
      <c r="H51" s="71" t="str">
        <f>IF(G46="","W38",IF(G46&gt;I46,_xlfn.CONCAT("W38-",RIGHT(F46,LEN(F46) - FIND("-",F46))), _xlfn.CONCAT("W38-",RIGHT(H46,LEN(H46) - FIND("-",H46)))))</f>
        <v>W38-SANTA CRUZ</v>
      </c>
      <c r="I51" s="71">
        <v>6</v>
      </c>
      <c r="J51" s="71" t="s">
        <v>171</v>
      </c>
      <c r="K51" s="71" t="s">
        <v>394</v>
      </c>
      <c r="L51" s="71" t="str">
        <f>IF(E51="","",$L$15&amp;"-"&amp;TEXT(E51,"000"))</f>
        <v>16B-054</v>
      </c>
    </row>
    <row r="52" spans="1:12" ht="14.1" customHeight="1">
      <c r="A52" s="69">
        <f>$A$2</f>
        <v>46226</v>
      </c>
      <c r="B52" s="70">
        <f>'CHICLETS MASTER S2'!AU19</f>
        <v>0.8125</v>
      </c>
      <c r="C52" s="71" t="s">
        <v>140</v>
      </c>
      <c r="D52" s="71" t="str">
        <f>$D$35</f>
        <v>LONG BEACH CC 1</v>
      </c>
      <c r="E52" s="71">
        <v>58</v>
      </c>
      <c r="F52" s="71" t="str">
        <f>IF(G45="","L34",IF(G45&lt;I45,_xlfn.CONCAT("L34-",RIGHT(F45,LEN(F45) - FIND("-",F45))), _xlfn.CONCAT("L34-",RIGHT(H45,LEN(H45) - FIND("-",H45)))))</f>
        <v>L34-SD DONS</v>
      </c>
      <c r="G52" s="81">
        <v>10</v>
      </c>
      <c r="H52" s="71" t="str">
        <f>IF(G48="","W46",IF(G48&gt;I48,_xlfn.CONCAT("W46-",RIGHT(F48,LEN(F48) - FIND("-",F48))), _xlfn.CONCAT("W46-",RIGHT(H48,LEN(H48) - FIND("-",H48)))))</f>
        <v>W46-MISSION</v>
      </c>
      <c r="I52" s="71">
        <v>8</v>
      </c>
      <c r="J52" s="71" t="s">
        <v>175</v>
      </c>
      <c r="K52" s="71" t="s">
        <v>172</v>
      </c>
      <c r="L52" s="71" t="str">
        <f>IF(E52="","",$L$15&amp;"-"&amp;TEXT(E52,"000"))</f>
        <v>16B-058</v>
      </c>
    </row>
    <row r="53" spans="1:12" ht="14.1" customHeight="1" thickBot="1"/>
    <row r="54" spans="1:12" ht="14.1" customHeight="1" thickBot="1">
      <c r="B54" s="60"/>
      <c r="C54" s="60"/>
      <c r="D54" s="68" t="str">
        <f>'CHICLETS MASTER S2'!$AX$3</f>
        <v>SERVITE HS</v>
      </c>
      <c r="I54" s="60"/>
      <c r="J54" s="60"/>
      <c r="K54" s="60"/>
      <c r="L54" s="60"/>
    </row>
    <row r="55" spans="1:12" ht="14.1" customHeight="1">
      <c r="A55" s="150" t="s">
        <v>124</v>
      </c>
      <c r="B55" s="151" t="s">
        <v>125</v>
      </c>
      <c r="C55" s="151" t="s">
        <v>126</v>
      </c>
      <c r="D55" s="151" t="s">
        <v>127</v>
      </c>
      <c r="E55" s="151" t="s">
        <v>128</v>
      </c>
      <c r="F55" s="151" t="s">
        <v>129</v>
      </c>
      <c r="G55" s="151" t="s">
        <v>130</v>
      </c>
      <c r="H55" s="151" t="s">
        <v>131</v>
      </c>
      <c r="I55" s="151" t="s">
        <v>130</v>
      </c>
      <c r="J55" s="151" t="s">
        <v>132</v>
      </c>
      <c r="K55" s="151" t="s">
        <v>133</v>
      </c>
      <c r="L55" s="151" t="s">
        <v>134</v>
      </c>
    </row>
    <row r="56" spans="1:12" ht="14.1" customHeight="1">
      <c r="A56" s="69">
        <f t="shared" ref="A56:A67" si="6">$A$2</f>
        <v>46226</v>
      </c>
      <c r="B56" s="70">
        <f>'CHICLETS MASTER S2'!AU4</f>
        <v>0.29166666666666669</v>
      </c>
      <c r="C56" s="71" t="s">
        <v>218</v>
      </c>
      <c r="D56" s="71" t="str">
        <f t="shared" ref="D56:D67" si="7">$D$54</f>
        <v>SERVITE HS</v>
      </c>
      <c r="E56" s="71">
        <v>3</v>
      </c>
      <c r="F56" s="71" t="str">
        <f>C11</f>
        <v>9-SANTA BARBARA WPC A</v>
      </c>
      <c r="G56" s="73">
        <v>11</v>
      </c>
      <c r="H56" s="71" t="str">
        <f>C14</f>
        <v>40-PEGASUS BLUE</v>
      </c>
      <c r="I56" s="71">
        <v>2</v>
      </c>
      <c r="J56" s="71">
        <v>27</v>
      </c>
      <c r="K56" s="71">
        <v>31</v>
      </c>
      <c r="L56" s="71" t="str">
        <f t="shared" ref="L56:L67" si="8">IF(E56="","",$L$15&amp;"-"&amp;TEXT(E56,"000"))</f>
        <v>16B-003</v>
      </c>
    </row>
    <row r="57" spans="1:12" ht="14.1" customHeight="1">
      <c r="A57" s="69">
        <f t="shared" si="6"/>
        <v>46226</v>
      </c>
      <c r="B57" s="70">
        <f>'CHICLETS MASTER S2'!AU5</f>
        <v>0.3263888888888889</v>
      </c>
      <c r="C57" s="71" t="s">
        <v>218</v>
      </c>
      <c r="D57" s="71" t="str">
        <f t="shared" si="7"/>
        <v>SERVITE HS</v>
      </c>
      <c r="E57" s="71">
        <v>7</v>
      </c>
      <c r="F57" s="71" t="str">
        <f>C12</f>
        <v>16-PATRIOT NAVY</v>
      </c>
      <c r="G57" s="73">
        <v>14</v>
      </c>
      <c r="H57" s="71" t="str">
        <f>C13</f>
        <v>33-HONOLULU A</v>
      </c>
      <c r="I57" s="71">
        <v>8</v>
      </c>
      <c r="J57" s="71">
        <v>27</v>
      </c>
      <c r="K57" s="71">
        <v>31</v>
      </c>
      <c r="L57" s="71" t="str">
        <f t="shared" si="8"/>
        <v>16B-007</v>
      </c>
    </row>
    <row r="58" spans="1:12" ht="14.1" customHeight="1">
      <c r="A58" s="69">
        <f t="shared" si="6"/>
        <v>46226</v>
      </c>
      <c r="B58" s="70">
        <f>'CHICLETS MASTER S2'!AU6</f>
        <v>0.36111111111111099</v>
      </c>
      <c r="C58" s="71" t="s">
        <v>218</v>
      </c>
      <c r="D58" s="71" t="str">
        <f t="shared" si="7"/>
        <v>SERVITE HS</v>
      </c>
      <c r="E58" s="71">
        <v>11</v>
      </c>
      <c r="F58" s="71" t="str">
        <f>A11</f>
        <v>7-CIU GOLD</v>
      </c>
      <c r="G58" s="73">
        <v>9</v>
      </c>
      <c r="H58" s="71" t="str">
        <f>A14</f>
        <v>42-CHICAGO PARK</v>
      </c>
      <c r="I58" s="71">
        <v>5</v>
      </c>
      <c r="J58" s="71">
        <v>35</v>
      </c>
      <c r="K58" s="71">
        <v>39</v>
      </c>
      <c r="L58" s="71" t="str">
        <f t="shared" si="8"/>
        <v>16B-011</v>
      </c>
    </row>
    <row r="59" spans="1:12" ht="14.1" customHeight="1">
      <c r="A59" s="69">
        <f t="shared" si="6"/>
        <v>46226</v>
      </c>
      <c r="B59" s="70">
        <f>'CHICLETS MASTER S2'!AU7</f>
        <v>0.39583333333333398</v>
      </c>
      <c r="C59" s="71" t="s">
        <v>218</v>
      </c>
      <c r="D59" s="71" t="str">
        <f t="shared" si="7"/>
        <v>SERVITE HS</v>
      </c>
      <c r="E59" s="71">
        <v>15</v>
      </c>
      <c r="F59" s="71" t="str">
        <f>A12</f>
        <v>18-LA JOLLA UNITED B</v>
      </c>
      <c r="G59" s="73">
        <v>12</v>
      </c>
      <c r="H59" s="71" t="str">
        <f>A13</f>
        <v>31-CLOVIS A</v>
      </c>
      <c r="I59" s="71">
        <v>7</v>
      </c>
      <c r="J59" s="71">
        <v>35</v>
      </c>
      <c r="K59" s="71">
        <v>39</v>
      </c>
      <c r="L59" s="71" t="str">
        <f t="shared" si="8"/>
        <v>16B-015</v>
      </c>
    </row>
    <row r="60" spans="1:12" ht="14.1" customHeight="1">
      <c r="A60" s="69">
        <f t="shared" si="6"/>
        <v>46226</v>
      </c>
      <c r="B60" s="70">
        <f>'CHICLETS MASTER S2'!AU8</f>
        <v>0.43055555555555602</v>
      </c>
      <c r="C60" s="71" t="s">
        <v>218</v>
      </c>
      <c r="D60" s="71" t="str">
        <f t="shared" si="7"/>
        <v>SERVITE HS</v>
      </c>
      <c r="E60" s="71">
        <v>19</v>
      </c>
      <c r="F60" s="71" t="str">
        <f>B11</f>
        <v>8-VANGUARD BLUE</v>
      </c>
      <c r="G60" s="73">
        <v>25</v>
      </c>
      <c r="H60" s="71" t="str">
        <f>B14</f>
        <v>41-CLOVIS RED</v>
      </c>
      <c r="I60" s="71">
        <v>4</v>
      </c>
      <c r="J60" s="71">
        <v>43</v>
      </c>
      <c r="K60" s="71">
        <v>47</v>
      </c>
      <c r="L60" s="71" t="str">
        <f t="shared" si="8"/>
        <v>16B-019</v>
      </c>
    </row>
    <row r="61" spans="1:12" ht="14.1" customHeight="1">
      <c r="A61" s="69">
        <f t="shared" si="6"/>
        <v>46226</v>
      </c>
      <c r="B61" s="70">
        <f>'CHICLETS MASTER S2'!AU9</f>
        <v>0.46527777777777801</v>
      </c>
      <c r="C61" s="71" t="s">
        <v>218</v>
      </c>
      <c r="D61" s="71" t="str">
        <f t="shared" si="7"/>
        <v>SERVITE HS</v>
      </c>
      <c r="E61" s="71">
        <v>23</v>
      </c>
      <c r="F61" s="71" t="str">
        <f>B12</f>
        <v>17-680 RED</v>
      </c>
      <c r="G61" s="73">
        <v>10</v>
      </c>
      <c r="H61" s="71" t="str">
        <f>B13</f>
        <v>32-AMERICAN RIVER BLUE</v>
      </c>
      <c r="I61" s="71">
        <v>9</v>
      </c>
      <c r="J61" s="71">
        <v>43</v>
      </c>
      <c r="K61" s="71">
        <v>47</v>
      </c>
      <c r="L61" s="71" t="str">
        <f t="shared" si="8"/>
        <v>16B-023</v>
      </c>
    </row>
    <row r="62" spans="1:12" ht="14.1" customHeight="1">
      <c r="A62" s="69">
        <f t="shared" si="6"/>
        <v>46226</v>
      </c>
      <c r="B62" s="70">
        <f>'CHICLETS MASTER S2'!AU10</f>
        <v>0.5</v>
      </c>
      <c r="C62" s="71" t="s">
        <v>218</v>
      </c>
      <c r="D62" s="71" t="str">
        <f t="shared" si="7"/>
        <v>SERVITE HS</v>
      </c>
      <c r="E62" s="71">
        <v>27</v>
      </c>
      <c r="F62" s="71" t="str">
        <f>IF(G56="","W3",IF(G56&gt;I56,_xlfn.CONCAT("W3-",RIGHT(F56,LEN(F56) - FIND("-",F56))), _xlfn.CONCAT("W3-",RIGHT(H56,LEN(H56) - FIND("-",H56)))))</f>
        <v>W3-SANTA BARBARA WPC A</v>
      </c>
      <c r="G62" s="73">
        <v>10</v>
      </c>
      <c r="H62" s="71" t="str">
        <f>IF(G57="","W7",IF(G57&gt;I57,_xlfn.CONCAT("W7-",RIGHT(F57,LEN(F57) - FIND("-",F57))), _xlfn.CONCAT("W7-",RIGHT(H57,LEN(H57) - FIND("-",H57)))))</f>
        <v>W7-PATRIOT NAVY</v>
      </c>
      <c r="I62" s="71">
        <v>12</v>
      </c>
      <c r="J62" s="71" t="s">
        <v>395</v>
      </c>
      <c r="K62" s="71">
        <v>52</v>
      </c>
      <c r="L62" s="71" t="str">
        <f t="shared" si="8"/>
        <v>16B-027</v>
      </c>
    </row>
    <row r="63" spans="1:12" ht="14.1" customHeight="1">
      <c r="A63" s="69">
        <f t="shared" si="6"/>
        <v>46226</v>
      </c>
      <c r="B63" s="70">
        <f>'CHICLETS MASTER S2'!AU11</f>
        <v>0.53472222222222199</v>
      </c>
      <c r="C63" s="71" t="s">
        <v>218</v>
      </c>
      <c r="D63" s="71" t="str">
        <f t="shared" si="7"/>
        <v>SERVITE HS</v>
      </c>
      <c r="E63" s="71">
        <v>31</v>
      </c>
      <c r="F63" s="71" t="str">
        <f>IF(G56="","L3",IF(G56&lt;I56,_xlfn.CONCAT("L3-",RIGHT(F56,LEN(F56) - FIND("-",F56))), _xlfn.CONCAT("L3-",RIGHT(H56,LEN(H56) - FIND("-",H56)))))</f>
        <v>L3-PEGASUS BLUE</v>
      </c>
      <c r="G63" s="73">
        <v>6</v>
      </c>
      <c r="H63" s="71" t="str">
        <f>IF(G57="","L7",IF(G57&lt;I57,_xlfn.CONCAT("L7-",RIGHT(F57,LEN(F57) - FIND("-",F57))), _xlfn.CONCAT("L7-",RIGHT(H57,LEN(H57) - FIND("-",H57)))))</f>
        <v>L7-HONOLULU A</v>
      </c>
      <c r="I63" s="71">
        <v>10</v>
      </c>
      <c r="J63" s="71">
        <v>51</v>
      </c>
      <c r="K63" s="71" t="s">
        <v>396</v>
      </c>
      <c r="L63" s="71" t="str">
        <f t="shared" si="8"/>
        <v>16B-031</v>
      </c>
    </row>
    <row r="64" spans="1:12" ht="14.1" customHeight="1">
      <c r="A64" s="69">
        <f t="shared" si="6"/>
        <v>46226</v>
      </c>
      <c r="B64" s="70">
        <f>'CHICLETS MASTER S2'!AU12</f>
        <v>0.56944444444444497</v>
      </c>
      <c r="C64" s="71" t="s">
        <v>218</v>
      </c>
      <c r="D64" s="71" t="str">
        <f t="shared" si="7"/>
        <v>SERVITE HS</v>
      </c>
      <c r="E64" s="71">
        <v>35</v>
      </c>
      <c r="F64" s="71" t="str">
        <f>IF(G58="","W11",IF(G58&gt;I58,_xlfn.CONCAT("W11-",RIGHT(F58,LEN(F58) - FIND("-",F58))), _xlfn.CONCAT("W11-",RIGHT(H58,LEN(H58) - FIND("-",H58)))))</f>
        <v>W11-CIU GOLD</v>
      </c>
      <c r="G64" s="73">
        <v>15</v>
      </c>
      <c r="H64" s="71" t="str">
        <f>IF(G59="","W15",IF(G59&gt;I59,_xlfn.CONCAT("W15-",RIGHT(F59,LEN(F59) - FIND("-",F59))), _xlfn.CONCAT("W15-",RIGHT(H59,LEN(H59) - FIND("-",H59)))))</f>
        <v>W15-LA JOLLA UNITED B</v>
      </c>
      <c r="I64" s="71">
        <v>9</v>
      </c>
      <c r="J64" s="71" t="s">
        <v>397</v>
      </c>
      <c r="K64" s="71">
        <v>59</v>
      </c>
      <c r="L64" s="71" t="str">
        <f t="shared" si="8"/>
        <v>16B-035</v>
      </c>
    </row>
    <row r="65" spans="1:12" ht="14.1" customHeight="1">
      <c r="A65" s="69">
        <f t="shared" si="6"/>
        <v>46226</v>
      </c>
      <c r="B65" s="70">
        <f>'CHICLETS MASTER S2'!AU13</f>
        <v>0.60416666666666696</v>
      </c>
      <c r="C65" s="71" t="s">
        <v>218</v>
      </c>
      <c r="D65" s="71" t="str">
        <f t="shared" si="7"/>
        <v>SERVITE HS</v>
      </c>
      <c r="E65" s="71">
        <v>39</v>
      </c>
      <c r="F65" s="71" t="str">
        <f>IF(G58="","L11",IF(G58&lt;I58,_xlfn.CONCAT("L11-",RIGHT(F58,LEN(F58) - FIND("-",F58))), _xlfn.CONCAT("L11-",RIGHT(H58,LEN(H58) - FIND("-",H58)))))</f>
        <v>L11-CHICAGO PARK</v>
      </c>
      <c r="G65" s="73">
        <v>7</v>
      </c>
      <c r="H65" s="71" t="str">
        <f>IF(G59="","L15",IF(G59&lt;I59,_xlfn.CONCAT("L15-",RIGHT(F59,LEN(F59) - FIND("-",F59))), _xlfn.CONCAT("L15-",RIGHT(H59,LEN(H59) - FIND("-",H59)))))</f>
        <v>L15-CLOVIS A</v>
      </c>
      <c r="I65" s="71">
        <v>10</v>
      </c>
      <c r="J65" s="71">
        <v>55</v>
      </c>
      <c r="K65" s="71" t="s">
        <v>398</v>
      </c>
      <c r="L65" s="71" t="str">
        <f t="shared" si="8"/>
        <v>16B-039</v>
      </c>
    </row>
    <row r="66" spans="1:12" ht="14.1" customHeight="1">
      <c r="A66" s="69">
        <f t="shared" si="6"/>
        <v>46226</v>
      </c>
      <c r="B66" s="70">
        <f>'CHICLETS MASTER S2'!AU14</f>
        <v>0.63888888888888895</v>
      </c>
      <c r="C66" s="71" t="s">
        <v>218</v>
      </c>
      <c r="D66" s="71" t="str">
        <f t="shared" si="7"/>
        <v>SERVITE HS</v>
      </c>
      <c r="E66" s="71">
        <v>43</v>
      </c>
      <c r="F66" s="71" t="str">
        <f>IF(G60="","W19",IF(G60&gt;I60,_xlfn.CONCAT("W19-",RIGHT(F60,LEN(F60) - FIND("-",F60))), _xlfn.CONCAT("W19-",RIGHT(H60,LEN(H60) - FIND("-",H60)))))</f>
        <v>W19-VANGUARD BLUE</v>
      </c>
      <c r="G66" s="73">
        <v>15</v>
      </c>
      <c r="H66" s="71" t="str">
        <f>IF(G61="","W23",IF(G61&gt;I61,_xlfn.CONCAT("W23-",RIGHT(F61,LEN(F61) - FIND("-",F61))), _xlfn.CONCAT("W23-",RIGHT(H61,LEN(H61) - FIND("-",H61)))))</f>
        <v>W23-680 RED</v>
      </c>
      <c r="I66" s="71">
        <v>9</v>
      </c>
      <c r="J66" s="71" t="s">
        <v>399</v>
      </c>
      <c r="K66" s="71">
        <v>55</v>
      </c>
      <c r="L66" s="71" t="str">
        <f t="shared" si="8"/>
        <v>16B-043</v>
      </c>
    </row>
    <row r="67" spans="1:12" ht="14.1" customHeight="1">
      <c r="A67" s="69">
        <f t="shared" si="6"/>
        <v>46226</v>
      </c>
      <c r="B67" s="70">
        <f>'CHICLETS MASTER S2'!AU15</f>
        <v>0.67361111111111105</v>
      </c>
      <c r="C67" s="71" t="s">
        <v>218</v>
      </c>
      <c r="D67" s="71" t="str">
        <f t="shared" si="7"/>
        <v>SERVITE HS</v>
      </c>
      <c r="E67" s="71">
        <v>47</v>
      </c>
      <c r="F67" s="71" t="str">
        <f>IF(G60="","L19",IF(G60&lt;I60,_xlfn.CONCAT("L19-",RIGHT(F60,LEN(F60) - FIND("-",F60))), _xlfn.CONCAT("L19-",RIGHT(H60,LEN(H60) - FIND("-",H60)))))</f>
        <v>L19-CLOVIS RED</v>
      </c>
      <c r="G67" s="73">
        <v>6</v>
      </c>
      <c r="H67" s="71" t="str">
        <f>IF(G61="","L23",IF(G61&lt;I61,_xlfn.CONCAT("L23-",RIGHT(F61,LEN(F61) - FIND("-",F61))), _xlfn.CONCAT("L23-",RIGHT(H61,LEN(H61) - FIND("-",H61)))))</f>
        <v>L23-AMERICAN RIVER BLUE</v>
      </c>
      <c r="I67" s="71">
        <v>11</v>
      </c>
      <c r="J67" s="71">
        <v>59</v>
      </c>
      <c r="K67" s="71" t="s">
        <v>400</v>
      </c>
      <c r="L67" s="71" t="str">
        <f t="shared" si="8"/>
        <v>16B-047</v>
      </c>
    </row>
    <row r="68" spans="1:12" ht="14.1" customHeight="1">
      <c r="A68" s="75"/>
      <c r="B68" s="60" t="s">
        <v>139</v>
      </c>
      <c r="C68" s="60"/>
      <c r="D68" s="60"/>
      <c r="E68" s="60"/>
      <c r="F68" s="60"/>
      <c r="G68" s="64"/>
      <c r="H68" s="60"/>
      <c r="I68" s="60"/>
      <c r="J68" s="60"/>
      <c r="K68" s="60"/>
      <c r="L68" s="60"/>
    </row>
    <row r="69" spans="1:12" ht="14.1" customHeight="1">
      <c r="A69" s="69">
        <f>$A$2</f>
        <v>46226</v>
      </c>
      <c r="B69" s="70">
        <f>'CHICLETS MASTER S2'!AU17</f>
        <v>0.74305555555555602</v>
      </c>
      <c r="C69" s="71" t="s">
        <v>140</v>
      </c>
      <c r="D69" s="71" t="str">
        <f>$D$54</f>
        <v>SERVITE HS</v>
      </c>
      <c r="E69" s="71">
        <v>51</v>
      </c>
      <c r="F69" s="76" t="str">
        <f>IF(G81="","L28",IF(G81&lt;I81,_xlfn.CONCAT("L28-",RIGHT(F81,LEN(F81) - FIND("-",F81))), _xlfn.CONCAT("L28-",RIGHT(H81,LEN(H81) - FIND("-",H81)))))</f>
        <v>L28-CC UNITED BLACK</v>
      </c>
      <c r="G69" s="73">
        <v>10</v>
      </c>
      <c r="H69" s="77" t="str">
        <f>IF(G63="","W31",IF(G63&gt;I63,_xlfn.CONCAT("W31-",RIGHT(F63,LEN(F63) - FIND("-",F63))), _xlfn.CONCAT("W31-",RIGHT(H63,LEN(H63) - FIND("-",H63)))))</f>
        <v>W31-HONOLULU A</v>
      </c>
      <c r="I69" s="71">
        <v>7</v>
      </c>
      <c r="J69" s="71" t="s">
        <v>190</v>
      </c>
      <c r="K69" s="71" t="s">
        <v>191</v>
      </c>
      <c r="L69" s="71" t="str">
        <f>IF(E69="","",$L$15&amp;"-"&amp;TEXT(E69,"000"))</f>
        <v>16B-051</v>
      </c>
    </row>
    <row r="70" spans="1:12" ht="14.1" customHeight="1">
      <c r="A70" s="69">
        <f>$A$2</f>
        <v>46226</v>
      </c>
      <c r="B70" s="70">
        <f>'CHICLETS MASTER S2'!AU18</f>
        <v>0.77777777777777801</v>
      </c>
      <c r="C70" s="71" t="s">
        <v>140</v>
      </c>
      <c r="D70" s="71" t="str">
        <f>$D$54</f>
        <v>SERVITE HS</v>
      </c>
      <c r="E70" s="71">
        <v>55</v>
      </c>
      <c r="F70" s="71" t="str">
        <f>IF(G66="","L43",IF(G66&lt;I66,_xlfn.CONCAT("L43-",RIGHT(F66,LEN(F66) - FIND("-",F66))), _xlfn.CONCAT("L43-",RIGHT(H66,LEN(H66) - FIND("-",H66)))))</f>
        <v>L43-680 RED</v>
      </c>
      <c r="G70" s="73">
        <v>10</v>
      </c>
      <c r="H70" s="71" t="str">
        <f>IF(G65="","W39",IF(G65&gt;I65,_xlfn.CONCAT("W39-",RIGHT(F65,LEN(F65) - FIND("-",F65))), _xlfn.CONCAT("W39-",RIGHT(H65,LEN(H65) - FIND("-",H65)))))</f>
        <v>W39-CLOVIS A</v>
      </c>
      <c r="I70" s="71">
        <v>3</v>
      </c>
      <c r="J70" s="71" t="s">
        <v>163</v>
      </c>
      <c r="K70" s="71" t="s">
        <v>164</v>
      </c>
      <c r="L70" s="71" t="str">
        <f>IF(E70="","",$L$15&amp;"-"&amp;TEXT(E70,"000"))</f>
        <v>16B-055</v>
      </c>
    </row>
    <row r="71" spans="1:12" ht="14.1" customHeight="1">
      <c r="A71" s="69">
        <f>$A$2</f>
        <v>46226</v>
      </c>
      <c r="B71" s="70">
        <f>'CHICLETS MASTER S2'!AU19</f>
        <v>0.8125</v>
      </c>
      <c r="C71" s="71" t="s">
        <v>140</v>
      </c>
      <c r="D71" s="71" t="str">
        <f>$D$54</f>
        <v>SERVITE HS</v>
      </c>
      <c r="E71" s="71">
        <v>59</v>
      </c>
      <c r="F71" s="71" t="str">
        <f>IF(G64="","L35",IF(G64&lt;I64,_xlfn.CONCAT("L35-",RIGHT(F64,LEN(F64) - FIND("-",F64))), _xlfn.CONCAT("L35-",RIGHT(H64,LEN(H64) - FIND("-",H64)))))</f>
        <v>L35-LA JOLLA UNITED B</v>
      </c>
      <c r="G71" s="73">
        <v>11</v>
      </c>
      <c r="H71" s="71" t="str">
        <f>IF(G67="","W47",IF(G67&gt;I67,_xlfn.CONCAT("W47-",RIGHT(F67,LEN(F67) - FIND("-",F67))), _xlfn.CONCAT("W47-",RIGHT(H67,LEN(H67) - FIND("-",H67)))))</f>
        <v>W47-AMERICAN RIVER BLUE</v>
      </c>
      <c r="I71" s="71">
        <v>7</v>
      </c>
      <c r="J71" s="71" t="s">
        <v>167</v>
      </c>
      <c r="K71" s="71" t="s">
        <v>168</v>
      </c>
      <c r="L71" s="71" t="str">
        <f>IF(E71="","",$L$15&amp;"-"&amp;TEXT(E71,"000"))</f>
        <v>16B-059</v>
      </c>
    </row>
    <row r="72" spans="1:12" ht="14.1" customHeight="1" thickBot="1">
      <c r="A72" s="78"/>
      <c r="B72" s="79"/>
      <c r="C72" s="60"/>
      <c r="D72" s="60"/>
      <c r="E72" s="60"/>
      <c r="I72" s="60"/>
      <c r="J72" s="60"/>
      <c r="K72" s="60"/>
      <c r="L72" s="60"/>
    </row>
    <row r="73" spans="1:12" ht="14.1" customHeight="1" thickBot="1">
      <c r="A73" s="60"/>
      <c r="B73" s="60"/>
      <c r="C73" s="60"/>
      <c r="D73" s="68" t="str">
        <f>'CHICLETS MASTER S2'!$AY$3</f>
        <v>SONORA HS</v>
      </c>
      <c r="I73" s="60"/>
      <c r="J73" s="60"/>
      <c r="K73" s="60"/>
      <c r="L73" s="60"/>
    </row>
    <row r="74" spans="1:12" ht="14.1" customHeight="1">
      <c r="A74" s="150" t="s">
        <v>124</v>
      </c>
      <c r="B74" s="151" t="s">
        <v>125</v>
      </c>
      <c r="C74" s="151" t="s">
        <v>126</v>
      </c>
      <c r="D74" s="151" t="s">
        <v>127</v>
      </c>
      <c r="E74" s="151" t="s">
        <v>128</v>
      </c>
      <c r="F74" s="151" t="s">
        <v>129</v>
      </c>
      <c r="G74" s="151" t="s">
        <v>130</v>
      </c>
      <c r="H74" s="151" t="s">
        <v>131</v>
      </c>
      <c r="I74" s="151" t="s">
        <v>130</v>
      </c>
      <c r="J74" s="151" t="s">
        <v>132</v>
      </c>
      <c r="K74" s="151" t="s">
        <v>133</v>
      </c>
      <c r="L74" s="151" t="s">
        <v>134</v>
      </c>
    </row>
    <row r="75" spans="1:12" ht="14.1" customHeight="1">
      <c r="A75" s="69">
        <f t="shared" ref="A75:A86" si="9">$A$2</f>
        <v>46226</v>
      </c>
      <c r="B75" s="70">
        <f>'CHICLETS MASTER S2'!AU4</f>
        <v>0.29166666666666669</v>
      </c>
      <c r="C75" s="71" t="s">
        <v>218</v>
      </c>
      <c r="D75" s="72" t="str">
        <f t="shared" ref="D75:D86" si="10">$D$73</f>
        <v>SONORA HS</v>
      </c>
      <c r="E75" s="71">
        <v>4</v>
      </c>
      <c r="F75" s="71" t="str">
        <f>D11</f>
        <v>10-BERKELEY</v>
      </c>
      <c r="G75" s="73">
        <v>21</v>
      </c>
      <c r="H75" s="71" t="str">
        <f>D14</f>
        <v>39-MIAMI RIPTIDES</v>
      </c>
      <c r="I75" s="71">
        <v>3</v>
      </c>
      <c r="J75" s="71">
        <v>28</v>
      </c>
      <c r="K75" s="71">
        <v>32</v>
      </c>
      <c r="L75" s="71" t="str">
        <f t="shared" ref="L75:L86" si="11">IF(E75="","",$L$15&amp;"-"&amp;TEXT(E75,"000"))</f>
        <v>16B-004</v>
      </c>
    </row>
    <row r="76" spans="1:12" ht="14.1" customHeight="1">
      <c r="A76" s="69">
        <f t="shared" si="9"/>
        <v>46226</v>
      </c>
      <c r="B76" s="70">
        <f>'CHICLETS MASTER S2'!AU5</f>
        <v>0.3263888888888889</v>
      </c>
      <c r="C76" s="71" t="s">
        <v>218</v>
      </c>
      <c r="D76" s="72" t="str">
        <f t="shared" si="10"/>
        <v>SONORA HS</v>
      </c>
      <c r="E76" s="71">
        <v>8</v>
      </c>
      <c r="F76" s="71" t="str">
        <f>D12</f>
        <v>15-CC UNITED BLACK</v>
      </c>
      <c r="G76" s="73">
        <v>16</v>
      </c>
      <c r="H76" s="71" t="str">
        <f>D13</f>
        <v>34-NORTHWEST</v>
      </c>
      <c r="I76" s="71">
        <v>5</v>
      </c>
      <c r="J76" s="71">
        <v>28</v>
      </c>
      <c r="K76" s="71">
        <v>32</v>
      </c>
      <c r="L76" s="71" t="str">
        <f t="shared" si="11"/>
        <v>16B-008</v>
      </c>
    </row>
    <row r="77" spans="1:12" ht="14.1" customHeight="1">
      <c r="A77" s="69">
        <f t="shared" si="9"/>
        <v>46226</v>
      </c>
      <c r="B77" s="70">
        <f>'CHICLETS MASTER S2'!AU6</f>
        <v>0.36111111111111099</v>
      </c>
      <c r="C77" s="71" t="s">
        <v>218</v>
      </c>
      <c r="D77" s="72" t="str">
        <f t="shared" si="10"/>
        <v>SONORA HS</v>
      </c>
      <c r="E77" s="71">
        <v>12</v>
      </c>
      <c r="F77" s="71" t="str">
        <f>E11</f>
        <v>11-LA PREMIER</v>
      </c>
      <c r="G77" s="73">
        <v>13</v>
      </c>
      <c r="H77" s="71" t="str">
        <f>E14</f>
        <v>38-CC UNITED BLUE B</v>
      </c>
      <c r="I77" s="71">
        <v>4</v>
      </c>
      <c r="J77" s="71">
        <v>36</v>
      </c>
      <c r="K77" s="71">
        <v>40</v>
      </c>
      <c r="L77" s="71" t="str">
        <f t="shared" si="11"/>
        <v>16B-012</v>
      </c>
    </row>
    <row r="78" spans="1:12" ht="14.1" customHeight="1">
      <c r="A78" s="69">
        <f t="shared" si="9"/>
        <v>46226</v>
      </c>
      <c r="B78" s="70">
        <f>'CHICLETS MASTER S2'!AU7</f>
        <v>0.39583333333333398</v>
      </c>
      <c r="C78" s="71" t="s">
        <v>218</v>
      </c>
      <c r="D78" s="72" t="str">
        <f t="shared" si="10"/>
        <v>SONORA HS</v>
      </c>
      <c r="E78" s="71">
        <v>16</v>
      </c>
      <c r="F78" s="71" t="str">
        <f>E12</f>
        <v>14-LAMORINDA A</v>
      </c>
      <c r="G78" s="73">
        <v>19</v>
      </c>
      <c r="H78" s="71" t="str">
        <f>E13</f>
        <v>35-TOPAZ TSUNAMI</v>
      </c>
      <c r="I78" s="71">
        <v>5</v>
      </c>
      <c r="J78" s="71">
        <v>36</v>
      </c>
      <c r="K78" s="71">
        <v>40</v>
      </c>
      <c r="L78" s="71" t="str">
        <f t="shared" si="11"/>
        <v>16B-016</v>
      </c>
    </row>
    <row r="79" spans="1:12" ht="14.1" customHeight="1">
      <c r="A79" s="69">
        <f t="shared" si="9"/>
        <v>46226</v>
      </c>
      <c r="B79" s="70">
        <f>'CHICLETS MASTER S2'!AU8</f>
        <v>0.43055555555555602</v>
      </c>
      <c r="C79" s="71" t="s">
        <v>218</v>
      </c>
      <c r="D79" s="72" t="str">
        <f t="shared" si="10"/>
        <v>SONORA HS</v>
      </c>
      <c r="E79" s="71">
        <v>20</v>
      </c>
      <c r="F79" s="71" t="str">
        <f>F11</f>
        <v>12-TROJAN CARDINAL</v>
      </c>
      <c r="G79" s="73">
        <v>10</v>
      </c>
      <c r="H79" s="71" t="str">
        <f>F14</f>
        <v>37-LONGHORN</v>
      </c>
      <c r="I79" s="71">
        <v>6</v>
      </c>
      <c r="J79" s="71">
        <v>44</v>
      </c>
      <c r="K79" s="71">
        <v>48</v>
      </c>
      <c r="L79" s="71" t="str">
        <f t="shared" si="11"/>
        <v>16B-020</v>
      </c>
    </row>
    <row r="80" spans="1:12" ht="14.1" customHeight="1">
      <c r="A80" s="69">
        <f t="shared" si="9"/>
        <v>46226</v>
      </c>
      <c r="B80" s="70">
        <f>'CHICLETS MASTER S2'!AU9</f>
        <v>0.46527777777777801</v>
      </c>
      <c r="C80" s="71" t="s">
        <v>218</v>
      </c>
      <c r="D80" s="72" t="str">
        <f t="shared" si="10"/>
        <v>SONORA HS</v>
      </c>
      <c r="E80" s="71">
        <v>24</v>
      </c>
      <c r="F80" s="71" t="str">
        <f>F12</f>
        <v>13-GREENWICH BLUE</v>
      </c>
      <c r="G80" s="73">
        <v>18</v>
      </c>
      <c r="H80" s="71" t="str">
        <f>F13</f>
        <v>36-NARROWS</v>
      </c>
      <c r="I80" s="71">
        <v>4</v>
      </c>
      <c r="J80" s="71">
        <v>44</v>
      </c>
      <c r="K80" s="71">
        <v>48</v>
      </c>
      <c r="L80" s="71" t="str">
        <f t="shared" si="11"/>
        <v>16B-024</v>
      </c>
    </row>
    <row r="81" spans="1:12" ht="14.1" customHeight="1">
      <c r="A81" s="69">
        <f t="shared" si="9"/>
        <v>46226</v>
      </c>
      <c r="B81" s="70">
        <f>'CHICLETS MASTER S2'!AU10</f>
        <v>0.5</v>
      </c>
      <c r="C81" s="71" t="s">
        <v>218</v>
      </c>
      <c r="D81" s="72" t="str">
        <f t="shared" si="10"/>
        <v>SONORA HS</v>
      </c>
      <c r="E81" s="71">
        <v>28</v>
      </c>
      <c r="F81" s="71" t="str">
        <f>IF(G75="","W4",IF(G75&gt;I75,_xlfn.CONCAT("W4-",RIGHT(F75,LEN(F75) - FIND("-",F75))), _xlfn.CONCAT("W4-",RIGHT(H75,LEN(H75) - FIND("-",H75)))))</f>
        <v>W4-BERKELEY</v>
      </c>
      <c r="G81" s="73">
        <v>14</v>
      </c>
      <c r="H81" s="71" t="str">
        <f>IF(G76="","W8",IF(G76&gt;I76,_xlfn.CONCAT("W8-",RIGHT(F76,LEN(F76) - FIND("-",F76))), _xlfn.CONCAT("W8-",RIGHT(H76,LEN(H76) - FIND("-",H76)))))</f>
        <v>W8-CC UNITED BLACK</v>
      </c>
      <c r="I81" s="71">
        <v>8</v>
      </c>
      <c r="J81" s="71" t="s">
        <v>401</v>
      </c>
      <c r="K81" s="71">
        <v>51</v>
      </c>
      <c r="L81" s="71" t="str">
        <f t="shared" si="11"/>
        <v>16B-028</v>
      </c>
    </row>
    <row r="82" spans="1:12" ht="14.1" customHeight="1">
      <c r="A82" s="69">
        <f t="shared" si="9"/>
        <v>46226</v>
      </c>
      <c r="B82" s="70">
        <f>'CHICLETS MASTER S2'!AU11</f>
        <v>0.53472222222222199</v>
      </c>
      <c r="C82" s="71" t="s">
        <v>218</v>
      </c>
      <c r="D82" s="72" t="str">
        <f t="shared" si="10"/>
        <v>SONORA HS</v>
      </c>
      <c r="E82" s="71">
        <v>32</v>
      </c>
      <c r="F82" s="71" t="str">
        <f>IF(G75="","L4",IF(G75&lt;I75,_xlfn.CONCAT("L4-",RIGHT(F75,LEN(F75) - FIND("-",F75))), _xlfn.CONCAT("L4-",RIGHT(H75,LEN(H75) - FIND("-",H75)))))</f>
        <v>L4-MIAMI RIPTIDES</v>
      </c>
      <c r="G82" s="73">
        <v>9</v>
      </c>
      <c r="H82" s="71" t="str">
        <f>IF(G76="","L8",IF(G76&lt;I76,_xlfn.CONCAT("L8-",RIGHT(F76,LEN(F76) - FIND("-",F76))), _xlfn.CONCAT("L8-",RIGHT(H76,LEN(H76) - FIND("-",H76)))))</f>
        <v>L8-NORTHWEST</v>
      </c>
      <c r="I82" s="71">
        <v>8</v>
      </c>
      <c r="J82" s="71">
        <v>52</v>
      </c>
      <c r="K82" s="71" t="s">
        <v>402</v>
      </c>
      <c r="L82" s="71" t="str">
        <f t="shared" si="11"/>
        <v>16B-032</v>
      </c>
    </row>
    <row r="83" spans="1:12" ht="14.1" customHeight="1">
      <c r="A83" s="69">
        <f t="shared" si="9"/>
        <v>46226</v>
      </c>
      <c r="B83" s="70">
        <f>'CHICLETS MASTER S2'!AU12</f>
        <v>0.56944444444444497</v>
      </c>
      <c r="C83" s="71" t="s">
        <v>218</v>
      </c>
      <c r="D83" s="72" t="str">
        <f t="shared" si="10"/>
        <v>SONORA HS</v>
      </c>
      <c r="E83" s="71">
        <v>36</v>
      </c>
      <c r="F83" s="71" t="str">
        <f>IF(G77="","W12",IF(G77&gt;I77,_xlfn.CONCAT("W12-",RIGHT(F77,LEN(F77) - FIND("-",F77))), _xlfn.CONCAT("W12-",RIGHT(H77,LEN(H77) - FIND("-",H77)))))</f>
        <v>W12-LA PREMIER</v>
      </c>
      <c r="G83" s="73">
        <v>11</v>
      </c>
      <c r="H83" s="71" t="str">
        <f>IF(G78="","W16",IF(G78&gt;I78,_xlfn.CONCAT("W16-",RIGHT(F78,LEN(F78) - FIND("-",F78))), _xlfn.CONCAT("W16-",RIGHT(H78,LEN(H78) - FIND("-",H78)))))</f>
        <v>W16-LAMORINDA A</v>
      </c>
      <c r="I83" s="71">
        <v>13</v>
      </c>
      <c r="J83" s="71" t="s">
        <v>182</v>
      </c>
      <c r="K83" s="71">
        <v>60</v>
      </c>
      <c r="L83" s="71" t="str">
        <f t="shared" si="11"/>
        <v>16B-036</v>
      </c>
    </row>
    <row r="84" spans="1:12" ht="14.1" customHeight="1">
      <c r="A84" s="69">
        <f t="shared" si="9"/>
        <v>46226</v>
      </c>
      <c r="B84" s="70">
        <f>'CHICLETS MASTER S2'!AU13</f>
        <v>0.60416666666666696</v>
      </c>
      <c r="C84" s="71" t="s">
        <v>218</v>
      </c>
      <c r="D84" s="72" t="str">
        <f t="shared" si="10"/>
        <v>SONORA HS</v>
      </c>
      <c r="E84" s="71">
        <v>40</v>
      </c>
      <c r="F84" s="71" t="str">
        <f>IF(G77="","L12",IF(G77&lt;I77,_xlfn.CONCAT("L12-",RIGHT(F77,LEN(F77) - FIND("-",F77))), _xlfn.CONCAT("L12-",RIGHT(H77,LEN(H77) - FIND("-",H77)))))</f>
        <v>L12-CC UNITED BLUE B</v>
      </c>
      <c r="G84" s="73">
        <v>12</v>
      </c>
      <c r="H84" s="71" t="str">
        <f>IF(G78="","L16",IF(G78&lt;I78,_xlfn.CONCAT("L16-",RIGHT(F78,LEN(F78) - FIND("-",F78))), _xlfn.CONCAT("L16-",RIGHT(H78,LEN(H78) - FIND("-",H78)))))</f>
        <v>L16-TOPAZ TSUNAMI</v>
      </c>
      <c r="I84" s="71">
        <v>7</v>
      </c>
      <c r="J84" s="71">
        <v>56</v>
      </c>
      <c r="K84" s="71" t="s">
        <v>403</v>
      </c>
      <c r="L84" s="71" t="str">
        <f t="shared" si="11"/>
        <v>16B-040</v>
      </c>
    </row>
    <row r="85" spans="1:12" ht="14.1" customHeight="1">
      <c r="A85" s="69">
        <f t="shared" si="9"/>
        <v>46226</v>
      </c>
      <c r="B85" s="70">
        <f>'CHICLETS MASTER S2'!AU14</f>
        <v>0.63888888888888895</v>
      </c>
      <c r="C85" s="71" t="s">
        <v>218</v>
      </c>
      <c r="D85" s="72" t="str">
        <f t="shared" si="10"/>
        <v>SONORA HS</v>
      </c>
      <c r="E85" s="71">
        <v>44</v>
      </c>
      <c r="F85" s="71" t="str">
        <f>IF(G79="","W20",IF(G79&gt;I79,_xlfn.CONCAT("W20-",RIGHT(F79,LEN(F79) - FIND("-",F79))), _xlfn.CONCAT("W20-",RIGHT(H79,LEN(H79) - FIND("-",H79)))))</f>
        <v>W20-TROJAN CARDINAL</v>
      </c>
      <c r="G85" s="73">
        <v>9</v>
      </c>
      <c r="H85" s="71" t="str">
        <f>IF(G80="","W24",IF(G80&gt;I80,_xlfn.CONCAT("W24-",RIGHT(F80,LEN(F80) - FIND("-",F80))), _xlfn.CONCAT("W24-",RIGHT(H80,LEN(H80) - FIND("-",H80)))))</f>
        <v>W24-GREENWICH BLUE</v>
      </c>
      <c r="I85" s="71">
        <v>7</v>
      </c>
      <c r="J85" s="71" t="s">
        <v>404</v>
      </c>
      <c r="K85" s="71">
        <v>56</v>
      </c>
      <c r="L85" s="71" t="str">
        <f t="shared" si="11"/>
        <v>16B-044</v>
      </c>
    </row>
    <row r="86" spans="1:12" ht="14.1" customHeight="1">
      <c r="A86" s="69">
        <f t="shared" si="9"/>
        <v>46226</v>
      </c>
      <c r="B86" s="70">
        <f>'CHICLETS MASTER S2'!AU15</f>
        <v>0.67361111111111105</v>
      </c>
      <c r="C86" s="71" t="s">
        <v>218</v>
      </c>
      <c r="D86" s="71" t="str">
        <f t="shared" si="10"/>
        <v>SONORA HS</v>
      </c>
      <c r="E86" s="71">
        <v>48</v>
      </c>
      <c r="F86" s="71" t="str">
        <f>IF(G79="","L20",IF(G79&lt;I79,_xlfn.CONCAT("L20-",RIGHT(F79,LEN(F79) - FIND("-",F79))), _xlfn.CONCAT("L20-",RIGHT(H79,LEN(H79) - FIND("-",H79)))))</f>
        <v>L20-LONGHORN</v>
      </c>
      <c r="G86" s="73">
        <v>9</v>
      </c>
      <c r="H86" s="71" t="str">
        <f>IF(G80="","L24",IF(G80&lt;I80,_xlfn.CONCAT("L24-",RIGHT(F80,LEN(F80) - FIND("-",F80))), _xlfn.CONCAT("L24-",RIGHT(H80,LEN(H80) - FIND("-",H80)))))</f>
        <v>L24-NARROWS</v>
      </c>
      <c r="I86" s="71">
        <v>7</v>
      </c>
      <c r="J86" s="71">
        <v>60</v>
      </c>
      <c r="K86" s="71" t="s">
        <v>405</v>
      </c>
      <c r="L86" s="71" t="str">
        <f t="shared" si="11"/>
        <v>16B-048</v>
      </c>
    </row>
    <row r="87" spans="1:12" ht="14.1" customHeight="1">
      <c r="A87" s="75"/>
      <c r="B87" s="60" t="s">
        <v>139</v>
      </c>
      <c r="C87" s="60"/>
      <c r="D87" s="60"/>
      <c r="E87" s="60"/>
      <c r="F87" s="60"/>
      <c r="G87" s="64"/>
      <c r="H87" s="60"/>
      <c r="I87" s="60"/>
      <c r="J87" s="60"/>
      <c r="K87" s="60"/>
      <c r="L87" s="60"/>
    </row>
    <row r="88" spans="1:12" ht="14.1" customHeight="1">
      <c r="A88" s="69">
        <f>$A$2</f>
        <v>46226</v>
      </c>
      <c r="B88" s="70">
        <f>'CHICLETS MASTER S2'!AU17</f>
        <v>0.74305555555555602</v>
      </c>
      <c r="C88" s="71" t="s">
        <v>140</v>
      </c>
      <c r="D88" s="71" t="str">
        <f>$D$73</f>
        <v>SONORA HS</v>
      </c>
      <c r="E88" s="71">
        <v>52</v>
      </c>
      <c r="F88" s="76" t="str">
        <f>IF(G62="","L27",IF(G62&lt;I62,_xlfn.CONCAT("L27-",RIGHT(F62,LEN(F62) - FIND("-",F62))), _xlfn.CONCAT("L27-",RIGHT(H62,LEN(H62) - FIND("-",H62)))))</f>
        <v>L27-SANTA BARBARA WPC A</v>
      </c>
      <c r="G88" s="81">
        <v>24</v>
      </c>
      <c r="H88" s="77" t="str">
        <f>IF(G82="","W32",IF(G82&gt;I82,_xlfn.CONCAT("W32-",RIGHT(F82,LEN(F82) - FIND("-",F82))), _xlfn.CONCAT("W32-",RIGHT(H82,LEN(H82) - FIND("-",H82)))))</f>
        <v>W32-MIAMI RIPTIDES</v>
      </c>
      <c r="I88" s="71">
        <v>10</v>
      </c>
      <c r="J88" s="71" t="s">
        <v>186</v>
      </c>
      <c r="K88" s="71" t="s">
        <v>187</v>
      </c>
      <c r="L88" s="71" t="str">
        <f>IF(E88="","",$L$15&amp;"-"&amp;TEXT(E88,"000"))</f>
        <v>16B-052</v>
      </c>
    </row>
    <row r="89" spans="1:12" ht="14.1" customHeight="1">
      <c r="A89" s="69">
        <f>$A$2</f>
        <v>46226</v>
      </c>
      <c r="B89" s="70">
        <f>'CHICLETS MASTER S2'!AU18</f>
        <v>0.77777777777777801</v>
      </c>
      <c r="C89" s="71" t="s">
        <v>140</v>
      </c>
      <c r="D89" s="71" t="str">
        <f>$D$73</f>
        <v>SONORA HS</v>
      </c>
      <c r="E89" s="71">
        <v>56</v>
      </c>
      <c r="F89" s="71" t="str">
        <f>IF(G85="","L44",IF(G85&lt;I85,_xlfn.CONCAT("L44-",RIGHT(F85,LEN(F85) - FIND("-",F85))), _xlfn.CONCAT("L44-",RIGHT(H85,LEN(H85) - FIND("-",H85)))))</f>
        <v>L44-GREENWICH BLUE</v>
      </c>
      <c r="G89" s="73">
        <v>12</v>
      </c>
      <c r="H89" s="71" t="str">
        <f>IF(G84="","W40",IF(G84&gt;I84,_xlfn.CONCAT("W40-",RIGHT(F84,LEN(F84) - FIND("-",F84))), _xlfn.CONCAT("W40-",RIGHT(H84,LEN(H84) - FIND("-",H84)))))</f>
        <v>W40-CC UNITED BLUE B</v>
      </c>
      <c r="I89" s="71">
        <v>6</v>
      </c>
      <c r="J89" s="71" t="s">
        <v>406</v>
      </c>
      <c r="K89" s="71" t="s">
        <v>194</v>
      </c>
      <c r="L89" s="71" t="str">
        <f>IF(E89="","",$L$15&amp;"-"&amp;TEXT(E89,"000"))</f>
        <v>16B-056</v>
      </c>
    </row>
    <row r="90" spans="1:12" ht="14.1" customHeight="1">
      <c r="A90" s="69">
        <f>$A$2</f>
        <v>46226</v>
      </c>
      <c r="B90" s="70">
        <f>'CHICLETS MASTER S2'!AU19</f>
        <v>0.8125</v>
      </c>
      <c r="C90" s="71" t="s">
        <v>140</v>
      </c>
      <c r="D90" s="71" t="str">
        <f>$D$73</f>
        <v>SONORA HS</v>
      </c>
      <c r="E90" s="71">
        <v>60</v>
      </c>
      <c r="F90" s="71" t="str">
        <f>IF(G83="","L36",IF(G83&lt;I83,_xlfn.CONCAT("L36-",RIGHT(F83,LEN(F83) - FIND("-",F83))), _xlfn.CONCAT("L36-",RIGHT(H83,LEN(H83) - FIND("-",H83)))))</f>
        <v>L36-LA PREMIER</v>
      </c>
      <c r="G90" s="73">
        <v>9</v>
      </c>
      <c r="H90" s="71" t="str">
        <f>IF(G86="","W48",IF(G86&gt;I86,_xlfn.CONCAT("W48-",RIGHT(F86,LEN(F86) - FIND("-",F86))), _xlfn.CONCAT("W48-",RIGHT(H86,LEN(H86) - FIND("-",H86)))))</f>
        <v>W48-LONGHORN</v>
      </c>
      <c r="I90" s="71">
        <v>10</v>
      </c>
      <c r="J90" s="71" t="s">
        <v>193</v>
      </c>
      <c r="K90" s="71" t="s">
        <v>407</v>
      </c>
      <c r="L90" s="71" t="str">
        <f>IF(E90="","",$L$15&amp;"-"&amp;TEXT(E90,"000"))</f>
        <v>16B-060</v>
      </c>
    </row>
    <row r="91" spans="1:12" ht="14.1" customHeight="1" thickBot="1"/>
    <row r="92" spans="1:12" ht="14.1" customHeight="1" thickTop="1" thickBot="1">
      <c r="A92" s="68" t="s">
        <v>196</v>
      </c>
      <c r="B92" s="82"/>
      <c r="C92" s="82"/>
      <c r="D92" s="82"/>
      <c r="E92" s="82"/>
      <c r="F92" s="82"/>
      <c r="G92" s="83"/>
      <c r="H92" s="82"/>
      <c r="I92" s="82"/>
      <c r="J92" s="82"/>
      <c r="K92" s="82"/>
      <c r="L92" s="82"/>
    </row>
    <row r="93" spans="1:12" s="60" customFormat="1" ht="14.1" customHeight="1">
      <c r="A93" s="61">
        <v>46227</v>
      </c>
    </row>
    <row r="94" spans="1:12" ht="14.1" customHeight="1">
      <c r="B94" s="84" t="s">
        <v>197</v>
      </c>
      <c r="C94" s="60"/>
      <c r="D94" s="60"/>
      <c r="E94" s="60"/>
    </row>
    <row r="95" spans="1:12" ht="14.1" customHeight="1">
      <c r="A95" s="60"/>
      <c r="B95" s="85" t="s">
        <v>198</v>
      </c>
      <c r="C95" s="85" t="s">
        <v>199</v>
      </c>
      <c r="D95" s="85" t="s">
        <v>200</v>
      </c>
      <c r="E95" s="85" t="s">
        <v>201</v>
      </c>
    </row>
    <row r="96" spans="1:12" ht="14.1" customHeight="1">
      <c r="A96" s="60">
        <v>1</v>
      </c>
      <c r="B96" s="86" t="str">
        <f>IF(G26="","pt_M1(W33)",IF(G26&gt;I26,_xlfn.CONCAT("pt_M1(W33)-",RIGHT(F26,LEN(F26) - FIND("-",F26))), _xlfn.CONCAT("pt_M1(W33)-",RIGHT(H26,LEN(H26) - FIND("-",H26)))))</f>
        <v>pt_M1(W33)-SD SHORES BLACK</v>
      </c>
      <c r="C96" s="87" t="str">
        <f>IF(G28="","pt_N1(W41)",IF(G28&gt;I28,_xlfn.CONCAT("pt_N1(W41)-",RIGHT(F28,LEN(F28) - FIND("-",F28))), _xlfn.CONCAT("pt_N1(W41)-",RIGHT(H28,LEN(H28) - FIND("-",H28)))))</f>
        <v>pt_N1(W41)-LA JOLLA UNITED NAVY</v>
      </c>
      <c r="D96" s="87" t="str">
        <f>IF(G24="","pt_O1(W25)",IF(G24&gt;I24,_xlfn.CONCAT("pt_O1(W25)-",RIGHT(F24,LEN(F24) - FIND("-",F24))), _xlfn.CONCAT("pt_O1(W25)-",RIGHT(H24,LEN(H24) - FIND("-",H24)))))</f>
        <v>pt_O1(W25)-STANFORD RED</v>
      </c>
      <c r="E96" s="86" t="str">
        <f>IF(G43="","pt_P1(W26)",IF(G43&gt;I43,_xlfn.CONCAT("pt_P1(W26)-",RIGHT(F43,LEN(F43) - FIND("-",F43))), _xlfn.CONCAT("pt_P1(W26)-",RIGHT(H43,LEN(H43) - FIND("-",H43)))))</f>
        <v>pt_P1(W26)-AETOS</v>
      </c>
    </row>
    <row r="97" spans="1:5" ht="14.1" customHeight="1">
      <c r="A97" s="60">
        <v>2</v>
      </c>
      <c r="B97" s="87" t="str">
        <f>IF(G66="","pt_M2(W43)",IF(G66&gt;I66,_xlfn.CONCAT("pt_M2(W43)-",RIGHT(F66,LEN(F66) - FIND("-",F66))), _xlfn.CONCAT("pt_M2(W43)-",RIGHT(H66,LEN(H66) - FIND("-",H66)))))</f>
        <v>pt_M2(W43)-VANGUARD BLUE</v>
      </c>
      <c r="C97" s="86" t="str">
        <f>IF(G64="","pt_N2(W35)",IF(G64&gt;I64,_xlfn.CONCAT("pt_N2(W35)-",RIGHT(F64,LEN(F64) - FIND("-",F64))), _xlfn.CONCAT("pt_N2(W35)-",RIGHT(H64,LEN(H64) - FIND("-",H64)))))</f>
        <v>pt_N2(W35)-CIU GOLD</v>
      </c>
      <c r="D97" s="87" t="str">
        <f>IF(G47="","pt_O2(W42)",IF(G47&gt;I47,_xlfn.CONCAT("pt_O2(W42)-",RIGHT(F47,LEN(F47) - FIND("-",F47))), _xlfn.CONCAT("pt_O2(W42)-",RIGHT(H47,LEN(H47) - FIND("-",H47)))))</f>
        <v>pt_O2(W42)-NEWPORT BEACH BLUE</v>
      </c>
      <c r="E97" s="87" t="str">
        <f>IF(G45="","pt_P2(W34)",IF(G45&gt;I45,_xlfn.CONCAT("pt_P2(W34)-",RIGHT(F45,LEN(F45) - FIND("-",F45))), _xlfn.CONCAT("pt_P2(W34)-",RIGHT(H45,LEN(H45) - FIND("-",H45)))))</f>
        <v>pt_P2(W34)-IMPERIAL</v>
      </c>
    </row>
    <row r="98" spans="1:5" ht="14.1" customHeight="1">
      <c r="A98" s="60">
        <v>3</v>
      </c>
      <c r="B98" s="87" t="str">
        <f>IF(G62="","pt_M3(W27)",IF(G62&gt;I62,_xlfn.CONCAT("pt_M3(W27)-",RIGHT(F62,LEN(F62) - FIND("-",F62))), _xlfn.CONCAT("pt_M3(W27)-",RIGHT(H62,LEN(H62) - FIND("-",H62)))))</f>
        <v>pt_M3(W27)-PATRIOT NAVY</v>
      </c>
      <c r="C98" s="87" t="str">
        <f>IF(G81="","pt_N3(W28)",IF(G81&gt;I81,_xlfn.CONCAT("pt_N3(W28)-",RIGHT(F81,LEN(F81) - FIND("-",F81))), _xlfn.CONCAT("pt_N3(W28)-",RIGHT(H81,LEN(H81) - FIND("-",H81)))))</f>
        <v>pt_N3(W28)-BERKELEY</v>
      </c>
      <c r="D98" s="87" t="str">
        <f>IF(G83="","pt_O3(W36)",IF(G83&gt;I83,_xlfn.CONCAT("pt_O3(W36)-",RIGHT(F83,LEN(F83) - FIND("-",F83))), _xlfn.CONCAT("pt_O3(W36)-",RIGHT(H83,LEN(H83) - FIND("-",H83)))))</f>
        <v>pt_O3(W36)-LAMORINDA A</v>
      </c>
      <c r="E98" s="87" t="str">
        <f>IF(G85="","pt_P3(W44)",IF(G85&gt;I85,_xlfn.CONCAT("pt_P3(W44)-",RIGHT(F85,LEN(F85) - FIND("-",F85))), _xlfn.CONCAT("pt_P3(W44)-",RIGHT(H85,LEN(H85) - FIND("-",H85)))))</f>
        <v>pt_P3(W44)-TROJAN CARDINAL</v>
      </c>
    </row>
    <row r="100" spans="1:5" ht="14.1" customHeight="1">
      <c r="B100" s="85" t="s">
        <v>213</v>
      </c>
      <c r="C100" s="85" t="s">
        <v>214</v>
      </c>
      <c r="D100" s="85" t="s">
        <v>215</v>
      </c>
      <c r="E100" s="85" t="s">
        <v>216</v>
      </c>
    </row>
    <row r="101" spans="1:5" ht="14.1" customHeight="1">
      <c r="A101" s="60">
        <v>1</v>
      </c>
      <c r="B101" s="87" t="str">
        <f>IF(G89="","pt_R1(W56)",IF(G89&gt;I89,_xlfn.CONCAT("pt_R1(W56)-",RIGHT(F89,LEN(F89) - FIND("-",F89))), _xlfn.CONCAT("pt_R1(W56)-",RIGHT(H89,LEN(H89) - FIND("-",H89)))))</f>
        <v>pt_R1(W56)-GREENWICH BLUE</v>
      </c>
      <c r="C101" s="87" t="str">
        <f>IF(G90="","pt_S1(W60)",IF(G90&gt;I90,_xlfn.CONCAT("pt_S1(W60)-",RIGHT(F90,LEN(F90) - FIND("-",F90))), _xlfn.CONCAT("pt_S1(W60)-",RIGHT(H90,LEN(H90) - FIND("-",H90)))))</f>
        <v>pt_S1(W60)-LONGHORN</v>
      </c>
      <c r="D101" s="87" t="str">
        <f>IF(G69="","pt_T1(W51)",IF(G69&gt;I69,_xlfn.CONCAT("pt_T1(W51)-",RIGHT(F69,LEN(F69) - FIND("-",F69))), _xlfn.CONCAT("pt_T1(W51)-",RIGHT(H69,LEN(H69) - FIND("-",H69)))))</f>
        <v>pt_T1(W51)-CC UNITED BLACK</v>
      </c>
      <c r="E101" s="86" t="str">
        <f>IF(G88="","pt_U1(W52)",IF(G88&gt;I88,_xlfn.CONCAT("pt_U1(W52)-",RIGHT(F88,LEN(F88) - FIND("-",F88))), _xlfn.CONCAT("pt_U1(W52)-",RIGHT(H88,LEN(H88) - FIND("-",H88)))))</f>
        <v>pt_U1(W52)-SANTA BARBARA WPC A</v>
      </c>
    </row>
    <row r="102" spans="1:5" ht="14.1" customHeight="1">
      <c r="A102" s="60">
        <v>2</v>
      </c>
      <c r="B102" s="87" t="str">
        <f>IF(G52="","pt_R2(W58)",IF(G52&gt;I52,_xlfn.CONCAT("pt_R2(W58)-",RIGHT(F52,LEN(F52) - FIND("-",F52))), _xlfn.CONCAT("pt_R2(W58)-",RIGHT(H52,LEN(H52) - FIND("-",H52)))))</f>
        <v>pt_R2(W58)-SD DONS</v>
      </c>
      <c r="C102" s="87" t="str">
        <f>IF(G51="","pt_S2(W54)",IF(G51&gt;I51,_xlfn.CONCAT("pt_S2(W54)-",RIGHT(F51,LEN(F51) - FIND("-",F51))), _xlfn.CONCAT("pt_S2(W54)-",RIGHT(H51,LEN(H51) - FIND("-",H51)))))</f>
        <v>pt_S2(W54)-LB SHORE RED</v>
      </c>
      <c r="D102" s="86" t="str">
        <f>IF(G71="","pt_T2(W59)",IF(G71&gt;I71,_xlfn.CONCAT("pt_T2(W59)-",RIGHT(F71,LEN(F71) - FIND("-",F71))), _xlfn.CONCAT("pt_T2(W59)-",RIGHT(H71,LEN(H71) - FIND("-",H71)))))</f>
        <v>pt_T2(W59)-LA JOLLA UNITED B</v>
      </c>
      <c r="E102" s="86" t="str">
        <f>IF(G70="","pt_U2(W55)",IF(G70&gt;I70,_xlfn.CONCAT("pt_U2(W55)-",RIGHT(F70,LEN(F70) - FIND("-",F70))), _xlfn.CONCAT("pt_U2(W55)-",RIGHT(H70,LEN(H70) - FIND("-",H70)))))</f>
        <v>pt_U2(W55)-680 RED</v>
      </c>
    </row>
    <row r="103" spans="1:5" ht="14.1" customHeight="1">
      <c r="A103" s="60">
        <v>3</v>
      </c>
      <c r="B103" s="87" t="str">
        <f>IF(G31="","pt_R3(W49)",IF(G31&gt;I31,_xlfn.CONCAT("pt_R3(W49)-",RIGHT(F31,LEN(F31) - FIND("-",F31))), _xlfn.CONCAT("pt_R3(W49)-",RIGHT(H31,LEN(H31) - FIND("-",H31)))))</f>
        <v>pt_R3(W49)-TEXAS THUNDER BLACK</v>
      </c>
      <c r="C103" s="87" t="str">
        <f>IF(G50="","pt_S3(W50)",IF(G50&gt;I50,_xlfn.CONCAT("pt_S3(W50)-",RIGHT(F50,LEN(F50) - FIND("-",F50))), _xlfn.CONCAT("pt_S3(W50)-",RIGHT(H50,LEN(H50) - FIND("-",H50)))))</f>
        <v>pt_S3(W50)-ROSE BOWL RED</v>
      </c>
      <c r="D103" s="87" t="str">
        <f>IF(G32="","pt_T3(W53)",IF(G32&gt;I32,_xlfn.CONCAT("pt_T3(W53)-",RIGHT(F32,LEN(F32) - FIND("-",F32))), _xlfn.CONCAT("pt_T3(W53)-",RIGHT(H32,LEN(H32) - FIND("-",H32)))))</f>
        <v>pt_T3(W53)-SAND CANYON BLACK</v>
      </c>
      <c r="E103" s="87" t="str">
        <f>IF(G33="","pt_U3(W57)",IF(G33&gt;I33,_xlfn.CONCAT("pt_U3(W57)-",RIGHT(F33,LEN(F33) - FIND("-",F33))), _xlfn.CONCAT("pt_U3(W57)-",RIGHT(H33,LEN(H33) - FIND("-",H33)))))</f>
        <v>pt_U3(W57)-SAN JOSE FOUNDATION</v>
      </c>
    </row>
    <row r="105" spans="1:5" ht="14.1" customHeight="1">
      <c r="A105" s="60"/>
      <c r="B105" s="84" t="s">
        <v>408</v>
      </c>
      <c r="C105" s="60"/>
      <c r="D105" s="60"/>
      <c r="E105" s="60"/>
    </row>
    <row r="106" spans="1:5" ht="14.1" customHeight="1">
      <c r="A106" s="60"/>
      <c r="B106" s="153" t="s">
        <v>229</v>
      </c>
      <c r="C106" s="153" t="s">
        <v>230</v>
      </c>
      <c r="D106" s="153" t="s">
        <v>231</v>
      </c>
      <c r="E106" s="153" t="s">
        <v>409</v>
      </c>
    </row>
    <row r="107" spans="1:5" ht="14.1" customHeight="1">
      <c r="A107" s="60">
        <v>1</v>
      </c>
      <c r="B107" s="87" t="str">
        <f>IF(G32="","au_M1(L53)",IF(G32&lt;I32,_xlfn.CONCAT("au_M1(L53)-",RIGHT(F32,LEN(F32) - FIND("-",F32))), _xlfn.CONCAT("au_M1(L53)-",RIGHT(H32,LEN(H32) - FIND("-",H32)))))</f>
        <v>au_M1(L53)-CAPITAL</v>
      </c>
      <c r="C107" s="87" t="str">
        <f>IF(G33="","au_N1(L57)",IF(G33&lt;I33,_xlfn.CONCAT("au_N1(L57)-",RIGHT(F33,LEN(F33) - FIND("-",F33))), _xlfn.CONCAT("au_N1(L57)-",RIGHT(H33,LEN(H33) - FIND("-",H33)))))</f>
        <v>au_N1(L57)-GREENWICH WHITE</v>
      </c>
      <c r="D107" s="87" t="str">
        <f>IF(G31="","au_O1(L49)",IF(G31&lt;I31,_xlfn.CONCAT("au_O1(L49)-",RIGHT(F31,LEN(F31) - FIND("-",F31))), _xlfn.CONCAT("au_O1(L49)-",RIGHT(H31,LEN(H31) - FIND("-",H31)))))</f>
        <v>au_O1(L49)-ELMHURST</v>
      </c>
      <c r="E107" s="87" t="str">
        <f>IF(G50="","au_P1(L50)",IF(G50&lt;I50,_xlfn.CONCAT("au_P1(L50)-",RIGHT(F50,LEN(F50) - FIND("-",F50))), _xlfn.CONCAT("au_P1(L50)-",RIGHT(H50,LEN(H50) - FIND("-",H50)))))</f>
        <v>au_P1(L50)-VNITED A</v>
      </c>
    </row>
    <row r="108" spans="1:5" ht="14.1" customHeight="1">
      <c r="A108" s="60">
        <v>2</v>
      </c>
      <c r="B108" s="86" t="str">
        <f>IF(G71="","au_M2(L59)",IF(G71&lt;I71,_xlfn.CONCAT("au_M2(L59)-",RIGHT(F71,LEN(F71) - FIND("-",F71))), _xlfn.CONCAT("au_M2(L59)-",RIGHT(H71,LEN(H71) - FIND("-",H71)))))</f>
        <v>au_M2(L59)-AMERICAN RIVER BLUE</v>
      </c>
      <c r="C108" s="86" t="str">
        <f>IF(G70="","au_N2(L55)",IF(G70&lt;I70,_xlfn.CONCAT("au_N2(L55)-",RIGHT(F70,LEN(F70) - FIND("-",F70))), _xlfn.CONCAT("au_N2(L55)-",RIGHT(H70,LEN(H70) - FIND("-",H70)))))</f>
        <v>au_N2(L55)-CLOVIS A</v>
      </c>
      <c r="D108" s="87" t="str">
        <f>IF(G52="","au_O2(L58)",IF(G52&lt;I52,_xlfn.CONCAT("au_O2(L58)-",RIGHT(F52,LEN(F52) - FIND("-",F52))), _xlfn.CONCAT("au_O2(L58)-",RIGHT(H52,LEN(H52) - FIND("-",H52)))))</f>
        <v>au_O2(L58)-MISSION</v>
      </c>
      <c r="E108" s="87" t="str">
        <f>IF(G51="","au_P2(L54)",IF(G51&lt;I51,_xlfn.CONCAT("au_P2(L54)-",RIGHT(F51,LEN(F51) - FIND("-",F51))), _xlfn.CONCAT("au_P2(L54)-",RIGHT(H51,LEN(H51) - FIND("-",H51)))))</f>
        <v>au_P2(L54)-SANTA CRUZ</v>
      </c>
    </row>
    <row r="109" spans="1:5" ht="14.1" customHeight="1">
      <c r="A109" s="60">
        <v>3</v>
      </c>
      <c r="B109" s="86" t="str">
        <f>IF(G69="","au_M3(L51)",IF(G69&lt;I69,_xlfn.CONCAT("au_M3(L51)-",RIGHT(F69,LEN(F69) - FIND("-",F69))), _xlfn.CONCAT("au_M3(L51)-",RIGHT(H69,LEN(H69) - FIND("-",H69)))))</f>
        <v>au_M3(L51)-HONOLULU A</v>
      </c>
      <c r="C109" s="86" t="str">
        <f>IF(G88="","au_N3(L52)",IF(G88&lt;I88,_xlfn.CONCAT("au_N3(L52)-",RIGHT(F88,LEN(F88) - FIND("-",F88))), _xlfn.CONCAT("au_N3(L52)-",RIGHT(H88,LEN(H88) - FIND("-",H88)))))</f>
        <v>au_N3(L52)-MIAMI RIPTIDES</v>
      </c>
      <c r="D109" s="87" t="str">
        <f>IF(G89="","au_O3(L56)",IF(G89&lt;I89,_xlfn.CONCAT("au_O3(L56)-",RIGHT(F89,LEN(F89) - FIND("-",F89))), _xlfn.CONCAT("au_O3(L56)-",RIGHT(H89,LEN(H89) - FIND("-",H89)))))</f>
        <v>au_O3(L56)-CC UNITED BLUE B</v>
      </c>
      <c r="E109" s="87" t="str">
        <f>IF(G90="","au_P3(L60)",IF(G90&lt;I90,_xlfn.CONCAT("au_P3(L60)-",RIGHT(F90,LEN(F90) - FIND("-",F90))), _xlfn.CONCAT("au_P3(L60)-",RIGHT(H90,LEN(H90) - FIND("-",H90)))))</f>
        <v>au_P3(L60)-LA PREMIER</v>
      </c>
    </row>
    <row r="110" spans="1:5" ht="14.1" customHeight="1">
      <c r="B110" s="60"/>
      <c r="C110" s="60"/>
      <c r="D110" s="60"/>
      <c r="E110" s="60"/>
    </row>
    <row r="111" spans="1:5" ht="14.1" customHeight="1">
      <c r="B111" s="153" t="s">
        <v>410</v>
      </c>
      <c r="C111" s="153" t="s">
        <v>411</v>
      </c>
      <c r="D111" s="153" t="s">
        <v>412</v>
      </c>
      <c r="E111" s="153" t="s">
        <v>413</v>
      </c>
    </row>
    <row r="112" spans="1:5" ht="14.1" customHeight="1">
      <c r="A112" s="60">
        <v>1</v>
      </c>
      <c r="B112" s="87" t="str">
        <f>IF(G86="","au_R1(L48)",IF(G86&lt;I86,_xlfn.CONCAT("au_R1(L48)-",RIGHT(F86,LEN(F86) - FIND("-",F86))), _xlfn.CONCAT("au_R1(L48)-",RIGHT(H86,LEN(H86) - FIND("-",H86)))))</f>
        <v>au_R1(L48)-NARROWS</v>
      </c>
      <c r="C112" s="87" t="str">
        <f>IF(G84="","au_S1(L40)",IF(G84&lt;I84,_xlfn.CONCAT("au_S1(L40)-",RIGHT(F84,LEN(F84) - FIND("-",F84))), _xlfn.CONCAT("au_S1(L40)-",RIGHT(H84,LEN(H84) - FIND("-",H84)))))</f>
        <v>au_S1(L40)-TOPAZ TSUNAMI</v>
      </c>
      <c r="D112" s="87" t="str">
        <f>IF(G82="","au_T1(L32)",IF(G82&lt;I82,_xlfn.CONCAT("au_T1(L32)-",RIGHT(F82,LEN(F82) - FIND("-",F82))), _xlfn.CONCAT("au_T1(L32)-",RIGHT(H82,LEN(H82) - FIND("-",H82)))))</f>
        <v>au_T1(L32)-NORTHWEST</v>
      </c>
      <c r="E112" s="86" t="str">
        <f>IF(G63="","au_U1(L31)",IF(G63&lt;I63,_xlfn.CONCAT("au_U1(L31)-",RIGHT(F63,LEN(F63) - FIND("-",F63))), _xlfn.CONCAT("au_U1(L31)-",RIGHT(H63,LEN(H63) - FIND("-",H63)))))</f>
        <v>au_U1(L31)-PEGASUS BLUE</v>
      </c>
    </row>
    <row r="113" spans="1:15" ht="14.1" customHeight="1">
      <c r="A113" s="60">
        <v>2</v>
      </c>
      <c r="B113" s="87" t="str">
        <f>IF(G46="","au_R2(L38)",IF(G46&lt;I46,_xlfn.CONCAT("au_R2(L38)-",RIGHT(F46,LEN(F46) - FIND("-",F46))), _xlfn.CONCAT("au_R2(L38)-",RIGHT(H46,LEN(H46) - FIND("-",H46)))))</f>
        <v>au_R2(L38)-KERN PREMIER</v>
      </c>
      <c r="C113" s="87" t="str">
        <f>IF(G48="","au_S2(L46)",IF(G48&lt;I48,_xlfn.CONCAT("au_S2(L46)-",RIGHT(F48,LEN(F48) - FIND("-",F48))), _xlfn.CONCAT("au_S2(L46)-",RIGHT(H48,LEN(H48) - FIND("-",H48)))))</f>
        <v>au_S2(L46)-LYONS AQUATICS</v>
      </c>
      <c r="D113" s="86" t="str">
        <f>IF(G65="","au_T2(L39)",IF(G65&lt;I65,_xlfn.CONCAT("au_T2(L39)-",RIGHT(F65,LEN(F65) - FIND("-",F65))), _xlfn.CONCAT("au_T2(L39)-",RIGHT(H65,LEN(H65) - FIND("-",H65)))))</f>
        <v>au_T2(L39)-CHICAGO PARK</v>
      </c>
      <c r="E113" s="86" t="str">
        <f>IF(G67="","au_U2(L47)",IF(G67&lt;I67,_xlfn.CONCAT("au_U2(L47)-",RIGHT(F67,LEN(F67) - FIND("-",F67))), _xlfn.CONCAT("au_U2(L47)-",RIGHT(H67,LEN(H67) - FIND("-",H67)))))</f>
        <v>au_U2(L47)-CLOVIS RED</v>
      </c>
    </row>
    <row r="114" spans="1:15" ht="14.1" customHeight="1">
      <c r="A114" s="60">
        <v>3</v>
      </c>
      <c r="B114" s="86" t="str">
        <f>IF(G44="","au_R3(L30)",IF(G44&lt;I44,_xlfn.CONCAT("au_R3(L30)-",RIGHT(F44,LEN(F44) - FIND("-",F44))), _xlfn.CONCAT("au_R3(L30)-",RIGHT(H44,LEN(H44) - FIND("-",H44)))))</f>
        <v>au_R3(L30)-KEARNS</v>
      </c>
      <c r="C114" s="87" t="str">
        <f>IF(G25="","au_S3(L29)",IF(G25&lt;I25,_xlfn.CONCAT("au_S3(L29)-",RIGHT(F25,LEN(F25) - FIND("-",F25))), _xlfn.CONCAT("au_S3(L29)-",RIGHT(H25,LEN(H25) - FIND("-",H25)))))</f>
        <v>au_S3(L29)-NIPC</v>
      </c>
      <c r="D114" s="87" t="str">
        <f>IF(G29="","au_T3(L45)",IF(G29&lt;I29,_xlfn.CONCAT("au_T3(L45)-",RIGHT(F29,LEN(F29) - FIND("-",F29))), _xlfn.CONCAT("au_T3(L45)-",RIGHT(H29,LEN(H29) - FIND("-",H29)))))</f>
        <v>au_T3(L45)-HONOLULU B</v>
      </c>
      <c r="E114" s="86" t="str">
        <f>IF(G27="","au_U3(L37)",IF(G27&lt;I27,_xlfn.CONCAT("au_U3(L37)-",RIGHT(F27,LEN(F27) - FIND("-",F27))), _xlfn.CONCAT("au_U3(L37)-",RIGHT(H27,LEN(H27) - FIND("-",H27)))))</f>
        <v>au_U3(L37)-BARCELONA LIONS</v>
      </c>
    </row>
    <row r="115" spans="1:15" ht="14.1" customHeight="1" thickBot="1">
      <c r="B115" s="60"/>
      <c r="C115" s="60"/>
      <c r="D115" s="60"/>
      <c r="E115" s="60"/>
      <c r="F115" s="60"/>
      <c r="G115" s="64"/>
      <c r="H115" s="60"/>
      <c r="I115" s="60"/>
      <c r="J115" s="60"/>
      <c r="K115" s="60"/>
      <c r="L115" s="60"/>
    </row>
    <row r="116" spans="1:15" ht="14.1" customHeight="1" thickBot="1">
      <c r="B116" s="60"/>
      <c r="C116" s="60"/>
      <c r="D116" s="68" t="str">
        <f>'CHICLETS MASTER S2'!$AV$27</f>
        <v>FULLERTON COLLEGE</v>
      </c>
      <c r="E116" s="60"/>
      <c r="F116" s="60"/>
      <c r="G116" s="64"/>
      <c r="H116" s="60"/>
      <c r="I116" s="60"/>
      <c r="J116" s="60"/>
      <c r="K116" s="60"/>
      <c r="L116" s="60"/>
    </row>
    <row r="117" spans="1:15" ht="14.1" customHeight="1">
      <c r="A117" s="150" t="s">
        <v>124</v>
      </c>
      <c r="B117" s="151" t="s">
        <v>125</v>
      </c>
      <c r="C117" s="151" t="s">
        <v>126</v>
      </c>
      <c r="D117" s="151" t="s">
        <v>127</v>
      </c>
      <c r="E117" s="151" t="s">
        <v>128</v>
      </c>
      <c r="F117" s="151" t="s">
        <v>129</v>
      </c>
      <c r="G117" s="151" t="s">
        <v>130</v>
      </c>
      <c r="H117" s="151" t="s">
        <v>131</v>
      </c>
      <c r="I117" s="151" t="s">
        <v>130</v>
      </c>
      <c r="J117" s="151" t="s">
        <v>132</v>
      </c>
      <c r="K117" s="151" t="s">
        <v>133</v>
      </c>
      <c r="L117" s="151" t="s">
        <v>134</v>
      </c>
    </row>
    <row r="118" spans="1:15" ht="14.1" customHeight="1">
      <c r="A118" s="89">
        <f t="shared" ref="A118:A129" si="12">$A$93</f>
        <v>46227</v>
      </c>
      <c r="B118" s="70">
        <f>'CHICLETS MASTER S2'!AU28</f>
        <v>0.29166666666666669</v>
      </c>
      <c r="C118" s="71" t="s">
        <v>218</v>
      </c>
      <c r="D118" s="71" t="str">
        <f t="shared" ref="D118:D129" si="13">$D$116</f>
        <v>FULLERTON COLLEGE</v>
      </c>
      <c r="E118" s="71">
        <v>61</v>
      </c>
      <c r="F118" s="90" t="str">
        <f>B97</f>
        <v>pt_M2(W43)-VANGUARD BLUE</v>
      </c>
      <c r="G118" s="90">
        <v>6</v>
      </c>
      <c r="H118" s="90" t="str">
        <f>B98</f>
        <v>pt_M3(W27)-PATRIOT NAVY</v>
      </c>
      <c r="I118" s="90">
        <v>8</v>
      </c>
      <c r="J118" s="90"/>
      <c r="K118" s="90"/>
      <c r="L118" s="90" t="str">
        <f t="shared" ref="L118:L129" si="14">IF(E118="","",$L$15&amp;"-"&amp;TEXT(E118,"000"))</f>
        <v>16B-061</v>
      </c>
      <c r="O118" s="62" t="str">
        <f t="shared" ref="O118:O129" si="15">$K$255&amp;C118</f>
        <v>pt_Group</v>
      </c>
    </row>
    <row r="119" spans="1:15" ht="14.1" customHeight="1">
      <c r="A119" s="89">
        <f t="shared" si="12"/>
        <v>46227</v>
      </c>
      <c r="B119" s="70">
        <f>'CHICLETS MASTER S2'!AU29</f>
        <v>0.3263888888888889</v>
      </c>
      <c r="C119" s="71" t="s">
        <v>218</v>
      </c>
      <c r="D119" s="71" t="str">
        <f t="shared" si="13"/>
        <v>FULLERTON COLLEGE</v>
      </c>
      <c r="E119" s="71">
        <v>65</v>
      </c>
      <c r="F119" s="90" t="str">
        <f>C97</f>
        <v>pt_N2(W35)-CIU GOLD</v>
      </c>
      <c r="G119" s="90">
        <v>4</v>
      </c>
      <c r="H119" s="90" t="str">
        <f>C98</f>
        <v>pt_N3(W28)-BERKELEY</v>
      </c>
      <c r="I119" s="90">
        <v>9</v>
      </c>
      <c r="J119" s="90"/>
      <c r="K119" s="90"/>
      <c r="L119" s="90" t="str">
        <f t="shared" si="14"/>
        <v>16B-065</v>
      </c>
      <c r="O119" s="62" t="str">
        <f t="shared" si="15"/>
        <v>pt_Group</v>
      </c>
    </row>
    <row r="120" spans="1:15" ht="14.1" customHeight="1">
      <c r="A120" s="89">
        <f t="shared" si="12"/>
        <v>46227</v>
      </c>
      <c r="B120" s="70">
        <f>'CHICLETS MASTER S2'!AU30</f>
        <v>0.36111111111111099</v>
      </c>
      <c r="C120" s="71" t="s">
        <v>218</v>
      </c>
      <c r="D120" s="71" t="str">
        <f t="shared" si="13"/>
        <v>FULLERTON COLLEGE</v>
      </c>
      <c r="E120" s="71">
        <v>69</v>
      </c>
      <c r="F120" s="90" t="str">
        <f>C101</f>
        <v>pt_S1(W60)-LONGHORN</v>
      </c>
      <c r="G120" s="90">
        <v>9</v>
      </c>
      <c r="H120" s="90" t="str">
        <f>C102</f>
        <v>pt_S2(W54)-LB SHORE RED</v>
      </c>
      <c r="I120" s="90">
        <v>17</v>
      </c>
      <c r="J120" s="90"/>
      <c r="K120" s="90"/>
      <c r="L120" s="90" t="str">
        <f t="shared" si="14"/>
        <v>16B-069</v>
      </c>
      <c r="O120" s="62" t="str">
        <f t="shared" si="15"/>
        <v>pt_Group</v>
      </c>
    </row>
    <row r="121" spans="1:15" ht="14.1" customHeight="1">
      <c r="A121" s="89">
        <f t="shared" si="12"/>
        <v>46227</v>
      </c>
      <c r="B121" s="70">
        <f>'CHICLETS MASTER S2'!AU31</f>
        <v>0.39583333333333398</v>
      </c>
      <c r="C121" s="71" t="s">
        <v>218</v>
      </c>
      <c r="D121" s="71" t="str">
        <f t="shared" si="13"/>
        <v>FULLERTON COLLEGE</v>
      </c>
      <c r="E121" s="71">
        <v>73</v>
      </c>
      <c r="F121" s="90" t="str">
        <f>B101</f>
        <v>pt_R1(W56)-GREENWICH BLUE</v>
      </c>
      <c r="G121" s="90">
        <v>11</v>
      </c>
      <c r="H121" s="90" t="str">
        <f>B102</f>
        <v>pt_R2(W58)-SD DONS</v>
      </c>
      <c r="I121" s="90">
        <v>7</v>
      </c>
      <c r="J121" s="90"/>
      <c r="K121" s="90"/>
      <c r="L121" s="90" t="str">
        <f t="shared" si="14"/>
        <v>16B-073</v>
      </c>
      <c r="O121" s="62" t="str">
        <f t="shared" si="15"/>
        <v>pt_Group</v>
      </c>
    </row>
    <row r="122" spans="1:15" ht="14.1" customHeight="1">
      <c r="A122" s="89">
        <f t="shared" si="12"/>
        <v>46227</v>
      </c>
      <c r="B122" s="70">
        <f>'CHICLETS MASTER S2'!AU32</f>
        <v>0.43055555555555602</v>
      </c>
      <c r="C122" s="71" t="s">
        <v>218</v>
      </c>
      <c r="D122" s="71" t="str">
        <f t="shared" si="13"/>
        <v>FULLERTON COLLEGE</v>
      </c>
      <c r="E122" s="71">
        <v>77</v>
      </c>
      <c r="F122" s="90" t="str">
        <f>B96</f>
        <v>pt_M1(W33)-SD SHORES BLACK</v>
      </c>
      <c r="G122" s="90">
        <v>10</v>
      </c>
      <c r="H122" s="90" t="str">
        <f>B98</f>
        <v>pt_M3(W27)-PATRIOT NAVY</v>
      </c>
      <c r="I122" s="90">
        <v>12</v>
      </c>
      <c r="J122" s="90"/>
      <c r="K122" s="90"/>
      <c r="L122" s="90" t="str">
        <f t="shared" si="14"/>
        <v>16B-077</v>
      </c>
      <c r="O122" s="62" t="str">
        <f t="shared" si="15"/>
        <v>pt_Group</v>
      </c>
    </row>
    <row r="123" spans="1:15" ht="14.1" customHeight="1">
      <c r="A123" s="89">
        <f t="shared" si="12"/>
        <v>46227</v>
      </c>
      <c r="B123" s="70">
        <f>'CHICLETS MASTER S2'!AU33</f>
        <v>0.46527777777777801</v>
      </c>
      <c r="C123" s="71" t="s">
        <v>218</v>
      </c>
      <c r="D123" s="71" t="str">
        <f t="shared" si="13"/>
        <v>FULLERTON COLLEGE</v>
      </c>
      <c r="E123" s="71">
        <v>81</v>
      </c>
      <c r="F123" s="90" t="str">
        <f>C96</f>
        <v>pt_N1(W41)-LA JOLLA UNITED NAVY</v>
      </c>
      <c r="G123" s="90">
        <v>8</v>
      </c>
      <c r="H123" s="90" t="str">
        <f>C98</f>
        <v>pt_N3(W28)-BERKELEY</v>
      </c>
      <c r="I123" s="90">
        <v>9</v>
      </c>
      <c r="J123" s="90"/>
      <c r="K123" s="90"/>
      <c r="L123" s="90" t="str">
        <f t="shared" si="14"/>
        <v>16B-081</v>
      </c>
      <c r="O123" s="62" t="str">
        <f t="shared" si="15"/>
        <v>pt_Group</v>
      </c>
    </row>
    <row r="124" spans="1:15" ht="14.1" customHeight="1">
      <c r="A124" s="89">
        <f t="shared" si="12"/>
        <v>46227</v>
      </c>
      <c r="B124" s="70">
        <f>'CHICLETS MASTER S2'!AU34</f>
        <v>0.5</v>
      </c>
      <c r="C124" s="71" t="s">
        <v>218</v>
      </c>
      <c r="D124" s="71" t="str">
        <f t="shared" si="13"/>
        <v>FULLERTON COLLEGE</v>
      </c>
      <c r="E124" s="71">
        <v>85</v>
      </c>
      <c r="F124" s="90" t="str">
        <f>C101</f>
        <v>pt_S1(W60)-LONGHORN</v>
      </c>
      <c r="G124" s="90">
        <v>8</v>
      </c>
      <c r="H124" s="90" t="str">
        <f>C103</f>
        <v>pt_S3(W50)-ROSE BOWL RED</v>
      </c>
      <c r="I124" s="90">
        <v>11</v>
      </c>
      <c r="J124" s="90"/>
      <c r="K124" s="90"/>
      <c r="L124" s="90" t="str">
        <f t="shared" si="14"/>
        <v>16B-085</v>
      </c>
      <c r="O124" s="62" t="str">
        <f t="shared" si="15"/>
        <v>pt_Group</v>
      </c>
    </row>
    <row r="125" spans="1:15" ht="14.1" customHeight="1">
      <c r="A125" s="89">
        <f t="shared" si="12"/>
        <v>46227</v>
      </c>
      <c r="B125" s="70">
        <f>'CHICLETS MASTER S2'!AU35</f>
        <v>0.53472222222222199</v>
      </c>
      <c r="C125" s="71" t="s">
        <v>218</v>
      </c>
      <c r="D125" s="71" t="str">
        <f t="shared" si="13"/>
        <v>FULLERTON COLLEGE</v>
      </c>
      <c r="E125" s="71">
        <v>89</v>
      </c>
      <c r="F125" s="90" t="str">
        <f>B101</f>
        <v>pt_R1(W56)-GREENWICH BLUE</v>
      </c>
      <c r="G125" s="90">
        <v>8</v>
      </c>
      <c r="H125" s="90" t="str">
        <f>B103</f>
        <v>pt_R3(W49)-TEXAS THUNDER BLACK</v>
      </c>
      <c r="I125" s="90">
        <v>12</v>
      </c>
      <c r="J125" s="90"/>
      <c r="K125" s="90"/>
      <c r="L125" s="90" t="str">
        <f t="shared" si="14"/>
        <v>16B-089</v>
      </c>
      <c r="O125" s="62" t="str">
        <f t="shared" si="15"/>
        <v>pt_Group</v>
      </c>
    </row>
    <row r="126" spans="1:15" ht="14.1" customHeight="1">
      <c r="A126" s="89">
        <f t="shared" si="12"/>
        <v>46227</v>
      </c>
      <c r="B126" s="70">
        <f>'CHICLETS MASTER S2'!AU36</f>
        <v>0.56944444444444497</v>
      </c>
      <c r="C126" s="71" t="s">
        <v>218</v>
      </c>
      <c r="D126" s="71" t="str">
        <f t="shared" si="13"/>
        <v>FULLERTON COLLEGE</v>
      </c>
      <c r="E126" s="71">
        <v>93</v>
      </c>
      <c r="F126" s="90" t="str">
        <f>B96</f>
        <v>pt_M1(W33)-SD SHORES BLACK</v>
      </c>
      <c r="G126" s="90">
        <v>12</v>
      </c>
      <c r="H126" s="90" t="str">
        <f>B97</f>
        <v>pt_M2(W43)-VANGUARD BLUE</v>
      </c>
      <c r="I126" s="90">
        <v>9</v>
      </c>
      <c r="J126" s="90"/>
      <c r="K126" s="90"/>
      <c r="L126" s="90" t="str">
        <f t="shared" si="14"/>
        <v>16B-093</v>
      </c>
      <c r="O126" s="62" t="str">
        <f t="shared" si="15"/>
        <v>pt_Group</v>
      </c>
    </row>
    <row r="127" spans="1:15" ht="14.1" customHeight="1">
      <c r="A127" s="89">
        <f t="shared" si="12"/>
        <v>46227</v>
      </c>
      <c r="B127" s="70">
        <f>'CHICLETS MASTER S2'!AU37</f>
        <v>0.60416666666666696</v>
      </c>
      <c r="C127" s="71" t="s">
        <v>218</v>
      </c>
      <c r="D127" s="71" t="str">
        <f t="shared" si="13"/>
        <v>FULLERTON COLLEGE</v>
      </c>
      <c r="E127" s="71">
        <v>97</v>
      </c>
      <c r="F127" s="90" t="str">
        <f>C96</f>
        <v>pt_N1(W41)-LA JOLLA UNITED NAVY</v>
      </c>
      <c r="G127" s="90">
        <v>7</v>
      </c>
      <c r="H127" s="90" t="str">
        <f>C97</f>
        <v>pt_N2(W35)-CIU GOLD</v>
      </c>
      <c r="I127" s="90">
        <v>6</v>
      </c>
      <c r="J127" s="90"/>
      <c r="K127" s="90"/>
      <c r="L127" s="90" t="str">
        <f t="shared" si="14"/>
        <v>16B-097</v>
      </c>
      <c r="O127" s="62" t="str">
        <f t="shared" si="15"/>
        <v>pt_Group</v>
      </c>
    </row>
    <row r="128" spans="1:15" ht="14.1" customHeight="1">
      <c r="A128" s="89">
        <f t="shared" si="12"/>
        <v>46227</v>
      </c>
      <c r="B128" s="70">
        <f>'CHICLETS MASTER S2'!AU38</f>
        <v>0.63888888888888895</v>
      </c>
      <c r="C128" s="71" t="s">
        <v>218</v>
      </c>
      <c r="D128" s="71" t="str">
        <f t="shared" si="13"/>
        <v>FULLERTON COLLEGE</v>
      </c>
      <c r="E128" s="71">
        <v>101</v>
      </c>
      <c r="F128" s="90" t="str">
        <f>C102</f>
        <v>pt_S2(W54)-LB SHORE RED</v>
      </c>
      <c r="G128" s="90">
        <v>9</v>
      </c>
      <c r="H128" s="90" t="str">
        <f>C103</f>
        <v>pt_S3(W50)-ROSE BOWL RED</v>
      </c>
      <c r="I128" s="90">
        <v>12</v>
      </c>
      <c r="J128" s="90"/>
      <c r="K128" s="90"/>
      <c r="L128" s="90" t="str">
        <f t="shared" si="14"/>
        <v>16B-101</v>
      </c>
      <c r="O128" s="62" t="str">
        <f t="shared" si="15"/>
        <v>pt_Group</v>
      </c>
    </row>
    <row r="129" spans="1:15" ht="14.1" customHeight="1">
      <c r="A129" s="89">
        <f t="shared" si="12"/>
        <v>46227</v>
      </c>
      <c r="B129" s="70">
        <f>'CHICLETS MASTER S2'!AU39</f>
        <v>0.67361111111111105</v>
      </c>
      <c r="C129" s="71" t="s">
        <v>218</v>
      </c>
      <c r="D129" s="71" t="str">
        <f t="shared" si="13"/>
        <v>FULLERTON COLLEGE</v>
      </c>
      <c r="E129" s="71">
        <v>105</v>
      </c>
      <c r="F129" s="90" t="str">
        <f>B102</f>
        <v>pt_R2(W58)-SD DONS</v>
      </c>
      <c r="G129" s="90">
        <v>13</v>
      </c>
      <c r="H129" s="90" t="str">
        <f>B103</f>
        <v>pt_R3(W49)-TEXAS THUNDER BLACK</v>
      </c>
      <c r="I129" s="90">
        <v>14</v>
      </c>
      <c r="J129" s="90"/>
      <c r="K129" s="90"/>
      <c r="L129" s="90" t="str">
        <f t="shared" si="14"/>
        <v>16B-105</v>
      </c>
      <c r="O129" s="62" t="str">
        <f t="shared" si="15"/>
        <v>pt_Group</v>
      </c>
    </row>
    <row r="130" spans="1:15" ht="14.1" customHeight="1">
      <c r="A130" s="75"/>
      <c r="B130" s="60" t="s">
        <v>139</v>
      </c>
      <c r="C130" s="60"/>
      <c r="D130" s="60"/>
      <c r="E130" s="60"/>
      <c r="F130" s="60"/>
      <c r="G130" s="64"/>
      <c r="H130" s="60"/>
      <c r="I130" s="60"/>
      <c r="J130" s="60"/>
      <c r="K130" s="60"/>
      <c r="L130" s="60"/>
    </row>
    <row r="131" spans="1:15" ht="14.1" customHeight="1">
      <c r="A131" s="75" t="s">
        <v>633</v>
      </c>
      <c r="B131" s="60" t="s">
        <v>139</v>
      </c>
      <c r="C131" s="60"/>
      <c r="D131" s="60"/>
      <c r="E131" s="60"/>
      <c r="F131" s="60"/>
      <c r="G131" s="64"/>
      <c r="H131" s="60"/>
      <c r="I131" s="60"/>
      <c r="J131" s="60"/>
      <c r="K131" s="60"/>
      <c r="L131" s="60"/>
    </row>
    <row r="132" spans="1:15" ht="14.1" customHeight="1">
      <c r="A132" s="89">
        <f>$A$93</f>
        <v>46227</v>
      </c>
      <c r="B132" s="70">
        <f>'CHICLETS MASTER S2'!AU42</f>
        <v>0.77777777777777801</v>
      </c>
      <c r="C132" s="71" t="s">
        <v>219</v>
      </c>
      <c r="D132" s="71" t="str">
        <f>$D$116</f>
        <v>FULLERTON COLLEGE</v>
      </c>
      <c r="E132" s="71">
        <v>109</v>
      </c>
      <c r="F132" s="90" t="s">
        <v>634</v>
      </c>
      <c r="G132" s="90">
        <v>15</v>
      </c>
      <c r="H132" s="90" t="s">
        <v>635</v>
      </c>
      <c r="I132" s="90">
        <v>5</v>
      </c>
      <c r="J132" s="90">
        <v>129</v>
      </c>
      <c r="K132" s="90">
        <v>134</v>
      </c>
      <c r="L132" s="90" t="str">
        <f>IF(E132="","",$L$15&amp;"-"&amp;TEXT(E132,"000"))</f>
        <v>16B-109</v>
      </c>
      <c r="O132" s="62" t="str">
        <f>$K$255&amp;C132</f>
        <v>pt_Play-in</v>
      </c>
    </row>
    <row r="133" spans="1:15" ht="14.1" customHeight="1">
      <c r="A133" s="89">
        <f>$A$93</f>
        <v>46227</v>
      </c>
      <c r="B133" s="70">
        <f>'CHICLETS MASTER S2'!AU43</f>
        <v>0.8125</v>
      </c>
      <c r="C133" s="71" t="s">
        <v>219</v>
      </c>
      <c r="D133" s="71" t="str">
        <f>$D$116</f>
        <v>FULLERTON COLLEGE</v>
      </c>
      <c r="E133" s="71">
        <v>113</v>
      </c>
      <c r="F133" s="90" t="s">
        <v>636</v>
      </c>
      <c r="G133" s="90">
        <v>10</v>
      </c>
      <c r="H133" s="90" t="s">
        <v>637</v>
      </c>
      <c r="I133" s="90">
        <v>7</v>
      </c>
      <c r="J133" s="90">
        <v>121</v>
      </c>
      <c r="K133" s="90">
        <v>126</v>
      </c>
      <c r="L133" s="90" t="str">
        <f>IF(E133="","",$L$15&amp;"-"&amp;TEXT(E133,"000"))</f>
        <v>16B-113</v>
      </c>
      <c r="O133" s="62" t="str">
        <f>$K$255&amp;C133</f>
        <v>pt_Play-in</v>
      </c>
    </row>
    <row r="134" spans="1:15" ht="14.1" customHeight="1" thickBot="1">
      <c r="A134" s="78"/>
      <c r="B134" s="79"/>
      <c r="C134" s="60"/>
      <c r="D134" s="60"/>
      <c r="E134" s="60"/>
      <c r="F134" s="60" t="s">
        <v>418</v>
      </c>
      <c r="G134" s="64"/>
      <c r="H134" s="60" t="s">
        <v>418</v>
      </c>
      <c r="I134" s="60"/>
      <c r="J134" s="60"/>
      <c r="K134" s="60"/>
      <c r="L134" s="60"/>
    </row>
    <row r="135" spans="1:15" ht="14.1" customHeight="1" thickBot="1">
      <c r="A135" s="78"/>
      <c r="B135" s="79"/>
      <c r="C135" s="60"/>
      <c r="D135" s="68" t="str">
        <f>'CHICLETS MASTER S2'!$AW$27</f>
        <v>LONG BEACH CC 1</v>
      </c>
      <c r="E135" s="60"/>
      <c r="F135" s="60"/>
      <c r="G135" s="64"/>
      <c r="H135" s="60"/>
      <c r="I135" s="60"/>
      <c r="J135" s="60"/>
      <c r="K135" s="60"/>
      <c r="L135" s="60"/>
    </row>
    <row r="136" spans="1:15" ht="14.1" customHeight="1">
      <c r="A136" s="150" t="s">
        <v>124</v>
      </c>
      <c r="B136" s="151" t="s">
        <v>125</v>
      </c>
      <c r="C136" s="151" t="s">
        <v>126</v>
      </c>
      <c r="D136" s="151" t="s">
        <v>127</v>
      </c>
      <c r="E136" s="151" t="s">
        <v>128</v>
      </c>
      <c r="F136" s="151" t="s">
        <v>129</v>
      </c>
      <c r="G136" s="151" t="s">
        <v>130</v>
      </c>
      <c r="H136" s="151" t="s">
        <v>131</v>
      </c>
      <c r="I136" s="151" t="s">
        <v>130</v>
      </c>
      <c r="J136" s="151" t="s">
        <v>132</v>
      </c>
      <c r="K136" s="151" t="s">
        <v>133</v>
      </c>
      <c r="L136" s="151" t="s">
        <v>134</v>
      </c>
    </row>
    <row r="137" spans="1:15" ht="14.1" customHeight="1">
      <c r="A137" s="89">
        <f t="shared" ref="A137:A148" si="16">$A$93</f>
        <v>46227</v>
      </c>
      <c r="B137" s="70">
        <f>'CHICLETS MASTER S2'!AU28</f>
        <v>0.29166666666666669</v>
      </c>
      <c r="C137" s="71" t="s">
        <v>218</v>
      </c>
      <c r="D137" s="71" t="str">
        <f t="shared" ref="D137:D148" si="17">$D$135</f>
        <v>LONG BEACH CC 1</v>
      </c>
      <c r="E137" s="71">
        <v>62</v>
      </c>
      <c r="F137" s="90" t="str">
        <f>D97</f>
        <v>pt_O2(W42)-NEWPORT BEACH BLUE</v>
      </c>
      <c r="G137" s="90">
        <v>12</v>
      </c>
      <c r="H137" s="90" t="str">
        <f>D98</f>
        <v>pt_O3(W36)-LAMORINDA A</v>
      </c>
      <c r="I137" s="90">
        <v>6</v>
      </c>
      <c r="J137" s="90"/>
      <c r="K137" s="90"/>
      <c r="L137" s="90" t="str">
        <f t="shared" ref="L137:L148" si="18">IF(E137="","",$L$15&amp;"-"&amp;TEXT(E137,"000"))</f>
        <v>16B-062</v>
      </c>
      <c r="O137" s="62" t="str">
        <f t="shared" ref="O137:O148" si="19">$K$255&amp;C137</f>
        <v>pt_Group</v>
      </c>
    </row>
    <row r="138" spans="1:15" ht="14.1" customHeight="1">
      <c r="A138" s="89">
        <f t="shared" si="16"/>
        <v>46227</v>
      </c>
      <c r="B138" s="70">
        <f>'CHICLETS MASTER S2'!AU29</f>
        <v>0.3263888888888889</v>
      </c>
      <c r="C138" s="71" t="s">
        <v>218</v>
      </c>
      <c r="D138" s="71" t="str">
        <f t="shared" si="17"/>
        <v>LONG BEACH CC 1</v>
      </c>
      <c r="E138" s="71">
        <v>66</v>
      </c>
      <c r="F138" s="90" t="str">
        <f>E97</f>
        <v>pt_P2(W34)-IMPERIAL</v>
      </c>
      <c r="G138" s="90">
        <v>12</v>
      </c>
      <c r="H138" s="90" t="str">
        <f>E98</f>
        <v>pt_P3(W44)-TROJAN CARDINAL</v>
      </c>
      <c r="I138" s="90">
        <v>11</v>
      </c>
      <c r="J138" s="90"/>
      <c r="K138" s="90"/>
      <c r="L138" s="90" t="str">
        <f t="shared" si="18"/>
        <v>16B-066</v>
      </c>
      <c r="O138" s="62" t="str">
        <f t="shared" si="19"/>
        <v>pt_Group</v>
      </c>
    </row>
    <row r="139" spans="1:15" ht="14.1" customHeight="1">
      <c r="A139" s="89">
        <f t="shared" si="16"/>
        <v>46227</v>
      </c>
      <c r="B139" s="70">
        <f>'CHICLETS MASTER S2'!AU30</f>
        <v>0.36111111111111099</v>
      </c>
      <c r="C139" s="71" t="s">
        <v>218</v>
      </c>
      <c r="D139" s="71" t="str">
        <f t="shared" si="17"/>
        <v>LONG BEACH CC 1</v>
      </c>
      <c r="E139" s="71">
        <v>70</v>
      </c>
      <c r="F139" s="90" t="str">
        <f>E101</f>
        <v>pt_U1(W52)-SANTA BARBARA WPC A</v>
      </c>
      <c r="G139" s="90">
        <v>12</v>
      </c>
      <c r="H139" s="90" t="str">
        <f>E102</f>
        <v>pt_U2(W55)-680 RED</v>
      </c>
      <c r="I139" s="90">
        <v>9</v>
      </c>
      <c r="J139" s="90"/>
      <c r="K139" s="90"/>
      <c r="L139" s="90" t="str">
        <f t="shared" si="18"/>
        <v>16B-070</v>
      </c>
      <c r="O139" s="62" t="str">
        <f t="shared" si="19"/>
        <v>pt_Group</v>
      </c>
    </row>
    <row r="140" spans="1:15" ht="14.1" customHeight="1">
      <c r="A140" s="89">
        <f t="shared" si="16"/>
        <v>46227</v>
      </c>
      <c r="B140" s="70">
        <f>'CHICLETS MASTER S2'!AU31</f>
        <v>0.39583333333333398</v>
      </c>
      <c r="C140" s="71" t="s">
        <v>218</v>
      </c>
      <c r="D140" s="71" t="str">
        <f t="shared" si="17"/>
        <v>LONG BEACH CC 1</v>
      </c>
      <c r="E140" s="71">
        <v>74</v>
      </c>
      <c r="F140" s="90" t="str">
        <f>D101</f>
        <v>pt_T1(W51)-CC UNITED BLACK</v>
      </c>
      <c r="G140" s="90">
        <v>12</v>
      </c>
      <c r="H140" s="90" t="str">
        <f>D102</f>
        <v>pt_T2(W59)-LA JOLLA UNITED B</v>
      </c>
      <c r="I140" s="90">
        <v>7</v>
      </c>
      <c r="J140" s="90"/>
      <c r="K140" s="90"/>
      <c r="L140" s="90" t="str">
        <f t="shared" si="18"/>
        <v>16B-074</v>
      </c>
      <c r="O140" s="62" t="str">
        <f t="shared" si="19"/>
        <v>pt_Group</v>
      </c>
    </row>
    <row r="141" spans="1:15" ht="14.1" customHeight="1">
      <c r="A141" s="89">
        <f t="shared" si="16"/>
        <v>46227</v>
      </c>
      <c r="B141" s="70">
        <f>'CHICLETS MASTER S2'!AU32</f>
        <v>0.43055555555555602</v>
      </c>
      <c r="C141" s="71" t="s">
        <v>218</v>
      </c>
      <c r="D141" s="71" t="str">
        <f t="shared" si="17"/>
        <v>LONG BEACH CC 1</v>
      </c>
      <c r="E141" s="71">
        <v>78</v>
      </c>
      <c r="F141" s="90" t="str">
        <f>D96</f>
        <v>pt_O1(W25)-STANFORD RED</v>
      </c>
      <c r="G141" s="90">
        <v>13</v>
      </c>
      <c r="H141" s="90" t="str">
        <f>D98</f>
        <v>pt_O3(W36)-LAMORINDA A</v>
      </c>
      <c r="I141" s="90">
        <v>8</v>
      </c>
      <c r="J141" s="90"/>
      <c r="K141" s="90"/>
      <c r="L141" s="90" t="str">
        <f t="shared" si="18"/>
        <v>16B-078</v>
      </c>
      <c r="O141" s="62" t="str">
        <f t="shared" si="19"/>
        <v>pt_Group</v>
      </c>
    </row>
    <row r="142" spans="1:15" ht="14.1" customHeight="1">
      <c r="A142" s="89">
        <f t="shared" si="16"/>
        <v>46227</v>
      </c>
      <c r="B142" s="70">
        <f>'CHICLETS MASTER S2'!AU33</f>
        <v>0.46527777777777801</v>
      </c>
      <c r="C142" s="71" t="s">
        <v>218</v>
      </c>
      <c r="D142" s="71" t="str">
        <f t="shared" si="17"/>
        <v>LONG BEACH CC 1</v>
      </c>
      <c r="E142" s="71">
        <v>82</v>
      </c>
      <c r="F142" s="90" t="str">
        <f>E96</f>
        <v>pt_P1(W26)-AETOS</v>
      </c>
      <c r="G142" s="90">
        <v>8</v>
      </c>
      <c r="H142" s="90" t="str">
        <f>E98</f>
        <v>pt_P3(W44)-TROJAN CARDINAL</v>
      </c>
      <c r="I142" s="90">
        <v>7</v>
      </c>
      <c r="J142" s="90"/>
      <c r="K142" s="90"/>
      <c r="L142" s="90" t="str">
        <f t="shared" si="18"/>
        <v>16B-082</v>
      </c>
      <c r="O142" s="62" t="str">
        <f t="shared" si="19"/>
        <v>pt_Group</v>
      </c>
    </row>
    <row r="143" spans="1:15" ht="14.1" customHeight="1">
      <c r="A143" s="89">
        <f t="shared" si="16"/>
        <v>46227</v>
      </c>
      <c r="B143" s="70">
        <f>'CHICLETS MASTER S2'!AU34</f>
        <v>0.5</v>
      </c>
      <c r="C143" s="71" t="s">
        <v>218</v>
      </c>
      <c r="D143" s="71" t="str">
        <f t="shared" si="17"/>
        <v>LONG BEACH CC 1</v>
      </c>
      <c r="E143" s="71">
        <v>86</v>
      </c>
      <c r="F143" s="90" t="str">
        <f>E101</f>
        <v>pt_U1(W52)-SANTA BARBARA WPC A</v>
      </c>
      <c r="G143" s="90">
        <v>11</v>
      </c>
      <c r="H143" s="90" t="str">
        <f>E103</f>
        <v>pt_U3(W57)-SAN JOSE FOUNDATION</v>
      </c>
      <c r="I143" s="90">
        <v>7</v>
      </c>
      <c r="J143" s="90"/>
      <c r="K143" s="90"/>
      <c r="L143" s="90" t="str">
        <f t="shared" si="18"/>
        <v>16B-086</v>
      </c>
      <c r="O143" s="62" t="str">
        <f t="shared" si="19"/>
        <v>pt_Group</v>
      </c>
    </row>
    <row r="144" spans="1:15" ht="14.1" customHeight="1">
      <c r="A144" s="89">
        <f t="shared" si="16"/>
        <v>46227</v>
      </c>
      <c r="B144" s="70">
        <f>'CHICLETS MASTER S2'!AU35</f>
        <v>0.53472222222222199</v>
      </c>
      <c r="C144" s="71" t="s">
        <v>218</v>
      </c>
      <c r="D144" s="71" t="str">
        <f t="shared" si="17"/>
        <v>LONG BEACH CC 1</v>
      </c>
      <c r="E144" s="71">
        <v>90</v>
      </c>
      <c r="F144" s="90" t="str">
        <f>D101</f>
        <v>pt_T1(W51)-CC UNITED BLACK</v>
      </c>
      <c r="G144" s="90">
        <v>13</v>
      </c>
      <c r="H144" s="90" t="str">
        <f>D103</f>
        <v>pt_T3(W53)-SAND CANYON BLACK</v>
      </c>
      <c r="I144" s="90">
        <v>9</v>
      </c>
      <c r="J144" s="90"/>
      <c r="K144" s="90"/>
      <c r="L144" s="90" t="str">
        <f t="shared" si="18"/>
        <v>16B-090</v>
      </c>
      <c r="O144" s="62" t="str">
        <f t="shared" si="19"/>
        <v>pt_Group</v>
      </c>
    </row>
    <row r="145" spans="1:15" ht="14.1" customHeight="1">
      <c r="A145" s="89">
        <f t="shared" si="16"/>
        <v>46227</v>
      </c>
      <c r="B145" s="70">
        <f>'CHICLETS MASTER S2'!AU36</f>
        <v>0.56944444444444497</v>
      </c>
      <c r="C145" s="71" t="s">
        <v>218</v>
      </c>
      <c r="D145" s="71" t="str">
        <f t="shared" si="17"/>
        <v>LONG BEACH CC 1</v>
      </c>
      <c r="E145" s="71">
        <v>94</v>
      </c>
      <c r="F145" s="90" t="str">
        <f>D96</f>
        <v>pt_O1(W25)-STANFORD RED</v>
      </c>
      <c r="G145" s="90">
        <v>3</v>
      </c>
      <c r="H145" s="90" t="str">
        <f>D97</f>
        <v>pt_O2(W42)-NEWPORT BEACH BLUE</v>
      </c>
      <c r="I145" s="90">
        <v>6</v>
      </c>
      <c r="J145" s="90"/>
      <c r="K145" s="90"/>
      <c r="L145" s="90" t="str">
        <f t="shared" si="18"/>
        <v>16B-094</v>
      </c>
      <c r="O145" s="62" t="str">
        <f t="shared" si="19"/>
        <v>pt_Group</v>
      </c>
    </row>
    <row r="146" spans="1:15" ht="14.1" customHeight="1">
      <c r="A146" s="89">
        <f t="shared" si="16"/>
        <v>46227</v>
      </c>
      <c r="B146" s="70">
        <f>'CHICLETS MASTER S2'!AU37</f>
        <v>0.60416666666666696</v>
      </c>
      <c r="C146" s="71" t="s">
        <v>218</v>
      </c>
      <c r="D146" s="71" t="str">
        <f t="shared" si="17"/>
        <v>LONG BEACH CC 1</v>
      </c>
      <c r="E146" s="71">
        <v>98</v>
      </c>
      <c r="F146" s="90" t="str">
        <f>E96</f>
        <v>pt_P1(W26)-AETOS</v>
      </c>
      <c r="G146" s="90">
        <v>5</v>
      </c>
      <c r="H146" s="90" t="str">
        <f>E97</f>
        <v>pt_P2(W34)-IMPERIAL</v>
      </c>
      <c r="I146" s="90">
        <v>13</v>
      </c>
      <c r="J146" s="90"/>
      <c r="K146" s="90"/>
      <c r="L146" s="90" t="str">
        <f t="shared" si="18"/>
        <v>16B-098</v>
      </c>
      <c r="O146" s="62" t="str">
        <f t="shared" si="19"/>
        <v>pt_Group</v>
      </c>
    </row>
    <row r="147" spans="1:15" ht="14.1" customHeight="1">
      <c r="A147" s="89">
        <f t="shared" si="16"/>
        <v>46227</v>
      </c>
      <c r="B147" s="70">
        <f>'CHICLETS MASTER S2'!AU38</f>
        <v>0.63888888888888895</v>
      </c>
      <c r="C147" s="71" t="s">
        <v>218</v>
      </c>
      <c r="D147" s="71" t="str">
        <f t="shared" si="17"/>
        <v>LONG BEACH CC 1</v>
      </c>
      <c r="E147" s="71">
        <v>102</v>
      </c>
      <c r="F147" s="90" t="str">
        <f>E102</f>
        <v>pt_U2(W55)-680 RED</v>
      </c>
      <c r="G147" s="90">
        <v>6</v>
      </c>
      <c r="H147" s="90" t="str">
        <f>E103</f>
        <v>pt_U3(W57)-SAN JOSE FOUNDATION</v>
      </c>
      <c r="I147" s="90">
        <v>7</v>
      </c>
      <c r="J147" s="90"/>
      <c r="K147" s="90"/>
      <c r="L147" s="90" t="str">
        <f t="shared" si="18"/>
        <v>16B-102</v>
      </c>
      <c r="O147" s="62" t="str">
        <f t="shared" si="19"/>
        <v>pt_Group</v>
      </c>
    </row>
    <row r="148" spans="1:15" ht="14.1" customHeight="1">
      <c r="A148" s="89">
        <f t="shared" si="16"/>
        <v>46227</v>
      </c>
      <c r="B148" s="70">
        <f>'CHICLETS MASTER S2'!AU39</f>
        <v>0.67361111111111105</v>
      </c>
      <c r="C148" s="71" t="s">
        <v>218</v>
      </c>
      <c r="D148" s="71" t="str">
        <f t="shared" si="17"/>
        <v>LONG BEACH CC 1</v>
      </c>
      <c r="E148" s="71">
        <v>106</v>
      </c>
      <c r="F148" s="90" t="str">
        <f>D102</f>
        <v>pt_T2(W59)-LA JOLLA UNITED B</v>
      </c>
      <c r="G148" s="90">
        <v>10.4</v>
      </c>
      <c r="H148" s="90" t="str">
        <f>D103</f>
        <v>pt_T3(W53)-SAND CANYON BLACK</v>
      </c>
      <c r="I148" s="90">
        <v>10.199999999999999</v>
      </c>
      <c r="J148" s="90"/>
      <c r="K148" s="90"/>
      <c r="L148" s="90" t="str">
        <f t="shared" si="18"/>
        <v>16B-106</v>
      </c>
      <c r="O148" s="62" t="str">
        <f t="shared" si="19"/>
        <v>pt_Group</v>
      </c>
    </row>
    <row r="149" spans="1:15" ht="14.1" customHeight="1">
      <c r="A149" s="75"/>
      <c r="B149" s="60" t="s">
        <v>139</v>
      </c>
      <c r="C149" s="60"/>
      <c r="D149" s="60"/>
      <c r="E149" s="60"/>
      <c r="F149" s="60"/>
      <c r="G149" s="64"/>
      <c r="H149" s="60"/>
      <c r="I149" s="60"/>
      <c r="J149" s="60"/>
      <c r="K149" s="60"/>
      <c r="L149" s="60"/>
    </row>
    <row r="150" spans="1:15" ht="14.1" customHeight="1">
      <c r="A150" s="75"/>
      <c r="B150" s="60" t="s">
        <v>139</v>
      </c>
      <c r="C150" s="60"/>
      <c r="D150" s="60"/>
      <c r="E150" s="60"/>
      <c r="F150" s="60"/>
      <c r="G150" s="64"/>
      <c r="H150" s="60"/>
      <c r="I150" s="60"/>
      <c r="J150" s="60"/>
      <c r="K150" s="60"/>
      <c r="L150" s="60"/>
    </row>
    <row r="151" spans="1:15" ht="14.1" customHeight="1">
      <c r="A151" s="89">
        <f>$A$93</f>
        <v>46227</v>
      </c>
      <c r="B151" s="70">
        <f>'CHICLETS MASTER S2'!AU42</f>
        <v>0.77777777777777801</v>
      </c>
      <c r="C151" s="71" t="s">
        <v>219</v>
      </c>
      <c r="D151" s="71" t="str">
        <f>$D$135</f>
        <v>LONG BEACH CC 1</v>
      </c>
      <c r="E151" s="71">
        <v>110</v>
      </c>
      <c r="F151" s="90" t="s">
        <v>535</v>
      </c>
      <c r="G151" s="90">
        <v>9</v>
      </c>
      <c r="H151" s="90" t="s">
        <v>638</v>
      </c>
      <c r="I151" s="90">
        <v>13</v>
      </c>
      <c r="J151" s="90">
        <v>117</v>
      </c>
      <c r="K151" s="90">
        <v>138</v>
      </c>
      <c r="L151" s="90" t="str">
        <f>IF(E151="","",$L$15&amp;"-"&amp;TEXT(E151,"000"))</f>
        <v>16B-110</v>
      </c>
      <c r="O151" s="62" t="str">
        <f>$K$255&amp;C151</f>
        <v>pt_Play-in</v>
      </c>
    </row>
    <row r="152" spans="1:15" ht="14.1" customHeight="1">
      <c r="A152" s="89">
        <f>$A$93</f>
        <v>46227</v>
      </c>
      <c r="B152" s="70">
        <f>'CHICLETS MASTER S2'!AU43</f>
        <v>0.8125</v>
      </c>
      <c r="C152" s="71" t="s">
        <v>219</v>
      </c>
      <c r="D152" s="71" t="str">
        <f>$D$135</f>
        <v>LONG BEACH CC 1</v>
      </c>
      <c r="E152" s="71">
        <v>114</v>
      </c>
      <c r="F152" s="90" t="s">
        <v>639</v>
      </c>
      <c r="G152" s="90">
        <v>6</v>
      </c>
      <c r="H152" s="90" t="s">
        <v>640</v>
      </c>
      <c r="I152" s="90">
        <v>8</v>
      </c>
      <c r="J152" s="90">
        <v>125</v>
      </c>
      <c r="K152" s="90">
        <v>130</v>
      </c>
      <c r="L152" s="90" t="str">
        <f>IF(E152="","",$L$15&amp;"-"&amp;TEXT(E152,"000"))</f>
        <v>16B-114</v>
      </c>
      <c r="O152" s="62" t="str">
        <f>$K$255&amp;C152</f>
        <v>pt_Play-in</v>
      </c>
    </row>
    <row r="153" spans="1:15" ht="14.1" customHeight="1" thickBot="1">
      <c r="A153" s="78"/>
      <c r="B153" s="60"/>
      <c r="C153" s="60"/>
      <c r="D153" s="60"/>
      <c r="E153" s="60"/>
      <c r="F153" s="60" t="s">
        <v>418</v>
      </c>
      <c r="G153" s="64"/>
      <c r="H153" s="60"/>
      <c r="I153" s="60"/>
      <c r="J153" s="60"/>
      <c r="K153" s="60"/>
      <c r="L153" s="60"/>
    </row>
    <row r="154" spans="1:15" ht="14.1" customHeight="1" thickBot="1">
      <c r="B154" s="60"/>
      <c r="C154" s="60"/>
      <c r="D154" s="68" t="str">
        <f>'CHICLETS MASTER S2'!$AX$27</f>
        <v>SERVITE HS</v>
      </c>
      <c r="F154" s="60"/>
      <c r="G154" s="64"/>
      <c r="H154" s="60"/>
      <c r="I154" s="60"/>
      <c r="J154" s="60"/>
      <c r="K154" s="60"/>
      <c r="L154" s="60"/>
    </row>
    <row r="155" spans="1:15" ht="14.1" customHeight="1">
      <c r="A155" s="150" t="s">
        <v>124</v>
      </c>
      <c r="B155" s="151" t="s">
        <v>125</v>
      </c>
      <c r="C155" s="151" t="s">
        <v>126</v>
      </c>
      <c r="D155" s="151" t="s">
        <v>127</v>
      </c>
      <c r="E155" s="151" t="s">
        <v>128</v>
      </c>
      <c r="F155" s="151" t="s">
        <v>129</v>
      </c>
      <c r="G155" s="151" t="s">
        <v>130</v>
      </c>
      <c r="H155" s="151" t="s">
        <v>131</v>
      </c>
      <c r="I155" s="151" t="s">
        <v>130</v>
      </c>
      <c r="J155" s="151" t="s">
        <v>132</v>
      </c>
      <c r="K155" s="151" t="s">
        <v>133</v>
      </c>
      <c r="L155" s="151" t="s">
        <v>134</v>
      </c>
    </row>
    <row r="156" spans="1:15" ht="14.1" customHeight="1">
      <c r="A156" s="89">
        <f t="shared" ref="A156:A167" si="20">$A$93</f>
        <v>46227</v>
      </c>
      <c r="B156" s="70">
        <f>'CHICLETS MASTER S2'!AU28</f>
        <v>0.29166666666666669</v>
      </c>
      <c r="C156" s="71" t="s">
        <v>218</v>
      </c>
      <c r="D156" s="71" t="str">
        <f t="shared" ref="D156:D167" si="21">$D$154</f>
        <v>SERVITE HS</v>
      </c>
      <c r="E156" s="71">
        <v>63</v>
      </c>
      <c r="F156" s="155" t="str">
        <f>C112</f>
        <v>au_S1(L40)-TOPAZ TSUNAMI</v>
      </c>
      <c r="G156" s="155">
        <v>10</v>
      </c>
      <c r="H156" s="155" t="str">
        <f>C113</f>
        <v>au_S2(L46)-LYONS AQUATICS</v>
      </c>
      <c r="I156" s="155">
        <v>9</v>
      </c>
      <c r="J156" s="155"/>
      <c r="K156" s="155"/>
      <c r="L156" s="155" t="str">
        <f t="shared" ref="L156:L167" si="22">IF(E156="","",$L$15&amp;"-"&amp;TEXT(E156,"000"))</f>
        <v>16B-063</v>
      </c>
      <c r="O156" s="62" t="str">
        <f t="shared" ref="O156:O167" si="23">$L$255&amp;C156</f>
        <v>au_Group</v>
      </c>
    </row>
    <row r="157" spans="1:15" ht="14.1" customHeight="1">
      <c r="A157" s="89">
        <f t="shared" si="20"/>
        <v>46227</v>
      </c>
      <c r="B157" s="70">
        <f>'CHICLETS MASTER S2'!AU29</f>
        <v>0.3263888888888889</v>
      </c>
      <c r="C157" s="71" t="s">
        <v>218</v>
      </c>
      <c r="D157" s="71" t="str">
        <f t="shared" si="21"/>
        <v>SERVITE HS</v>
      </c>
      <c r="E157" s="71">
        <v>67</v>
      </c>
      <c r="F157" s="155" t="str">
        <f>B112</f>
        <v>au_R1(L48)-NARROWS</v>
      </c>
      <c r="G157" s="155">
        <v>7</v>
      </c>
      <c r="H157" s="155" t="str">
        <f>B113</f>
        <v>au_R2(L38)-KERN PREMIER</v>
      </c>
      <c r="I157" s="155">
        <v>11</v>
      </c>
      <c r="J157" s="155"/>
      <c r="K157" s="155"/>
      <c r="L157" s="155" t="str">
        <f t="shared" si="22"/>
        <v>16B-067</v>
      </c>
      <c r="O157" s="62" t="str">
        <f t="shared" si="23"/>
        <v>au_Group</v>
      </c>
    </row>
    <row r="158" spans="1:15" ht="14.1" customHeight="1">
      <c r="A158" s="89">
        <f t="shared" si="20"/>
        <v>46227</v>
      </c>
      <c r="B158" s="70">
        <f>'CHICLETS MASTER S2'!AU30</f>
        <v>0.36111111111111099</v>
      </c>
      <c r="C158" s="71" t="s">
        <v>218</v>
      </c>
      <c r="D158" s="71" t="str">
        <f t="shared" si="21"/>
        <v>SERVITE HS</v>
      </c>
      <c r="E158" s="71">
        <v>71</v>
      </c>
      <c r="F158" s="155" t="str">
        <f>B108</f>
        <v>au_M2(L59)-AMERICAN RIVER BLUE</v>
      </c>
      <c r="G158" s="155">
        <v>9</v>
      </c>
      <c r="H158" s="155" t="str">
        <f>B109</f>
        <v>au_M3(L51)-HONOLULU A</v>
      </c>
      <c r="I158" s="155">
        <v>10</v>
      </c>
      <c r="J158" s="155"/>
      <c r="K158" s="155"/>
      <c r="L158" s="155" t="str">
        <f t="shared" si="22"/>
        <v>16B-071</v>
      </c>
      <c r="O158" s="62" t="str">
        <f t="shared" si="23"/>
        <v>au_Group</v>
      </c>
    </row>
    <row r="159" spans="1:15" ht="14.1" customHeight="1">
      <c r="A159" s="89">
        <f t="shared" si="20"/>
        <v>46227</v>
      </c>
      <c r="B159" s="70">
        <f>'CHICLETS MASTER S2'!AU31</f>
        <v>0.39583333333333398</v>
      </c>
      <c r="C159" s="71" t="s">
        <v>218</v>
      </c>
      <c r="D159" s="71" t="str">
        <f t="shared" si="21"/>
        <v>SERVITE HS</v>
      </c>
      <c r="E159" s="71">
        <v>75</v>
      </c>
      <c r="F159" s="155" t="str">
        <f>C108</f>
        <v>au_N2(L55)-CLOVIS A</v>
      </c>
      <c r="G159" s="155">
        <v>15</v>
      </c>
      <c r="H159" s="155" t="str">
        <f>C109</f>
        <v>au_N3(L52)-MIAMI RIPTIDES</v>
      </c>
      <c r="I159" s="155">
        <v>13</v>
      </c>
      <c r="J159" s="155"/>
      <c r="K159" s="155"/>
      <c r="L159" s="155" t="str">
        <f t="shared" si="22"/>
        <v>16B-075</v>
      </c>
      <c r="O159" s="62" t="str">
        <f t="shared" si="23"/>
        <v>au_Group</v>
      </c>
    </row>
    <row r="160" spans="1:15" ht="14.1" customHeight="1">
      <c r="A160" s="89">
        <f t="shared" si="20"/>
        <v>46227</v>
      </c>
      <c r="B160" s="70">
        <f>'CHICLETS MASTER S2'!AU32</f>
        <v>0.43055555555555602</v>
      </c>
      <c r="C160" s="71" t="s">
        <v>218</v>
      </c>
      <c r="D160" s="71" t="str">
        <f t="shared" si="21"/>
        <v>SERVITE HS</v>
      </c>
      <c r="E160" s="71">
        <v>79</v>
      </c>
      <c r="F160" s="155" t="str">
        <f>C112</f>
        <v>au_S1(L40)-TOPAZ TSUNAMI</v>
      </c>
      <c r="G160" s="155">
        <v>13</v>
      </c>
      <c r="H160" s="155" t="str">
        <f>C114</f>
        <v>au_S3(L29)-NIPC</v>
      </c>
      <c r="I160" s="155">
        <v>7</v>
      </c>
      <c r="J160" s="155"/>
      <c r="K160" s="155"/>
      <c r="L160" s="155" t="str">
        <f t="shared" si="22"/>
        <v>16B-079</v>
      </c>
      <c r="O160" s="62" t="str">
        <f t="shared" si="23"/>
        <v>au_Group</v>
      </c>
    </row>
    <row r="161" spans="1:15" ht="14.1" customHeight="1">
      <c r="A161" s="89">
        <f t="shared" si="20"/>
        <v>46227</v>
      </c>
      <c r="B161" s="70">
        <f>'CHICLETS MASTER S2'!AU33</f>
        <v>0.46527777777777801</v>
      </c>
      <c r="C161" s="71" t="s">
        <v>218</v>
      </c>
      <c r="D161" s="71" t="str">
        <f t="shared" si="21"/>
        <v>SERVITE HS</v>
      </c>
      <c r="E161" s="71">
        <v>83</v>
      </c>
      <c r="F161" s="155" t="str">
        <f>B112</f>
        <v>au_R1(L48)-NARROWS</v>
      </c>
      <c r="G161" s="155">
        <v>14</v>
      </c>
      <c r="H161" s="155" t="str">
        <f>B114</f>
        <v>au_R3(L30)-KEARNS</v>
      </c>
      <c r="I161" s="155">
        <v>8</v>
      </c>
      <c r="J161" s="155"/>
      <c r="K161" s="155"/>
      <c r="L161" s="155" t="str">
        <f t="shared" si="22"/>
        <v>16B-083</v>
      </c>
      <c r="O161" s="62" t="str">
        <f t="shared" si="23"/>
        <v>au_Group</v>
      </c>
    </row>
    <row r="162" spans="1:15" ht="14.1" customHeight="1">
      <c r="A162" s="89">
        <f t="shared" si="20"/>
        <v>46227</v>
      </c>
      <c r="B162" s="70">
        <f>'CHICLETS MASTER S2'!AU34</f>
        <v>0.5</v>
      </c>
      <c r="C162" s="71" t="s">
        <v>218</v>
      </c>
      <c r="D162" s="71" t="str">
        <f t="shared" si="21"/>
        <v>SERVITE HS</v>
      </c>
      <c r="E162" s="71">
        <v>87</v>
      </c>
      <c r="F162" s="155" t="str">
        <f>B107</f>
        <v>au_M1(L53)-CAPITAL</v>
      </c>
      <c r="G162" s="155">
        <v>8.3000000000000007</v>
      </c>
      <c r="H162" s="155" t="str">
        <f>B109</f>
        <v>au_M3(L51)-HONOLULU A</v>
      </c>
      <c r="I162" s="155">
        <v>8.5</v>
      </c>
      <c r="J162" s="155"/>
      <c r="K162" s="155"/>
      <c r="L162" s="155" t="str">
        <f t="shared" si="22"/>
        <v>16B-087</v>
      </c>
      <c r="O162" s="62" t="str">
        <f t="shared" si="23"/>
        <v>au_Group</v>
      </c>
    </row>
    <row r="163" spans="1:15" ht="14.1" customHeight="1">
      <c r="A163" s="89">
        <f t="shared" si="20"/>
        <v>46227</v>
      </c>
      <c r="B163" s="70">
        <f>'CHICLETS MASTER S2'!AU35</f>
        <v>0.53472222222222199</v>
      </c>
      <c r="C163" s="71" t="s">
        <v>218</v>
      </c>
      <c r="D163" s="71" t="str">
        <f t="shared" si="21"/>
        <v>SERVITE HS</v>
      </c>
      <c r="E163" s="71">
        <v>91</v>
      </c>
      <c r="F163" s="155" t="str">
        <f>C107</f>
        <v>au_N1(L57)-GREENWICH WHITE</v>
      </c>
      <c r="G163" s="155">
        <v>10</v>
      </c>
      <c r="H163" s="155" t="str">
        <f>C109</f>
        <v>au_N3(L52)-MIAMI RIPTIDES</v>
      </c>
      <c r="I163" s="155">
        <v>6</v>
      </c>
      <c r="J163" s="155"/>
      <c r="K163" s="155"/>
      <c r="L163" s="155" t="str">
        <f t="shared" si="22"/>
        <v>16B-091</v>
      </c>
      <c r="O163" s="62" t="str">
        <f t="shared" si="23"/>
        <v>au_Group</v>
      </c>
    </row>
    <row r="164" spans="1:15" ht="14.1" customHeight="1">
      <c r="A164" s="89">
        <f t="shared" si="20"/>
        <v>46227</v>
      </c>
      <c r="B164" s="70">
        <f>'CHICLETS MASTER S2'!AU36</f>
        <v>0.56944444444444497</v>
      </c>
      <c r="C164" s="71" t="s">
        <v>218</v>
      </c>
      <c r="D164" s="71" t="str">
        <f t="shared" si="21"/>
        <v>SERVITE HS</v>
      </c>
      <c r="E164" s="71">
        <v>95</v>
      </c>
      <c r="F164" s="155" t="str">
        <f>C113</f>
        <v>au_S2(L46)-LYONS AQUATICS</v>
      </c>
      <c r="G164" s="155">
        <v>11</v>
      </c>
      <c r="H164" s="155" t="str">
        <f>C114</f>
        <v>au_S3(L29)-NIPC</v>
      </c>
      <c r="I164" s="155">
        <v>3</v>
      </c>
      <c r="J164" s="155"/>
      <c r="K164" s="155"/>
      <c r="L164" s="155" t="str">
        <f t="shared" si="22"/>
        <v>16B-095</v>
      </c>
      <c r="O164" s="62" t="str">
        <f t="shared" si="23"/>
        <v>au_Group</v>
      </c>
    </row>
    <row r="165" spans="1:15" ht="14.1" customHeight="1">
      <c r="A165" s="89">
        <f t="shared" si="20"/>
        <v>46227</v>
      </c>
      <c r="B165" s="70">
        <f>'CHICLETS MASTER S2'!AU37</f>
        <v>0.60416666666666696</v>
      </c>
      <c r="C165" s="71" t="s">
        <v>218</v>
      </c>
      <c r="D165" s="71" t="str">
        <f t="shared" si="21"/>
        <v>SERVITE HS</v>
      </c>
      <c r="E165" s="71">
        <v>99</v>
      </c>
      <c r="F165" s="155" t="str">
        <f>B113</f>
        <v>au_R2(L38)-KERN PREMIER</v>
      </c>
      <c r="G165" s="155">
        <v>11</v>
      </c>
      <c r="H165" s="155" t="str">
        <f>B114</f>
        <v>au_R3(L30)-KEARNS</v>
      </c>
      <c r="I165" s="155">
        <v>6</v>
      </c>
      <c r="J165" s="155"/>
      <c r="K165" s="155"/>
      <c r="L165" s="155" t="str">
        <f t="shared" si="22"/>
        <v>16B-099</v>
      </c>
      <c r="O165" s="62" t="str">
        <f t="shared" si="23"/>
        <v>au_Group</v>
      </c>
    </row>
    <row r="166" spans="1:15" ht="14.1" customHeight="1">
      <c r="A166" s="89">
        <f t="shared" si="20"/>
        <v>46227</v>
      </c>
      <c r="B166" s="70">
        <f>'CHICLETS MASTER S2'!AU38</f>
        <v>0.63888888888888895</v>
      </c>
      <c r="C166" s="71" t="s">
        <v>218</v>
      </c>
      <c r="D166" s="71" t="str">
        <f t="shared" si="21"/>
        <v>SERVITE HS</v>
      </c>
      <c r="E166" s="71">
        <v>103</v>
      </c>
      <c r="F166" s="155" t="str">
        <f>B107</f>
        <v>au_M1(L53)-CAPITAL</v>
      </c>
      <c r="G166" s="155">
        <v>9</v>
      </c>
      <c r="H166" s="155" t="str">
        <f>B108</f>
        <v>au_M2(L59)-AMERICAN RIVER BLUE</v>
      </c>
      <c r="I166" s="155">
        <v>8</v>
      </c>
      <c r="J166" s="155"/>
      <c r="K166" s="155"/>
      <c r="L166" s="155" t="str">
        <f t="shared" si="22"/>
        <v>16B-103</v>
      </c>
      <c r="O166" s="62" t="str">
        <f t="shared" si="23"/>
        <v>au_Group</v>
      </c>
    </row>
    <row r="167" spans="1:15" ht="14.1" customHeight="1">
      <c r="A167" s="89">
        <f t="shared" si="20"/>
        <v>46227</v>
      </c>
      <c r="B167" s="70">
        <f>'CHICLETS MASTER S2'!AU39</f>
        <v>0.67361111111111105</v>
      </c>
      <c r="C167" s="71" t="s">
        <v>218</v>
      </c>
      <c r="D167" s="71" t="str">
        <f t="shared" si="21"/>
        <v>SERVITE HS</v>
      </c>
      <c r="E167" s="71">
        <v>107</v>
      </c>
      <c r="F167" s="155" t="str">
        <f>C107</f>
        <v>au_N1(L57)-GREENWICH WHITE</v>
      </c>
      <c r="G167" s="155">
        <v>7</v>
      </c>
      <c r="H167" s="155" t="str">
        <f>C108</f>
        <v>au_N2(L55)-CLOVIS A</v>
      </c>
      <c r="I167" s="155">
        <v>8</v>
      </c>
      <c r="J167" s="155"/>
      <c r="K167" s="155"/>
      <c r="L167" s="155" t="str">
        <f t="shared" si="22"/>
        <v>16B-107</v>
      </c>
      <c r="O167" s="62" t="str">
        <f t="shared" si="23"/>
        <v>au_Group</v>
      </c>
    </row>
    <row r="168" spans="1:15" ht="14.1" customHeight="1">
      <c r="A168" s="75"/>
      <c r="B168" s="60" t="s">
        <v>139</v>
      </c>
      <c r="C168" s="60"/>
      <c r="D168" s="60"/>
      <c r="E168" s="60"/>
      <c r="F168" s="60"/>
      <c r="G168" s="64"/>
      <c r="H168" s="60"/>
      <c r="I168" s="60"/>
      <c r="J168" s="60"/>
      <c r="K168" s="60"/>
      <c r="L168" s="60"/>
    </row>
    <row r="169" spans="1:15" ht="14.1" customHeight="1">
      <c r="A169" s="75"/>
      <c r="B169" s="60" t="s">
        <v>139</v>
      </c>
      <c r="C169" s="60"/>
      <c r="D169" s="60"/>
      <c r="E169" s="60"/>
      <c r="F169" s="60"/>
      <c r="G169" s="64"/>
      <c r="H169" s="60"/>
      <c r="I169" s="60"/>
      <c r="J169" s="60"/>
      <c r="K169" s="60"/>
      <c r="L169" s="60"/>
    </row>
    <row r="170" spans="1:15" ht="14.1" customHeight="1">
      <c r="A170" s="89">
        <f>$A$93</f>
        <v>46227</v>
      </c>
      <c r="B170" s="70">
        <f>'CHICLETS MASTER S2'!AU42</f>
        <v>0.77777777777777801</v>
      </c>
      <c r="C170" s="71" t="s">
        <v>219</v>
      </c>
      <c r="D170" s="71" t="str">
        <f>$D$154</f>
        <v>SERVITE HS</v>
      </c>
      <c r="E170" s="71">
        <v>111</v>
      </c>
      <c r="F170" s="155" t="s">
        <v>641</v>
      </c>
      <c r="G170" s="155">
        <v>12</v>
      </c>
      <c r="H170" s="155" t="s">
        <v>642</v>
      </c>
      <c r="I170" s="155">
        <v>3</v>
      </c>
      <c r="J170" s="155">
        <v>131</v>
      </c>
      <c r="K170" s="155">
        <v>136</v>
      </c>
      <c r="L170" s="155" t="str">
        <f>IF(E170="","",$L$15&amp;"-"&amp;TEXT(E170,"000"))</f>
        <v>16B-111</v>
      </c>
      <c r="O170" s="62" t="str">
        <f>$L$255&amp;C170</f>
        <v>au_Play-in</v>
      </c>
    </row>
    <row r="171" spans="1:15" ht="14.1" customHeight="1">
      <c r="A171" s="89">
        <f>$A$93</f>
        <v>46227</v>
      </c>
      <c r="B171" s="70">
        <f>'CHICLETS MASTER S2'!AU43</f>
        <v>0.8125</v>
      </c>
      <c r="C171" s="71" t="s">
        <v>219</v>
      </c>
      <c r="D171" s="71" t="str">
        <f>$D$154</f>
        <v>SERVITE HS</v>
      </c>
      <c r="E171" s="71">
        <v>115</v>
      </c>
      <c r="F171" s="155" t="s">
        <v>643</v>
      </c>
      <c r="G171" s="155">
        <v>8</v>
      </c>
      <c r="H171" s="155" t="s">
        <v>644</v>
      </c>
      <c r="I171" s="155">
        <v>10</v>
      </c>
      <c r="J171" s="155">
        <v>123</v>
      </c>
      <c r="K171" s="155">
        <v>128</v>
      </c>
      <c r="L171" s="155" t="str">
        <f>IF(E171="","",$L$15&amp;"-"&amp;TEXT(E171,"000"))</f>
        <v>16B-115</v>
      </c>
      <c r="O171" s="62" t="str">
        <f>$L$255&amp;C171</f>
        <v>au_Play-in</v>
      </c>
    </row>
    <row r="172" spans="1:15" ht="14.1" customHeight="1" thickBot="1">
      <c r="A172" s="78"/>
      <c r="B172" s="79"/>
      <c r="C172" s="60"/>
      <c r="D172" s="60"/>
      <c r="E172" s="60"/>
      <c r="F172" s="60" t="s">
        <v>418</v>
      </c>
      <c r="G172" s="64" t="s">
        <v>418</v>
      </c>
      <c r="H172" s="60" t="s">
        <v>418</v>
      </c>
      <c r="I172" s="60"/>
      <c r="J172" s="60"/>
      <c r="K172" s="60"/>
      <c r="L172" s="60"/>
    </row>
    <row r="173" spans="1:15" ht="14.1" customHeight="1" thickBot="1">
      <c r="A173" s="60"/>
      <c r="B173" s="60"/>
      <c r="C173" s="60"/>
      <c r="D173" s="68" t="str">
        <f>'CHICLETS MASTER S2'!$AY$27</f>
        <v>SONORA HS</v>
      </c>
      <c r="F173" s="60"/>
      <c r="G173" s="64"/>
      <c r="H173" s="60"/>
      <c r="I173" s="60"/>
    </row>
    <row r="174" spans="1:15" ht="14.1" customHeight="1">
      <c r="A174" s="150" t="s">
        <v>124</v>
      </c>
      <c r="B174" s="151" t="s">
        <v>125</v>
      </c>
      <c r="C174" s="151" t="s">
        <v>126</v>
      </c>
      <c r="D174" s="151" t="s">
        <v>127</v>
      </c>
      <c r="E174" s="151" t="s">
        <v>128</v>
      </c>
      <c r="F174" s="151" t="s">
        <v>129</v>
      </c>
      <c r="G174" s="151" t="s">
        <v>130</v>
      </c>
      <c r="H174" s="151" t="s">
        <v>131</v>
      </c>
      <c r="I174" s="151" t="s">
        <v>130</v>
      </c>
      <c r="J174" s="151" t="s">
        <v>132</v>
      </c>
      <c r="K174" s="151" t="s">
        <v>133</v>
      </c>
      <c r="L174" s="151" t="s">
        <v>134</v>
      </c>
    </row>
    <row r="175" spans="1:15" ht="14.1" customHeight="1">
      <c r="A175" s="89">
        <f t="shared" ref="A175:A186" si="24">$A$93</f>
        <v>46227</v>
      </c>
      <c r="B175" s="70">
        <f>'CHICLETS MASTER S2'!AU28</f>
        <v>0.29166666666666669</v>
      </c>
      <c r="C175" s="71" t="s">
        <v>218</v>
      </c>
      <c r="D175" s="71" t="str">
        <f t="shared" ref="D175:D186" si="25">$D$173</f>
        <v>SONORA HS</v>
      </c>
      <c r="E175" s="71">
        <v>64</v>
      </c>
      <c r="F175" s="155" t="str">
        <f>E112</f>
        <v>au_U1(L31)-PEGASUS BLUE</v>
      </c>
      <c r="G175" s="155">
        <v>8</v>
      </c>
      <c r="H175" s="155" t="str">
        <f>E113</f>
        <v>au_U2(L47)-CLOVIS RED</v>
      </c>
      <c r="I175" s="155">
        <v>7</v>
      </c>
      <c r="J175" s="155"/>
      <c r="K175" s="155"/>
      <c r="L175" s="155" t="str">
        <f t="shared" ref="L175:L186" si="26">IF(E175="","",$L$15&amp;"-"&amp;TEXT(E175,"000"))</f>
        <v>16B-064</v>
      </c>
      <c r="O175" s="62" t="str">
        <f t="shared" ref="O175:O186" si="27">$L$255&amp;C175</f>
        <v>au_Group</v>
      </c>
    </row>
    <row r="176" spans="1:15" ht="14.1" customHeight="1">
      <c r="A176" s="89">
        <f t="shared" si="24"/>
        <v>46227</v>
      </c>
      <c r="B176" s="70">
        <f>'CHICLETS MASTER S2'!AU29</f>
        <v>0.3263888888888889</v>
      </c>
      <c r="C176" s="71" t="s">
        <v>218</v>
      </c>
      <c r="D176" s="71" t="str">
        <f t="shared" si="25"/>
        <v>SONORA HS</v>
      </c>
      <c r="E176" s="71">
        <v>68</v>
      </c>
      <c r="F176" s="155" t="str">
        <f>D112</f>
        <v>au_T1(L32)-NORTHWEST</v>
      </c>
      <c r="G176" s="155">
        <v>10</v>
      </c>
      <c r="H176" s="155" t="str">
        <f>D113</f>
        <v>au_T2(L39)-CHICAGO PARK</v>
      </c>
      <c r="I176" s="155">
        <v>4</v>
      </c>
      <c r="J176" s="155"/>
      <c r="K176" s="155"/>
      <c r="L176" s="155" t="str">
        <f t="shared" si="26"/>
        <v>16B-068</v>
      </c>
      <c r="O176" s="62" t="str">
        <f t="shared" si="27"/>
        <v>au_Group</v>
      </c>
    </row>
    <row r="177" spans="1:15" ht="14.1" customHeight="1">
      <c r="A177" s="89">
        <f t="shared" si="24"/>
        <v>46227</v>
      </c>
      <c r="B177" s="70">
        <f>'CHICLETS MASTER S2'!AU30</f>
        <v>0.36111111111111099</v>
      </c>
      <c r="C177" s="71" t="s">
        <v>218</v>
      </c>
      <c r="D177" s="71" t="str">
        <f t="shared" si="25"/>
        <v>SONORA HS</v>
      </c>
      <c r="E177" s="71">
        <v>72</v>
      </c>
      <c r="F177" s="155" t="str">
        <f>D108</f>
        <v>au_O2(L58)-MISSION</v>
      </c>
      <c r="G177" s="155">
        <v>8</v>
      </c>
      <c r="H177" s="155" t="str">
        <f>D109</f>
        <v>au_O3(L56)-CC UNITED BLUE B</v>
      </c>
      <c r="I177" s="155">
        <v>9</v>
      </c>
      <c r="J177" s="155"/>
      <c r="K177" s="155"/>
      <c r="L177" s="155" t="str">
        <f t="shared" si="26"/>
        <v>16B-072</v>
      </c>
      <c r="O177" s="62" t="str">
        <f t="shared" si="27"/>
        <v>au_Group</v>
      </c>
    </row>
    <row r="178" spans="1:15" ht="14.1" customHeight="1">
      <c r="A178" s="89">
        <f t="shared" si="24"/>
        <v>46227</v>
      </c>
      <c r="B178" s="70">
        <f>'CHICLETS MASTER S2'!AU31</f>
        <v>0.39583333333333398</v>
      </c>
      <c r="C178" s="71" t="s">
        <v>218</v>
      </c>
      <c r="D178" s="71" t="str">
        <f t="shared" si="25"/>
        <v>SONORA HS</v>
      </c>
      <c r="E178" s="71">
        <v>76</v>
      </c>
      <c r="F178" s="155" t="str">
        <f>E108</f>
        <v>au_P2(L54)-SANTA CRUZ</v>
      </c>
      <c r="G178" s="155">
        <v>6</v>
      </c>
      <c r="H178" s="155" t="str">
        <f>E109</f>
        <v>au_P3(L60)-LA PREMIER</v>
      </c>
      <c r="I178" s="155">
        <v>11</v>
      </c>
      <c r="J178" s="155"/>
      <c r="K178" s="155"/>
      <c r="L178" s="155" t="str">
        <f t="shared" si="26"/>
        <v>16B-076</v>
      </c>
      <c r="O178" s="62" t="str">
        <f t="shared" si="27"/>
        <v>au_Group</v>
      </c>
    </row>
    <row r="179" spans="1:15" ht="14.1" customHeight="1">
      <c r="A179" s="89">
        <f t="shared" si="24"/>
        <v>46227</v>
      </c>
      <c r="B179" s="70">
        <f>'CHICLETS MASTER S2'!AU32</f>
        <v>0.43055555555555602</v>
      </c>
      <c r="C179" s="71" t="s">
        <v>218</v>
      </c>
      <c r="D179" s="71" t="str">
        <f t="shared" si="25"/>
        <v>SONORA HS</v>
      </c>
      <c r="E179" s="71">
        <v>80</v>
      </c>
      <c r="F179" s="155" t="str">
        <f>E112</f>
        <v>au_U1(L31)-PEGASUS BLUE</v>
      </c>
      <c r="G179" s="155">
        <v>18</v>
      </c>
      <c r="H179" s="155" t="str">
        <f>E114</f>
        <v>au_U3(L37)-BARCELONA LIONS</v>
      </c>
      <c r="I179" s="155">
        <v>1</v>
      </c>
      <c r="J179" s="155"/>
      <c r="K179" s="155"/>
      <c r="L179" s="155" t="str">
        <f t="shared" si="26"/>
        <v>16B-080</v>
      </c>
      <c r="O179" s="62" t="str">
        <f t="shared" si="27"/>
        <v>au_Group</v>
      </c>
    </row>
    <row r="180" spans="1:15" ht="14.1" customHeight="1">
      <c r="A180" s="89">
        <f t="shared" si="24"/>
        <v>46227</v>
      </c>
      <c r="B180" s="70">
        <f>'CHICLETS MASTER S2'!AU33</f>
        <v>0.46527777777777801</v>
      </c>
      <c r="C180" s="71" t="s">
        <v>218</v>
      </c>
      <c r="D180" s="71" t="str">
        <f t="shared" si="25"/>
        <v>SONORA HS</v>
      </c>
      <c r="E180" s="71">
        <v>84</v>
      </c>
      <c r="F180" s="155" t="str">
        <f>D112</f>
        <v>au_T1(L32)-NORTHWEST</v>
      </c>
      <c r="G180" s="155">
        <v>10</v>
      </c>
      <c r="H180" s="155" t="str">
        <f>D114</f>
        <v>au_T3(L45)-HONOLULU B</v>
      </c>
      <c r="I180" s="155">
        <v>7</v>
      </c>
      <c r="J180" s="155"/>
      <c r="K180" s="155"/>
      <c r="L180" s="155" t="str">
        <f t="shared" si="26"/>
        <v>16B-084</v>
      </c>
      <c r="O180" s="62" t="str">
        <f t="shared" si="27"/>
        <v>au_Group</v>
      </c>
    </row>
    <row r="181" spans="1:15" ht="14.1" customHeight="1">
      <c r="A181" s="89">
        <f t="shared" si="24"/>
        <v>46227</v>
      </c>
      <c r="B181" s="70">
        <f>'CHICLETS MASTER S2'!AU34</f>
        <v>0.5</v>
      </c>
      <c r="C181" s="71" t="s">
        <v>218</v>
      </c>
      <c r="D181" s="71" t="str">
        <f t="shared" si="25"/>
        <v>SONORA HS</v>
      </c>
      <c r="E181" s="71">
        <v>88</v>
      </c>
      <c r="F181" s="155" t="str">
        <f>D107</f>
        <v>au_O1(L49)-ELMHURST</v>
      </c>
      <c r="G181" s="156">
        <v>4</v>
      </c>
      <c r="H181" s="155" t="str">
        <f>D109</f>
        <v>au_O3(L56)-CC UNITED BLUE B</v>
      </c>
      <c r="I181" s="156">
        <v>10</v>
      </c>
      <c r="J181" s="155"/>
      <c r="K181" s="155"/>
      <c r="L181" s="155" t="str">
        <f t="shared" si="26"/>
        <v>16B-088</v>
      </c>
      <c r="O181" s="62" t="str">
        <f t="shared" si="27"/>
        <v>au_Group</v>
      </c>
    </row>
    <row r="182" spans="1:15" ht="14.1" customHeight="1">
      <c r="A182" s="89">
        <f t="shared" si="24"/>
        <v>46227</v>
      </c>
      <c r="B182" s="70">
        <f>'CHICLETS MASTER S2'!AU35</f>
        <v>0.53472222222222199</v>
      </c>
      <c r="C182" s="71" t="s">
        <v>218</v>
      </c>
      <c r="D182" s="71" t="str">
        <f t="shared" si="25"/>
        <v>SONORA HS</v>
      </c>
      <c r="E182" s="71">
        <v>92</v>
      </c>
      <c r="F182" s="155" t="str">
        <f>E107</f>
        <v>au_P1(L50)-VNITED A</v>
      </c>
      <c r="G182" s="155">
        <v>5</v>
      </c>
      <c r="H182" s="155" t="str">
        <f>E109</f>
        <v>au_P3(L60)-LA PREMIER</v>
      </c>
      <c r="I182" s="155">
        <v>4</v>
      </c>
      <c r="J182" s="155"/>
      <c r="K182" s="155"/>
      <c r="L182" s="155" t="str">
        <f t="shared" si="26"/>
        <v>16B-092</v>
      </c>
      <c r="O182" s="62" t="str">
        <f t="shared" si="27"/>
        <v>au_Group</v>
      </c>
    </row>
    <row r="183" spans="1:15" ht="14.1" customHeight="1">
      <c r="A183" s="89">
        <f t="shared" si="24"/>
        <v>46227</v>
      </c>
      <c r="B183" s="70">
        <f>'CHICLETS MASTER S2'!AU36</f>
        <v>0.56944444444444497</v>
      </c>
      <c r="C183" s="71" t="s">
        <v>218</v>
      </c>
      <c r="D183" s="71" t="str">
        <f t="shared" si="25"/>
        <v>SONORA HS</v>
      </c>
      <c r="E183" s="71">
        <v>96</v>
      </c>
      <c r="F183" s="155" t="str">
        <f>E113</f>
        <v>au_U2(L47)-CLOVIS RED</v>
      </c>
      <c r="G183" s="155">
        <v>12</v>
      </c>
      <c r="H183" s="155" t="str">
        <f>E114</f>
        <v>au_U3(L37)-BARCELONA LIONS</v>
      </c>
      <c r="I183" s="155">
        <v>4</v>
      </c>
      <c r="J183" s="155"/>
      <c r="K183" s="155"/>
      <c r="L183" s="155" t="str">
        <f t="shared" si="26"/>
        <v>16B-096</v>
      </c>
      <c r="O183" s="62" t="str">
        <f t="shared" si="27"/>
        <v>au_Group</v>
      </c>
    </row>
    <row r="184" spans="1:15" ht="14.1" customHeight="1">
      <c r="A184" s="89">
        <f t="shared" si="24"/>
        <v>46227</v>
      </c>
      <c r="B184" s="70">
        <f>'CHICLETS MASTER S2'!AU37</f>
        <v>0.60416666666666696</v>
      </c>
      <c r="C184" s="71" t="s">
        <v>218</v>
      </c>
      <c r="D184" s="71" t="str">
        <f t="shared" si="25"/>
        <v>SONORA HS</v>
      </c>
      <c r="E184" s="71">
        <v>100</v>
      </c>
      <c r="F184" s="155" t="str">
        <f>D113</f>
        <v>au_T2(L39)-CHICAGO PARK</v>
      </c>
      <c r="G184" s="155">
        <v>9</v>
      </c>
      <c r="H184" s="155" t="str">
        <f>D114</f>
        <v>au_T3(L45)-HONOLULU B</v>
      </c>
      <c r="I184" s="155">
        <v>10</v>
      </c>
      <c r="J184" s="155"/>
      <c r="K184" s="155"/>
      <c r="L184" s="155" t="str">
        <f t="shared" si="26"/>
        <v>16B-100</v>
      </c>
      <c r="O184" s="62" t="str">
        <f t="shared" si="27"/>
        <v>au_Group</v>
      </c>
    </row>
    <row r="185" spans="1:15" ht="14.1" customHeight="1">
      <c r="A185" s="89">
        <f t="shared" si="24"/>
        <v>46227</v>
      </c>
      <c r="B185" s="70">
        <f>'CHICLETS MASTER S2'!AU38</f>
        <v>0.63888888888888895</v>
      </c>
      <c r="C185" s="71" t="s">
        <v>218</v>
      </c>
      <c r="D185" s="71" t="str">
        <f t="shared" si="25"/>
        <v>SONORA HS</v>
      </c>
      <c r="E185" s="71">
        <v>104</v>
      </c>
      <c r="F185" s="155" t="str">
        <f>D107</f>
        <v>au_O1(L49)-ELMHURST</v>
      </c>
      <c r="G185" s="155">
        <v>2</v>
      </c>
      <c r="H185" s="155" t="str">
        <f>D108</f>
        <v>au_O2(L58)-MISSION</v>
      </c>
      <c r="I185" s="155">
        <v>7</v>
      </c>
      <c r="J185" s="155"/>
      <c r="K185" s="155"/>
      <c r="L185" s="155" t="str">
        <f t="shared" si="26"/>
        <v>16B-104</v>
      </c>
      <c r="O185" s="62" t="str">
        <f t="shared" si="27"/>
        <v>au_Group</v>
      </c>
    </row>
    <row r="186" spans="1:15" ht="14.1" customHeight="1">
      <c r="A186" s="89">
        <f t="shared" si="24"/>
        <v>46227</v>
      </c>
      <c r="B186" s="70">
        <f>'CHICLETS MASTER S2'!AU39</f>
        <v>0.67361111111111105</v>
      </c>
      <c r="C186" s="71" t="s">
        <v>218</v>
      </c>
      <c r="D186" s="71" t="str">
        <f t="shared" si="25"/>
        <v>SONORA HS</v>
      </c>
      <c r="E186" s="71">
        <v>108</v>
      </c>
      <c r="F186" s="155" t="str">
        <f>E107</f>
        <v>au_P1(L50)-VNITED A</v>
      </c>
      <c r="G186" s="155">
        <v>6</v>
      </c>
      <c r="H186" s="155" t="str">
        <f>E108</f>
        <v>au_P2(L54)-SANTA CRUZ</v>
      </c>
      <c r="I186" s="155">
        <v>7</v>
      </c>
      <c r="J186" s="155"/>
      <c r="K186" s="155"/>
      <c r="L186" s="155" t="str">
        <f t="shared" si="26"/>
        <v>16B-108</v>
      </c>
      <c r="O186" s="62" t="str">
        <f t="shared" si="27"/>
        <v>au_Group</v>
      </c>
    </row>
    <row r="187" spans="1:15" ht="14.1" customHeight="1">
      <c r="A187" s="75"/>
      <c r="B187" s="75"/>
      <c r="C187" s="60"/>
      <c r="D187" s="60"/>
      <c r="E187" s="60"/>
      <c r="F187" s="60"/>
      <c r="G187" s="64"/>
      <c r="H187" s="60"/>
      <c r="I187" s="60"/>
      <c r="J187" s="60"/>
      <c r="K187" s="60"/>
      <c r="L187" s="60"/>
    </row>
    <row r="188" spans="1:15" ht="14.1" customHeight="1">
      <c r="A188" s="75"/>
      <c r="B188" s="75"/>
      <c r="C188" s="60"/>
      <c r="D188" s="60"/>
      <c r="E188" s="60"/>
      <c r="F188" s="60"/>
      <c r="G188" s="64"/>
      <c r="H188" s="60"/>
      <c r="I188" s="60"/>
      <c r="J188" s="60"/>
      <c r="K188" s="60"/>
      <c r="L188" s="60"/>
    </row>
    <row r="189" spans="1:15" ht="14.1" customHeight="1">
      <c r="A189" s="89">
        <f>$A$93</f>
        <v>46227</v>
      </c>
      <c r="B189" s="70">
        <f>'CHICLETS MASTER S2'!AU42</f>
        <v>0.77777777777777801</v>
      </c>
      <c r="C189" s="71" t="s">
        <v>219</v>
      </c>
      <c r="D189" s="71" t="str">
        <f>$D$173</f>
        <v>SONORA HS</v>
      </c>
      <c r="E189" s="71">
        <v>112</v>
      </c>
      <c r="F189" s="155" t="s">
        <v>645</v>
      </c>
      <c r="G189" s="155">
        <v>7</v>
      </c>
      <c r="H189" s="155" t="s">
        <v>646</v>
      </c>
      <c r="I189" s="156">
        <v>9</v>
      </c>
      <c r="J189" s="155">
        <v>119</v>
      </c>
      <c r="K189" s="155">
        <v>140</v>
      </c>
      <c r="L189" s="155" t="str">
        <f>IF(E189="","",$L$15&amp;"-"&amp;TEXT(E189,"000"))</f>
        <v>16B-112</v>
      </c>
      <c r="O189" s="62" t="str">
        <f>$L$255&amp;C189</f>
        <v>au_Play-in</v>
      </c>
    </row>
    <row r="190" spans="1:15" ht="14.1" customHeight="1">
      <c r="A190" s="89">
        <f>$A$93</f>
        <v>46227</v>
      </c>
      <c r="B190" s="70">
        <f>'CHICLETS MASTER S2'!AU43</f>
        <v>0.8125</v>
      </c>
      <c r="C190" s="71" t="s">
        <v>219</v>
      </c>
      <c r="D190" s="71" t="str">
        <f>$D$173</f>
        <v>SONORA HS</v>
      </c>
      <c r="E190" s="71">
        <v>116</v>
      </c>
      <c r="F190" s="155" t="s">
        <v>647</v>
      </c>
      <c r="G190" s="155">
        <v>11</v>
      </c>
      <c r="H190" s="155" t="s">
        <v>648</v>
      </c>
      <c r="I190" s="155">
        <v>6</v>
      </c>
      <c r="J190" s="155">
        <v>127</v>
      </c>
      <c r="K190" s="155">
        <v>132</v>
      </c>
      <c r="L190" s="155" t="str">
        <f>IF(E190="","",$L$15&amp;"-"&amp;TEXT(E190,"000"))</f>
        <v>16B-116</v>
      </c>
      <c r="O190" s="62" t="str">
        <f>$L$255&amp;C190</f>
        <v>au_Play-in</v>
      </c>
    </row>
    <row r="191" spans="1:15" ht="14.1" customHeight="1" thickBot="1">
      <c r="F191" s="62" t="s">
        <v>418</v>
      </c>
      <c r="H191" s="62" t="s">
        <v>418</v>
      </c>
    </row>
    <row r="192" spans="1:15" ht="14.1" customHeight="1" thickTop="1" thickBot="1">
      <c r="A192" s="68" t="s">
        <v>236</v>
      </c>
      <c r="B192" s="82"/>
      <c r="C192" s="82"/>
      <c r="D192" s="82"/>
      <c r="E192" s="82"/>
      <c r="F192" s="82"/>
      <c r="G192" s="83"/>
      <c r="H192" s="82"/>
      <c r="I192" s="82"/>
      <c r="J192" s="82"/>
      <c r="K192" s="82"/>
      <c r="L192" s="82"/>
    </row>
    <row r="193" spans="1:15" ht="14.1" customHeight="1" thickBot="1">
      <c r="A193" s="61">
        <v>46228</v>
      </c>
      <c r="G193" s="62"/>
    </row>
    <row r="194" spans="1:15" ht="14.1" customHeight="1" thickBot="1">
      <c r="D194" s="68" t="str">
        <f>'CHICLETS MASTER S2'!$AV$51</f>
        <v>FULLERTON COLLEGE</v>
      </c>
      <c r="G194" s="62"/>
    </row>
    <row r="195" spans="1:15" ht="14.1" customHeight="1">
      <c r="A195" s="150" t="s">
        <v>124</v>
      </c>
      <c r="B195" s="151" t="s">
        <v>125</v>
      </c>
      <c r="C195" s="151" t="s">
        <v>126</v>
      </c>
      <c r="D195" s="151" t="s">
        <v>127</v>
      </c>
      <c r="E195" s="151" t="s">
        <v>128</v>
      </c>
      <c r="F195" s="151" t="s">
        <v>129</v>
      </c>
      <c r="G195" s="151" t="s">
        <v>130</v>
      </c>
      <c r="H195" s="151" t="s">
        <v>131</v>
      </c>
      <c r="I195" s="151" t="s">
        <v>130</v>
      </c>
      <c r="J195" s="151" t="s">
        <v>132</v>
      </c>
      <c r="K195" s="151" t="s">
        <v>133</v>
      </c>
      <c r="L195" s="151" t="s">
        <v>134</v>
      </c>
    </row>
    <row r="196" spans="1:15" ht="14.1" customHeight="1">
      <c r="A196" s="69">
        <f t="shared" ref="A196:A207" si="28">$A$193</f>
        <v>46228</v>
      </c>
      <c r="B196" s="70">
        <f>'CHICLETS MASTER S2'!AU53</f>
        <v>0.33333333333333331</v>
      </c>
      <c r="C196" s="71" t="s">
        <v>237</v>
      </c>
      <c r="D196" s="71" t="str">
        <f t="shared" ref="D196:D207" si="29">$D$194</f>
        <v>FULLERTON COLLEGE</v>
      </c>
      <c r="E196" s="71">
        <v>117</v>
      </c>
      <c r="F196" s="90" t="s">
        <v>649</v>
      </c>
      <c r="G196" s="90">
        <v>9</v>
      </c>
      <c r="H196" s="90" t="str">
        <f>IF(G151="","W110",IF(G151&gt;I151,_xlfn.CONCAT("W110-",RIGHT(F151,LEN(F151) - FIND("-",F151))), _xlfn.CONCAT("W110-",RIGHT(H151,LEN(H151) - FIND("-",H151)))))</f>
        <v>W110-SANTA BARBARA WPC A</v>
      </c>
      <c r="I196" s="90">
        <v>16</v>
      </c>
      <c r="J196" s="90">
        <v>141</v>
      </c>
      <c r="K196" s="90">
        <v>149</v>
      </c>
      <c r="L196" s="90" t="str">
        <f t="shared" ref="L196:L207" si="30">IF(E196="","",$L$15&amp;"-"&amp;TEXT(E196,"000"))</f>
        <v>16B-117</v>
      </c>
      <c r="O196" s="62" t="str">
        <f t="shared" ref="O196:O207" si="31">$K$255&amp;C196</f>
        <v>pt_5-8 v 9-12</v>
      </c>
    </row>
    <row r="197" spans="1:15" ht="14.1" customHeight="1">
      <c r="A197" s="69">
        <f t="shared" si="28"/>
        <v>46228</v>
      </c>
      <c r="B197" s="70">
        <f>'CHICLETS MASTER S2'!AU54</f>
        <v>0.375</v>
      </c>
      <c r="C197" s="71" t="s">
        <v>237</v>
      </c>
      <c r="D197" s="71" t="str">
        <f t="shared" si="29"/>
        <v>FULLERTON COLLEGE</v>
      </c>
      <c r="E197" s="71">
        <v>121</v>
      </c>
      <c r="F197" s="90" t="s">
        <v>650</v>
      </c>
      <c r="G197" s="90">
        <v>11</v>
      </c>
      <c r="H197" s="90" t="str">
        <f>IF(G133="","W113",IF(G133&gt;I133,_xlfn.CONCAT("W113-",RIGHT(F133,LEN(F133) - FIND("-",F133))), _xlfn.CONCAT("W113-",RIGHT(H133,LEN(H133) - FIND("-",H133)))))</f>
        <v>W113-CIU GOLD</v>
      </c>
      <c r="I197" s="93">
        <v>12</v>
      </c>
      <c r="J197" s="90">
        <v>141</v>
      </c>
      <c r="K197" s="90">
        <v>149</v>
      </c>
      <c r="L197" s="90" t="str">
        <f t="shared" si="30"/>
        <v>16B-121</v>
      </c>
      <c r="O197" s="62" t="str">
        <f t="shared" si="31"/>
        <v>pt_5-8 v 9-12</v>
      </c>
    </row>
    <row r="198" spans="1:15" ht="14.1" customHeight="1">
      <c r="A198" s="69">
        <f t="shared" si="28"/>
        <v>46228</v>
      </c>
      <c r="B198" s="70">
        <f>'CHICLETS MASTER S2'!AU55</f>
        <v>0.41666666666666702</v>
      </c>
      <c r="C198" s="71" t="s">
        <v>237</v>
      </c>
      <c r="D198" s="71" t="str">
        <f t="shared" si="29"/>
        <v>FULLERTON COLLEGE</v>
      </c>
      <c r="E198" s="71">
        <v>125</v>
      </c>
      <c r="F198" s="90" t="s">
        <v>651</v>
      </c>
      <c r="G198" s="90">
        <v>13</v>
      </c>
      <c r="H198" s="90" t="str">
        <f>IF(G152="","W114",IF(G152&gt;I152,_xlfn.CONCAT("W114-",RIGHT(F152,LEN(F152) - FIND("-",F152))), _xlfn.CONCAT("W114-",RIGHT(H152,LEN(H152) - FIND("-",H152)))))</f>
        <v>W114-CC UNITED BLACK</v>
      </c>
      <c r="I198" s="90">
        <v>7</v>
      </c>
      <c r="J198" s="90">
        <v>145</v>
      </c>
      <c r="K198" s="90">
        <v>153</v>
      </c>
      <c r="L198" s="90" t="str">
        <f t="shared" si="30"/>
        <v>16B-125</v>
      </c>
      <c r="O198" s="62" t="str">
        <f t="shared" si="31"/>
        <v>pt_5-8 v 9-12</v>
      </c>
    </row>
    <row r="199" spans="1:15" ht="14.1" customHeight="1">
      <c r="A199" s="69">
        <f t="shared" si="28"/>
        <v>46228</v>
      </c>
      <c r="B199" s="70">
        <f>'CHICLETS MASTER S2'!AU56</f>
        <v>0.45833333333333298</v>
      </c>
      <c r="C199" s="71" t="s">
        <v>237</v>
      </c>
      <c r="D199" s="71" t="str">
        <f t="shared" si="29"/>
        <v>FULLERTON COLLEGE</v>
      </c>
      <c r="E199" s="71">
        <v>129</v>
      </c>
      <c r="F199" s="90" t="s">
        <v>652</v>
      </c>
      <c r="G199" s="90">
        <v>8</v>
      </c>
      <c r="H199" s="90" t="str">
        <f>IF(G132="","W109",IF(G132&gt;I132,_xlfn.CONCAT("W109-",RIGHT(F132,LEN(F132) - FIND("-",F132))), _xlfn.CONCAT("W109-",RIGHT(H132,LEN(H132) - FIND("-",H132)))))</f>
        <v>W109-VANGUARD BLUE</v>
      </c>
      <c r="I199" s="90">
        <v>7</v>
      </c>
      <c r="J199" s="90">
        <v>145</v>
      </c>
      <c r="K199" s="90">
        <v>153</v>
      </c>
      <c r="L199" s="90" t="str">
        <f t="shared" si="30"/>
        <v>16B-129</v>
      </c>
      <c r="O199" s="62" t="str">
        <f t="shared" si="31"/>
        <v>pt_5-8 v 9-12</v>
      </c>
    </row>
    <row r="200" spans="1:15" ht="14.1" customHeight="1">
      <c r="A200" s="69">
        <f t="shared" si="28"/>
        <v>46228</v>
      </c>
      <c r="B200" s="70">
        <f>'CHICLETS MASTER S2'!AU57</f>
        <v>0.5</v>
      </c>
      <c r="C200" s="71" t="s">
        <v>242</v>
      </c>
      <c r="D200" s="71" t="str">
        <f t="shared" si="29"/>
        <v>FULLERTON COLLEGE</v>
      </c>
      <c r="E200" s="71">
        <v>133</v>
      </c>
      <c r="F200" s="90" t="s">
        <v>653</v>
      </c>
      <c r="G200" s="90">
        <v>5</v>
      </c>
      <c r="H200" s="90" t="s">
        <v>654</v>
      </c>
      <c r="I200" s="90">
        <v>9</v>
      </c>
      <c r="J200" s="90">
        <v>174</v>
      </c>
      <c r="K200" s="90">
        <v>157</v>
      </c>
      <c r="L200" s="90" t="str">
        <f t="shared" si="30"/>
        <v>16B-133</v>
      </c>
      <c r="O200" s="62" t="str">
        <f t="shared" si="31"/>
        <v>pt_1-2 v 3-4</v>
      </c>
    </row>
    <row r="201" spans="1:15" ht="14.1" customHeight="1">
      <c r="A201" s="69">
        <f t="shared" si="28"/>
        <v>46228</v>
      </c>
      <c r="B201" s="70">
        <f>'CHICLETS MASTER S2'!AU58</f>
        <v>0.54166666666666696</v>
      </c>
      <c r="C201" s="71" t="s">
        <v>242</v>
      </c>
      <c r="D201" s="71" t="str">
        <f t="shared" si="29"/>
        <v>FULLERTON COLLEGE</v>
      </c>
      <c r="E201" s="71">
        <v>137</v>
      </c>
      <c r="F201" s="90" t="s">
        <v>655</v>
      </c>
      <c r="G201" s="93">
        <v>10</v>
      </c>
      <c r="H201" s="90" t="s">
        <v>656</v>
      </c>
      <c r="I201" s="90">
        <v>7</v>
      </c>
      <c r="J201" s="90">
        <v>173</v>
      </c>
      <c r="K201" s="90">
        <v>161</v>
      </c>
      <c r="L201" s="90" t="str">
        <f t="shared" si="30"/>
        <v>16B-137</v>
      </c>
      <c r="O201" s="62" t="str">
        <f t="shared" si="31"/>
        <v>pt_1-2 v 3-4</v>
      </c>
    </row>
    <row r="202" spans="1:15" ht="14.1" customHeight="1">
      <c r="A202" s="69">
        <f t="shared" si="28"/>
        <v>46228</v>
      </c>
      <c r="B202" s="70">
        <f>'CHICLETS MASTER S2'!AU59</f>
        <v>0.58333333333333304</v>
      </c>
      <c r="C202" s="71" t="s">
        <v>247</v>
      </c>
      <c r="D202" s="71" t="str">
        <f t="shared" si="29"/>
        <v>FULLERTON COLLEGE</v>
      </c>
      <c r="E202" s="71">
        <v>141</v>
      </c>
      <c r="F202" s="90" t="str">
        <f>IF(G196="","W117",IF(G196&gt;I196,_xlfn.CONCAT("W117-",RIGHT(F196,LEN(F196) - FIND("-",F196))), _xlfn.CONCAT("W117-",RIGHT(H196,LEN(H196) - FIND("-",H196)))))</f>
        <v>W117-SANTA BARBARA WPC A</v>
      </c>
      <c r="G202" s="90">
        <v>13</v>
      </c>
      <c r="H202" s="90" t="str">
        <f>IF(G197="","W121",IF(G197&gt;I197,_xlfn.CONCAT("W121-",RIGHT(F197,LEN(F197) - FIND("-",F197))), _xlfn.CONCAT("W121-",RIGHT(H197,LEN(H197) - FIND("-",H197)))))</f>
        <v>W121-CIU GOLD</v>
      </c>
      <c r="I202" s="90">
        <v>17</v>
      </c>
      <c r="J202" s="90">
        <v>157</v>
      </c>
      <c r="K202" s="90">
        <v>185</v>
      </c>
      <c r="L202" s="90" t="str">
        <f t="shared" si="30"/>
        <v>16B-141</v>
      </c>
      <c r="O202" s="62" t="str">
        <f t="shared" si="31"/>
        <v>pt_5-6 v 7-8</v>
      </c>
    </row>
    <row r="203" spans="1:15" ht="14.1" customHeight="1">
      <c r="A203" s="69">
        <f t="shared" si="28"/>
        <v>46228</v>
      </c>
      <c r="B203" s="70">
        <f>'CHICLETS MASTER S2'!AU60</f>
        <v>0.625</v>
      </c>
      <c r="C203" s="71" t="s">
        <v>247</v>
      </c>
      <c r="D203" s="71" t="str">
        <f t="shared" si="29"/>
        <v>FULLERTON COLLEGE</v>
      </c>
      <c r="E203" s="71">
        <v>145</v>
      </c>
      <c r="F203" s="90" t="str">
        <f>IF(G198="","W125",IF(G198&gt;I198,_xlfn.CONCAT("W125-",RIGHT(F198,LEN(F198) - FIND("-",F198))), _xlfn.CONCAT("W125-",RIGHT(H198,LEN(H198) - FIND("-",H198)))))</f>
        <v>W125-STANFORD RED</v>
      </c>
      <c r="G203" s="90">
        <v>9</v>
      </c>
      <c r="H203" s="90" t="str">
        <f>IF(G199="","W129",IF(G199&gt;I199,_xlfn.CONCAT("W129-",RIGHT(F199,LEN(F199) - FIND("-",F199))), _xlfn.CONCAT("W129-",RIGHT(H199,LEN(H199) - FIND("-",H199)))))</f>
        <v xml:space="preserve">W129-LA JOLLA UNITED NAVY	</v>
      </c>
      <c r="I203" s="90">
        <v>6</v>
      </c>
      <c r="J203" s="90">
        <v>161</v>
      </c>
      <c r="K203" s="90">
        <v>185</v>
      </c>
      <c r="L203" s="90" t="str">
        <f t="shared" si="30"/>
        <v>16B-145</v>
      </c>
      <c r="O203" s="62" t="str">
        <f t="shared" si="31"/>
        <v>pt_5-6 v 7-8</v>
      </c>
    </row>
    <row r="204" spans="1:15" ht="14.1" customHeight="1">
      <c r="A204" s="69">
        <f t="shared" si="28"/>
        <v>46228</v>
      </c>
      <c r="B204" s="70">
        <f>'CHICLETS MASTER S2'!AU61</f>
        <v>0.66666666666666696</v>
      </c>
      <c r="C204" s="71" t="s">
        <v>248</v>
      </c>
      <c r="D204" s="71" t="str">
        <f t="shared" si="29"/>
        <v>FULLERTON COLLEGE</v>
      </c>
      <c r="E204" s="71">
        <v>149</v>
      </c>
      <c r="F204" s="90" t="str">
        <f>IF(G197="","L121",IF(G197&lt;I197,_xlfn.CONCAT("L121-",RIGHT(F197,LEN(F197) - FIND("-",F197))), _xlfn.CONCAT("L121-",RIGHT(H197,LEN(H197) - FIND("-",H197)))))</f>
        <v xml:space="preserve">L121-SD SHORES BLACK	</v>
      </c>
      <c r="G204" s="90">
        <v>21</v>
      </c>
      <c r="H204" s="90" t="str">
        <f>IF(G196="","L117",IF(G196&lt;I196,_xlfn.CONCAT("L117-",RIGHT(F196,LEN(F196) - FIND("-",F196))), _xlfn.CONCAT("L117-",RIGHT(H196,LEN(H196) - FIND("-",H196)))))</f>
        <v>L117-AETOS</v>
      </c>
      <c r="I204" s="90">
        <v>5</v>
      </c>
      <c r="J204" s="90">
        <v>182</v>
      </c>
      <c r="K204" s="90">
        <v>181</v>
      </c>
      <c r="L204" s="90" t="str">
        <f t="shared" si="30"/>
        <v>16B-149</v>
      </c>
      <c r="O204" s="62" t="str">
        <f t="shared" si="31"/>
        <v>pt_9-12 semi</v>
      </c>
    </row>
    <row r="205" spans="1:15" ht="14.1" customHeight="1">
      <c r="A205" s="69">
        <f t="shared" si="28"/>
        <v>46228</v>
      </c>
      <c r="B205" s="70">
        <f>'CHICLETS MASTER S2'!AU62</f>
        <v>0.70833333333333304</v>
      </c>
      <c r="C205" s="71" t="s">
        <v>248</v>
      </c>
      <c r="D205" s="71" t="str">
        <f t="shared" si="29"/>
        <v>FULLERTON COLLEGE</v>
      </c>
      <c r="E205" s="71">
        <v>153</v>
      </c>
      <c r="F205" s="90" t="str">
        <f>IF(G199="","L129",IF(G199&lt;I199,_xlfn.CONCAT("L129-",RIGHT(F199,LEN(F199) - FIND("-",F199))), _xlfn.CONCAT("L129-",RIGHT(H199,LEN(H199) - FIND("-",H199)))))</f>
        <v>L129-VANGUARD BLUE</v>
      </c>
      <c r="G205" s="90">
        <v>6</v>
      </c>
      <c r="H205" s="90" t="str">
        <f>IF(G198="","L125",IF(G198&lt;I198,_xlfn.CONCAT("L125-",RIGHT(F198,LEN(F198) - FIND("-",F198))), _xlfn.CONCAT("L125-",RIGHT(H198,LEN(H198) - FIND("-",H198)))))</f>
        <v>L125-CC UNITED BLACK</v>
      </c>
      <c r="I205" s="90">
        <v>11</v>
      </c>
      <c r="J205" s="90">
        <v>182</v>
      </c>
      <c r="K205" s="90">
        <v>181</v>
      </c>
      <c r="L205" s="90" t="str">
        <f t="shared" si="30"/>
        <v>16B-153</v>
      </c>
      <c r="O205" s="62" t="str">
        <f t="shared" si="31"/>
        <v>pt_9-12 semi</v>
      </c>
    </row>
    <row r="206" spans="1:15" ht="14.1" customHeight="1">
      <c r="A206" s="69">
        <f t="shared" si="28"/>
        <v>46228</v>
      </c>
      <c r="B206" s="70">
        <f>'CHICLETS MASTER S2'!AU63</f>
        <v>0.75</v>
      </c>
      <c r="C206" s="71" t="s">
        <v>439</v>
      </c>
      <c r="D206" s="71" t="str">
        <f t="shared" si="29"/>
        <v>FULLERTON COLLEGE</v>
      </c>
      <c r="E206" s="71">
        <v>157</v>
      </c>
      <c r="F206" s="90" t="str">
        <f>IF(G200="","L133",IF(G200&lt;I200,_xlfn.CONCAT("L133-",RIGHT(F200,LEN(F200) - FIND("-",F200))), _xlfn.CONCAT("L133-",RIGHT(H200,LEN(H200) - FIND("-",H200)))))</f>
        <v>L133-BERKELEY</v>
      </c>
      <c r="G206" s="90">
        <v>13</v>
      </c>
      <c r="H206" s="90" t="str">
        <f>IF(G202="","W141",IF(G202&gt;I202,_xlfn.CONCAT("W141-",RIGHT(F202,LEN(F202) - FIND("-",F202))), _xlfn.CONCAT("W141-",RIGHT(H202,LEN(H202) - FIND("-",H202)))))</f>
        <v>W141-CIU GOLD</v>
      </c>
      <c r="I206" s="90">
        <v>7</v>
      </c>
      <c r="J206" s="90">
        <v>173</v>
      </c>
      <c r="K206" s="90">
        <v>186</v>
      </c>
      <c r="L206" s="90" t="str">
        <f t="shared" si="30"/>
        <v>16B-157</v>
      </c>
      <c r="O206" s="62" t="str">
        <f t="shared" si="31"/>
        <v>pt_play to semi</v>
      </c>
    </row>
    <row r="207" spans="1:15" ht="14.1" customHeight="1">
      <c r="A207" s="69">
        <f t="shared" si="28"/>
        <v>46228</v>
      </c>
      <c r="B207" s="70">
        <f>'CHICLETS MASTER S2'!AU64</f>
        <v>0.79166666666666696</v>
      </c>
      <c r="C207" s="71" t="s">
        <v>439</v>
      </c>
      <c r="D207" s="71" t="str">
        <f t="shared" si="29"/>
        <v>FULLERTON COLLEGE</v>
      </c>
      <c r="E207" s="71">
        <v>161</v>
      </c>
      <c r="F207" s="90" t="str">
        <f>IF(G201="","L137",IF(G201&lt;I201,_xlfn.CONCAT("L137-",RIGHT(F201,LEN(F201) - FIND("-",F201))), _xlfn.CONCAT("L137-",RIGHT(H201,LEN(H201) - FIND("-",H201)))))</f>
        <v>L137-IMPERIAL</v>
      </c>
      <c r="G207" s="90">
        <v>7.2</v>
      </c>
      <c r="H207" s="90" t="str">
        <f>IF(G203="","W145",IF(G203&gt;I203,_xlfn.CONCAT("W145-",RIGHT(F203,LEN(F203) - FIND("-",F203))), _xlfn.CONCAT("W145-",RIGHT(H203,LEN(H203) - FIND("-",H203)))))</f>
        <v>W145-STANFORD RED</v>
      </c>
      <c r="I207" s="90">
        <v>7.4</v>
      </c>
      <c r="J207" s="90">
        <v>174</v>
      </c>
      <c r="K207" s="90">
        <v>186</v>
      </c>
      <c r="L207" s="90" t="str">
        <f t="shared" si="30"/>
        <v>16B-161</v>
      </c>
      <c r="O207" s="62" t="str">
        <f t="shared" si="31"/>
        <v>pt_play to semi</v>
      </c>
    </row>
    <row r="208" spans="1:15" ht="14.1" customHeight="1" thickBot="1">
      <c r="G208" s="62"/>
    </row>
    <row r="209" spans="1:15" ht="14.1" customHeight="1" thickBot="1">
      <c r="A209" s="78"/>
      <c r="B209" s="79"/>
      <c r="D209" s="68" t="str">
        <f>'CHICLETS MASTER S2'!$AX$51</f>
        <v>SERVITE HS</v>
      </c>
      <c r="F209" s="62" t="s">
        <v>418</v>
      </c>
      <c r="G209" s="80" t="s">
        <v>418</v>
      </c>
      <c r="H209" s="62" t="s">
        <v>418</v>
      </c>
      <c r="I209" s="60"/>
      <c r="J209" s="60"/>
      <c r="K209" s="60"/>
      <c r="L209" s="60"/>
    </row>
    <row r="210" spans="1:15" ht="14.1" customHeight="1">
      <c r="A210" s="150" t="s">
        <v>124</v>
      </c>
      <c r="B210" s="151" t="s">
        <v>125</v>
      </c>
      <c r="C210" s="151" t="s">
        <v>126</v>
      </c>
      <c r="D210" s="151" t="s">
        <v>127</v>
      </c>
      <c r="E210" s="151" t="s">
        <v>128</v>
      </c>
      <c r="F210" s="151" t="s">
        <v>129</v>
      </c>
      <c r="G210" s="151" t="s">
        <v>130</v>
      </c>
      <c r="H210" s="151" t="s">
        <v>131</v>
      </c>
      <c r="I210" s="151" t="s">
        <v>130</v>
      </c>
      <c r="J210" s="151" t="s">
        <v>132</v>
      </c>
      <c r="K210" s="151" t="s">
        <v>133</v>
      </c>
      <c r="L210" s="151" t="s">
        <v>134</v>
      </c>
    </row>
    <row r="211" spans="1:15" ht="14.1" customHeight="1">
      <c r="A211" s="69">
        <f t="shared" ref="A211:A222" si="32">$A$193</f>
        <v>46228</v>
      </c>
      <c r="B211" s="70">
        <f>'CHICLETS MASTER S2'!AU53</f>
        <v>0.33333333333333331</v>
      </c>
      <c r="C211" s="71" t="s">
        <v>249</v>
      </c>
      <c r="D211" s="71" t="str">
        <f t="shared" ref="D211:D222" si="33">$D$209</f>
        <v>SERVITE HS</v>
      </c>
      <c r="E211" s="71">
        <v>118</v>
      </c>
      <c r="F211" s="90" t="s">
        <v>657</v>
      </c>
      <c r="G211" s="90">
        <v>8.4</v>
      </c>
      <c r="H211" s="90" t="s">
        <v>658</v>
      </c>
      <c r="I211" s="90">
        <v>8.5</v>
      </c>
      <c r="J211" s="90"/>
      <c r="K211" s="90"/>
      <c r="L211" s="90" t="str">
        <f t="shared" ref="L211:L222" si="34">IF(E211="","",$L$15&amp;"-"&amp;TEXT(E211,"000"))</f>
        <v>16B-118</v>
      </c>
      <c r="O211" s="62" t="str">
        <f t="shared" ref="O211:O222" si="35">$K$255&amp;C211</f>
        <v>pt_21-24 RR</v>
      </c>
    </row>
    <row r="212" spans="1:15" ht="14.1" customHeight="1">
      <c r="A212" s="69">
        <f t="shared" si="32"/>
        <v>46228</v>
      </c>
      <c r="B212" s="70">
        <f>'CHICLETS MASTER S2'!AU54</f>
        <v>0.375</v>
      </c>
      <c r="C212" s="71" t="s">
        <v>249</v>
      </c>
      <c r="D212" s="71" t="str">
        <f t="shared" si="33"/>
        <v>SERVITE HS</v>
      </c>
      <c r="E212" s="71">
        <v>122</v>
      </c>
      <c r="F212" s="90" t="s">
        <v>659</v>
      </c>
      <c r="G212" s="90">
        <v>10</v>
      </c>
      <c r="H212" s="90" t="s">
        <v>660</v>
      </c>
      <c r="I212" s="90">
        <v>11</v>
      </c>
      <c r="J212" s="90"/>
      <c r="K212" s="90"/>
      <c r="L212" s="90" t="str">
        <f t="shared" si="34"/>
        <v>16B-122</v>
      </c>
      <c r="O212" s="62" t="str">
        <f t="shared" si="35"/>
        <v>pt_21-24 RR</v>
      </c>
    </row>
    <row r="213" spans="1:15" ht="14.1" customHeight="1">
      <c r="A213" s="69">
        <f t="shared" si="32"/>
        <v>46228</v>
      </c>
      <c r="B213" s="70">
        <f>'CHICLETS MASTER S2'!AU55</f>
        <v>0.41666666666666702</v>
      </c>
      <c r="C213" s="71" t="s">
        <v>254</v>
      </c>
      <c r="D213" s="71" t="str">
        <f t="shared" si="33"/>
        <v>SERVITE HS</v>
      </c>
      <c r="E213" s="71">
        <v>126</v>
      </c>
      <c r="F213" s="90" t="str">
        <f>IF(G133="","L113",IF(G133&lt;I133,_xlfn.CONCAT("L113-",RIGHT(F133,LEN(F133) - FIND("-",F133))), _xlfn.CONCAT("L113-",RIGHT(H133,LEN(H133) - FIND("-",H133)))))</f>
        <v>L113-TEXAS THUNDER BLACK</v>
      </c>
      <c r="G213" s="90">
        <v>13.3</v>
      </c>
      <c r="H213" s="90" t="s">
        <v>661</v>
      </c>
      <c r="I213" s="97">
        <v>13</v>
      </c>
      <c r="J213" s="90">
        <v>150</v>
      </c>
      <c r="K213" s="90">
        <v>154</v>
      </c>
      <c r="L213" s="90" t="str">
        <f t="shared" si="34"/>
        <v>16B-126</v>
      </c>
      <c r="O213" s="62" t="str">
        <f t="shared" si="35"/>
        <v>pt_13-20 qtr</v>
      </c>
    </row>
    <row r="214" spans="1:15" ht="14.1" customHeight="1">
      <c r="A214" s="69">
        <f t="shared" si="32"/>
        <v>46228</v>
      </c>
      <c r="B214" s="70">
        <f>'CHICLETS MASTER S2'!AU56</f>
        <v>0.45833333333333298</v>
      </c>
      <c r="C214" s="71" t="s">
        <v>254</v>
      </c>
      <c r="D214" s="71" t="str">
        <f t="shared" si="33"/>
        <v>SERVITE HS</v>
      </c>
      <c r="E214" s="71">
        <v>130</v>
      </c>
      <c r="F214" s="90" t="str">
        <f>IF(G152="","L114",IF(G152&lt;I152,_xlfn.CONCAT("L114-",RIGHT(F152,LEN(F152) - FIND("-",F152))), _xlfn.CONCAT("L114-",RIGHT(H152,LEN(H152) - FIND("-",H152)))))</f>
        <v>L114-TROJAN CARDINAL</v>
      </c>
      <c r="G214" s="90">
        <v>11</v>
      </c>
      <c r="H214" s="90" t="s">
        <v>662</v>
      </c>
      <c r="I214" s="90">
        <v>10</v>
      </c>
      <c r="J214" s="90">
        <v>150</v>
      </c>
      <c r="K214" s="90">
        <v>154</v>
      </c>
      <c r="L214" s="90" t="str">
        <f t="shared" si="34"/>
        <v>16B-130</v>
      </c>
      <c r="O214" s="62" t="str">
        <f t="shared" si="35"/>
        <v>pt_13-20 qtr</v>
      </c>
    </row>
    <row r="215" spans="1:15" ht="14.1" customHeight="1">
      <c r="A215" s="69">
        <f t="shared" si="32"/>
        <v>46228</v>
      </c>
      <c r="B215" s="70">
        <f>'CHICLETS MASTER S2'!AU57</f>
        <v>0.5</v>
      </c>
      <c r="C215" s="71" t="s">
        <v>254</v>
      </c>
      <c r="D215" s="71" t="str">
        <f t="shared" si="33"/>
        <v>SERVITE HS</v>
      </c>
      <c r="E215" s="71">
        <v>134</v>
      </c>
      <c r="F215" s="90" t="str">
        <f>IF(G132="","L109",IF(G132&lt;I132,_xlfn.CONCAT("L109-",RIGHT(F132,LEN(F132) - FIND("-",F132))), _xlfn.CONCAT("L109-",RIGHT(H132,LEN(H132) - FIND("-",H132)))))</f>
        <v>L109-ROSE BOWL RED</v>
      </c>
      <c r="G215" s="90">
        <v>10</v>
      </c>
      <c r="H215" s="90" t="s">
        <v>663</v>
      </c>
      <c r="I215" s="90">
        <v>11</v>
      </c>
      <c r="J215" s="90">
        <v>158</v>
      </c>
      <c r="K215" s="90">
        <v>162</v>
      </c>
      <c r="L215" s="90" t="str">
        <f t="shared" si="34"/>
        <v>16B-134</v>
      </c>
      <c r="O215" s="62" t="str">
        <f t="shared" si="35"/>
        <v>pt_13-20 qtr</v>
      </c>
    </row>
    <row r="216" spans="1:15" ht="14.1" customHeight="1">
      <c r="A216" s="69">
        <f t="shared" si="32"/>
        <v>46228</v>
      </c>
      <c r="B216" s="70">
        <f>'CHICLETS MASTER S2'!AU58</f>
        <v>0.54166666666666696</v>
      </c>
      <c r="C216" s="71" t="s">
        <v>254</v>
      </c>
      <c r="D216" s="71" t="str">
        <f t="shared" si="33"/>
        <v>SERVITE HS</v>
      </c>
      <c r="E216" s="71">
        <v>138</v>
      </c>
      <c r="F216" s="90" t="str">
        <f>IF(G151="","L110",IF(G151&lt;I151,_xlfn.CONCAT("L110-",RIGHT(F151,LEN(F151) - FIND("-",F151))), _xlfn.CONCAT("L110-",RIGHT(H151,LEN(H151) - FIND("-",H151)))))</f>
        <v>L110-LAMORINDA A</v>
      </c>
      <c r="G216" s="90">
        <v>8</v>
      </c>
      <c r="H216" s="90" t="s">
        <v>664</v>
      </c>
      <c r="I216" s="90">
        <v>16</v>
      </c>
      <c r="J216" s="90">
        <v>158</v>
      </c>
      <c r="K216" s="90">
        <v>162</v>
      </c>
      <c r="L216" s="90" t="str">
        <f t="shared" si="34"/>
        <v>16B-138</v>
      </c>
      <c r="O216" s="62" t="str">
        <f t="shared" si="35"/>
        <v>pt_13-20 qtr</v>
      </c>
    </row>
    <row r="217" spans="1:15" ht="14.1" customHeight="1">
      <c r="A217" s="69">
        <f t="shared" si="32"/>
        <v>46228</v>
      </c>
      <c r="B217" s="70">
        <f>'CHICLETS MASTER S2'!AU59</f>
        <v>0.58333333333333304</v>
      </c>
      <c r="C217" s="71" t="s">
        <v>249</v>
      </c>
      <c r="D217" s="71" t="str">
        <f t="shared" si="33"/>
        <v>SERVITE HS</v>
      </c>
      <c r="E217" s="71">
        <v>142</v>
      </c>
      <c r="F217" s="90" t="s">
        <v>657</v>
      </c>
      <c r="G217" s="90">
        <v>13</v>
      </c>
      <c r="H217" s="90" t="s">
        <v>660</v>
      </c>
      <c r="I217" s="90">
        <v>7</v>
      </c>
      <c r="J217" s="90"/>
      <c r="K217" s="90"/>
      <c r="L217" s="90" t="str">
        <f t="shared" si="34"/>
        <v>16B-142</v>
      </c>
      <c r="O217" s="62" t="str">
        <f t="shared" si="35"/>
        <v>pt_21-24 RR</v>
      </c>
    </row>
    <row r="218" spans="1:15" ht="14.1" customHeight="1">
      <c r="A218" s="69">
        <f t="shared" si="32"/>
        <v>46228</v>
      </c>
      <c r="B218" s="70">
        <f>'CHICLETS MASTER S2'!AU60</f>
        <v>0.625</v>
      </c>
      <c r="C218" s="71" t="s">
        <v>249</v>
      </c>
      <c r="D218" s="71" t="str">
        <f t="shared" si="33"/>
        <v>SERVITE HS</v>
      </c>
      <c r="E218" s="71">
        <v>146</v>
      </c>
      <c r="F218" s="90" t="s">
        <v>659</v>
      </c>
      <c r="G218" s="90">
        <v>12.4</v>
      </c>
      <c r="H218" s="90" t="s">
        <v>658</v>
      </c>
      <c r="I218" s="90">
        <v>12.5</v>
      </c>
      <c r="J218" s="90"/>
      <c r="K218" s="90"/>
      <c r="L218" s="90" t="str">
        <f t="shared" si="34"/>
        <v>16B-146</v>
      </c>
      <c r="O218" s="62" t="str">
        <f t="shared" si="35"/>
        <v>pt_21-24 RR</v>
      </c>
    </row>
    <row r="219" spans="1:15" ht="14.1" customHeight="1">
      <c r="A219" s="69">
        <f t="shared" si="32"/>
        <v>46228</v>
      </c>
      <c r="B219" s="70">
        <f>'CHICLETS MASTER S2'!AU61</f>
        <v>0.66666666666666696</v>
      </c>
      <c r="C219" s="71" t="s">
        <v>259</v>
      </c>
      <c r="D219" s="71" t="str">
        <f t="shared" si="33"/>
        <v>SERVITE HS</v>
      </c>
      <c r="E219" s="71">
        <v>150</v>
      </c>
      <c r="F219" s="90" t="str">
        <f>IF(G213="","W126",IF(G213&gt;I213,_xlfn.CONCAT("W126-",RIGHT(F213,LEN(F213) - FIND("-",F213))), _xlfn.CONCAT("W126-",RIGHT(H213,LEN(H213) - FIND("-",H213)))))</f>
        <v>W126-TEXAS THUNDER BLACK</v>
      </c>
      <c r="G219" s="90">
        <v>13</v>
      </c>
      <c r="H219" s="90" t="str">
        <f>IF(G214="","W130",IF(G214&gt;I214,_xlfn.CONCAT("W130-",RIGHT(F214,LEN(F214) - FIND("-",F214))), _xlfn.CONCAT("W130-",RIGHT(H214,LEN(H214) - FIND("-",H214)))))</f>
        <v>W130-TROJAN CARDINAL</v>
      </c>
      <c r="I219" s="90">
        <v>6</v>
      </c>
      <c r="J219" s="90">
        <v>178</v>
      </c>
      <c r="K219" s="90">
        <v>177</v>
      </c>
      <c r="L219" s="90" t="str">
        <f t="shared" si="34"/>
        <v>16B-150</v>
      </c>
      <c r="O219" s="62" t="str">
        <f t="shared" si="35"/>
        <v>pt_13-16 semi</v>
      </c>
    </row>
    <row r="220" spans="1:15" ht="14.1" customHeight="1">
      <c r="A220" s="69">
        <f t="shared" si="32"/>
        <v>46228</v>
      </c>
      <c r="B220" s="70">
        <f>'CHICLETS MASTER S2'!AU62</f>
        <v>0.70833333333333304</v>
      </c>
      <c r="C220" s="71" t="s">
        <v>260</v>
      </c>
      <c r="D220" s="71" t="str">
        <f t="shared" si="33"/>
        <v>SERVITE HS</v>
      </c>
      <c r="E220" s="71">
        <v>154</v>
      </c>
      <c r="F220" s="90" t="str">
        <f>IF(G214="","L130",IF(G214&lt;I214,_xlfn.CONCAT("L130-",RIGHT(F214,LEN(F214) - FIND("-",F214))), _xlfn.CONCAT("L130-",RIGHT(H214,LEN(H214) - FIND("-",H214)))))</f>
        <v>L130-LB SHORE RED</v>
      </c>
      <c r="G220" s="90">
        <v>9</v>
      </c>
      <c r="H220" s="90" t="str">
        <f>IF(G213="","L126",IF(G213&lt;I213,_xlfn.CONCAT("L126-",RIGHT(F213,LEN(F213) - FIND("-",F213))), _xlfn.CONCAT("L126-",RIGHT(H213,LEN(H213) - FIND("-",H213)))))</f>
        <v>L126-SAN JOSE FOUNDATION</v>
      </c>
      <c r="I220" s="90">
        <v>7</v>
      </c>
      <c r="J220" s="90">
        <v>170</v>
      </c>
      <c r="K220" s="90">
        <v>169</v>
      </c>
      <c r="L220" s="90" t="str">
        <f t="shared" si="34"/>
        <v>16B-154</v>
      </c>
      <c r="O220" s="62" t="str">
        <f t="shared" si="35"/>
        <v>pt_17-20 semi</v>
      </c>
    </row>
    <row r="221" spans="1:15" ht="14.1" customHeight="1">
      <c r="A221" s="69">
        <f t="shared" si="32"/>
        <v>46228</v>
      </c>
      <c r="B221" s="70">
        <f>'CHICLETS MASTER S2'!AU63</f>
        <v>0.75</v>
      </c>
      <c r="C221" s="71" t="s">
        <v>259</v>
      </c>
      <c r="D221" s="71" t="str">
        <f t="shared" si="33"/>
        <v>SERVITE HS</v>
      </c>
      <c r="E221" s="71">
        <v>158</v>
      </c>
      <c r="F221" s="90" t="str">
        <f>IF(G215="","W134",IF(G215&gt;I215,_xlfn.CONCAT("W134-",RIGHT(F215,LEN(F215) - FIND("-",F215))), _xlfn.CONCAT("W134-",RIGHT(H215,LEN(H215) - FIND("-",H215)))))</f>
        <v>W134-LA JOLLA UNITED B</v>
      </c>
      <c r="G221" s="90">
        <v>4</v>
      </c>
      <c r="H221" s="90" t="str">
        <f>IF(G216="","W138",IF(G216&gt;I216,_xlfn.CONCAT("W138-",RIGHT(F216,LEN(F216) - FIND("-",F216))), _xlfn.CONCAT("W138-",RIGHT(H216,LEN(H216) - FIND("-",H216)))))</f>
        <v>W138-GREENWICH BLUE</v>
      </c>
      <c r="I221" s="90">
        <v>9</v>
      </c>
      <c r="J221" s="90">
        <v>178</v>
      </c>
      <c r="K221" s="90">
        <v>177</v>
      </c>
      <c r="L221" s="90" t="str">
        <f t="shared" si="34"/>
        <v>16B-158</v>
      </c>
      <c r="O221" s="62" t="str">
        <f t="shared" si="35"/>
        <v>pt_13-16 semi</v>
      </c>
    </row>
    <row r="222" spans="1:15" ht="14.1" customHeight="1">
      <c r="A222" s="69">
        <f t="shared" si="32"/>
        <v>46228</v>
      </c>
      <c r="B222" s="70">
        <f>'CHICLETS MASTER S2'!AU64</f>
        <v>0.79166666666666696</v>
      </c>
      <c r="C222" s="71" t="s">
        <v>260</v>
      </c>
      <c r="D222" s="71" t="str">
        <f t="shared" si="33"/>
        <v>SERVITE HS</v>
      </c>
      <c r="E222" s="71">
        <v>162</v>
      </c>
      <c r="F222" s="90" t="str">
        <f>IF(G216="","L138",IF(G216&lt;I216,_xlfn.CONCAT("L138-",RIGHT(F216,LEN(F216) - FIND("-",F216))), _xlfn.CONCAT("L138-",RIGHT(H216,LEN(H216) - FIND("-",H216)))))</f>
        <v>L138-LAMORINDA A</v>
      </c>
      <c r="G222" s="90">
        <v>16.5</v>
      </c>
      <c r="H222" s="90" t="str">
        <f>IF(G215="","L134",IF(G215&lt;I215,_xlfn.CONCAT("L134-",RIGHT(F215,LEN(F215) - FIND("-",F215))), _xlfn.CONCAT("L134-",RIGHT(H215,LEN(H215) - FIND("-",H215)))))</f>
        <v>L134-ROSE BOWL RED</v>
      </c>
      <c r="I222" s="90">
        <v>16.3</v>
      </c>
      <c r="J222" s="90">
        <v>170</v>
      </c>
      <c r="K222" s="90">
        <v>169</v>
      </c>
      <c r="L222" s="90" t="str">
        <f t="shared" si="34"/>
        <v>16B-162</v>
      </c>
      <c r="O222" s="62" t="str">
        <f t="shared" si="35"/>
        <v>pt_17-20 semi</v>
      </c>
    </row>
    <row r="223" spans="1:15" ht="14.1" customHeight="1" thickBot="1">
      <c r="A223" s="78"/>
      <c r="B223" s="79"/>
      <c r="C223" s="60"/>
      <c r="D223" s="60"/>
      <c r="E223" s="60"/>
      <c r="F223" s="60"/>
      <c r="G223" s="64"/>
      <c r="H223" s="60"/>
      <c r="I223" s="60"/>
      <c r="J223" s="60"/>
      <c r="K223" s="60"/>
      <c r="L223" s="60"/>
    </row>
    <row r="224" spans="1:15" ht="14.1" customHeight="1" thickBot="1">
      <c r="B224" s="60"/>
      <c r="C224" s="60"/>
      <c r="D224" s="68" t="str">
        <f>'CHICLETS MASTER S2'!$AW$51</f>
        <v>LONG BEACH CC 1</v>
      </c>
      <c r="E224" s="60"/>
      <c r="F224" s="60"/>
      <c r="G224" s="64"/>
      <c r="H224" s="60"/>
      <c r="I224" s="60"/>
      <c r="J224" s="60"/>
      <c r="K224" s="60"/>
      <c r="L224" s="60"/>
    </row>
    <row r="225" spans="1:15" ht="14.1" customHeight="1">
      <c r="A225" s="150" t="s">
        <v>124</v>
      </c>
      <c r="B225" s="151" t="s">
        <v>125</v>
      </c>
      <c r="C225" s="151" t="s">
        <v>126</v>
      </c>
      <c r="D225" s="151" t="s">
        <v>127</v>
      </c>
      <c r="E225" s="151" t="s">
        <v>128</v>
      </c>
      <c r="F225" s="151" t="s">
        <v>129</v>
      </c>
      <c r="G225" s="151" t="s">
        <v>130</v>
      </c>
      <c r="H225" s="151" t="s">
        <v>131</v>
      </c>
      <c r="I225" s="151" t="s">
        <v>130</v>
      </c>
      <c r="J225" s="151" t="s">
        <v>132</v>
      </c>
      <c r="K225" s="151" t="s">
        <v>133</v>
      </c>
      <c r="L225" s="151" t="s">
        <v>134</v>
      </c>
    </row>
    <row r="226" spans="1:15" ht="14.1" customHeight="1">
      <c r="A226" s="69">
        <f t="shared" ref="A226:A237" si="36">$A$193</f>
        <v>46228</v>
      </c>
      <c r="B226" s="70">
        <f>'CHICLETS MASTER S2'!AU53</f>
        <v>0.33333333333333331</v>
      </c>
      <c r="C226" s="71" t="s">
        <v>237</v>
      </c>
      <c r="D226" s="71" t="str">
        <f t="shared" ref="D226:D237" si="37">$D$224</f>
        <v>LONG BEACH CC 1</v>
      </c>
      <c r="E226" s="71">
        <v>119</v>
      </c>
      <c r="F226" s="155" t="s">
        <v>665</v>
      </c>
      <c r="G226" s="155">
        <v>13</v>
      </c>
      <c r="H226" s="155" t="str">
        <f>IF(G189="","W112",IF(G189&gt;I189,_xlfn.CONCAT("W112-",RIGHT(F189,LEN(F189) - FIND("-",F189))), _xlfn.CONCAT("W112-",RIGHT(H189,LEN(H189) - FIND("-",H189)))))</f>
        <v>W112-PEGASUS BLUE</v>
      </c>
      <c r="I226" s="155">
        <v>8</v>
      </c>
      <c r="J226" s="155">
        <v>143</v>
      </c>
      <c r="K226" s="155">
        <v>151</v>
      </c>
      <c r="L226" s="155" t="str">
        <f t="shared" ref="L226:L237" si="38">IF(E226="","",$L$15&amp;"-"&amp;TEXT(E226,"000"))</f>
        <v>16B-119</v>
      </c>
      <c r="O226" s="62" t="str">
        <f t="shared" ref="O226:O237" si="39">$L$255&amp;C226</f>
        <v>au_5-8 v 9-12</v>
      </c>
    </row>
    <row r="227" spans="1:15" ht="14.1" customHeight="1">
      <c r="A227" s="69">
        <f t="shared" si="36"/>
        <v>46228</v>
      </c>
      <c r="B227" s="70">
        <f>'CHICLETS MASTER S2'!AU54</f>
        <v>0.375</v>
      </c>
      <c r="C227" s="71" t="s">
        <v>237</v>
      </c>
      <c r="D227" s="71" t="str">
        <f t="shared" si="37"/>
        <v>LONG BEACH CC 1</v>
      </c>
      <c r="E227" s="71">
        <v>123</v>
      </c>
      <c r="F227" s="155" t="s">
        <v>666</v>
      </c>
      <c r="G227" s="155">
        <v>11</v>
      </c>
      <c r="H227" s="155" t="str">
        <f>IF(G171="","W115",IF(G171&gt;I171,_xlfn.CONCAT("W115-",RIGHT(F171,LEN(F171) - FIND("-",F171))), _xlfn.CONCAT("W115-",RIGHT(H171,LEN(H171) - FIND("-",H171)))))</f>
        <v>W115-KERN PREMIER</v>
      </c>
      <c r="I227" s="155">
        <v>10</v>
      </c>
      <c r="J227" s="155">
        <v>143</v>
      </c>
      <c r="K227" s="155">
        <v>151</v>
      </c>
      <c r="L227" s="155" t="str">
        <f t="shared" si="38"/>
        <v>16B-123</v>
      </c>
      <c r="O227" s="62" t="str">
        <f t="shared" si="39"/>
        <v>au_5-8 v 9-12</v>
      </c>
    </row>
    <row r="228" spans="1:15" ht="14.1" customHeight="1">
      <c r="A228" s="69">
        <f t="shared" si="36"/>
        <v>46228</v>
      </c>
      <c r="B228" s="70">
        <f>'CHICLETS MASTER S2'!AU55</f>
        <v>0.41666666666666702</v>
      </c>
      <c r="C228" s="71" t="s">
        <v>237</v>
      </c>
      <c r="D228" s="71" t="str">
        <f t="shared" si="37"/>
        <v>LONG BEACH CC 1</v>
      </c>
      <c r="E228" s="71">
        <v>127</v>
      </c>
      <c r="F228" s="155" t="s">
        <v>667</v>
      </c>
      <c r="G228" s="155">
        <v>10</v>
      </c>
      <c r="H228" s="155" t="str">
        <f>IF(G190="","W116",IF(G190&gt;I190,_xlfn.CONCAT("W116-",RIGHT(F190,LEN(F190) - FIND("-",F190))), _xlfn.CONCAT("W116-",RIGHT(H190,LEN(H190) - FIND("-",H190)))))</f>
        <v>W116-VNITED A</v>
      </c>
      <c r="I228" s="155">
        <v>13</v>
      </c>
      <c r="J228" s="155">
        <v>147</v>
      </c>
      <c r="K228" s="155">
        <v>155</v>
      </c>
      <c r="L228" s="155" t="str">
        <f t="shared" si="38"/>
        <v>16B-127</v>
      </c>
      <c r="O228" s="62" t="str">
        <f t="shared" si="39"/>
        <v>au_5-8 v 9-12</v>
      </c>
    </row>
    <row r="229" spans="1:15" ht="14.1" customHeight="1">
      <c r="A229" s="69">
        <f t="shared" si="36"/>
        <v>46228</v>
      </c>
      <c r="B229" s="70">
        <f>'CHICLETS MASTER S2'!AU56</f>
        <v>0.45833333333333298</v>
      </c>
      <c r="C229" s="71" t="s">
        <v>237</v>
      </c>
      <c r="D229" s="71" t="str">
        <f t="shared" si="37"/>
        <v>LONG BEACH CC 1</v>
      </c>
      <c r="E229" s="71">
        <v>131</v>
      </c>
      <c r="F229" s="155" t="s">
        <v>668</v>
      </c>
      <c r="G229" s="155">
        <v>7</v>
      </c>
      <c r="H229" s="155" t="str">
        <f>IF(G170="","W111",IF(G170&gt;I170,_xlfn.CONCAT("W111-",RIGHT(F170,LEN(F170) - FIND("-",F170))), _xlfn.CONCAT("W111-",RIGHT(H170,LEN(H170) - FIND("-",H170)))))</f>
        <v>W111-AMERICAN RIVER BLUE</v>
      </c>
      <c r="I229" s="155">
        <v>12</v>
      </c>
      <c r="J229" s="155">
        <v>147</v>
      </c>
      <c r="K229" s="155">
        <v>155</v>
      </c>
      <c r="L229" s="155" t="str">
        <f t="shared" si="38"/>
        <v>16B-131</v>
      </c>
      <c r="O229" s="62" t="str">
        <f t="shared" si="39"/>
        <v>au_5-8 v 9-12</v>
      </c>
    </row>
    <row r="230" spans="1:15" ht="14.1" customHeight="1">
      <c r="A230" s="69">
        <f t="shared" si="36"/>
        <v>46228</v>
      </c>
      <c r="B230" s="70">
        <f>'CHICLETS MASTER S2'!AU57</f>
        <v>0.5</v>
      </c>
      <c r="C230" s="71" t="s">
        <v>242</v>
      </c>
      <c r="D230" s="71" t="str">
        <f t="shared" si="37"/>
        <v>LONG BEACH CC 1</v>
      </c>
      <c r="E230" s="71">
        <v>135</v>
      </c>
      <c r="F230" s="155" t="s">
        <v>669</v>
      </c>
      <c r="G230" s="155">
        <v>5</v>
      </c>
      <c r="H230" s="155" t="s">
        <v>670</v>
      </c>
      <c r="I230" s="155">
        <v>9</v>
      </c>
      <c r="J230" s="155">
        <v>172</v>
      </c>
      <c r="K230" s="155">
        <v>159</v>
      </c>
      <c r="L230" s="155" t="str">
        <f t="shared" si="38"/>
        <v>16B-135</v>
      </c>
      <c r="O230" s="62" t="str">
        <f t="shared" si="39"/>
        <v>au_1-2 v 3-4</v>
      </c>
    </row>
    <row r="231" spans="1:15" ht="14.1" customHeight="1">
      <c r="A231" s="69">
        <f t="shared" si="36"/>
        <v>46228</v>
      </c>
      <c r="B231" s="70">
        <f>'CHICLETS MASTER S2'!AU58</f>
        <v>0.54166666666666696</v>
      </c>
      <c r="C231" s="71" t="s">
        <v>242</v>
      </c>
      <c r="D231" s="71" t="str">
        <f t="shared" si="37"/>
        <v>LONG BEACH CC 1</v>
      </c>
      <c r="E231" s="71">
        <v>139</v>
      </c>
      <c r="F231" s="155" t="s">
        <v>671</v>
      </c>
      <c r="G231" s="155">
        <v>9</v>
      </c>
      <c r="H231" s="155" t="s">
        <v>672</v>
      </c>
      <c r="I231" s="155">
        <v>8</v>
      </c>
      <c r="J231" s="155">
        <v>171</v>
      </c>
      <c r="K231" s="155">
        <v>163</v>
      </c>
      <c r="L231" s="155" t="str">
        <f t="shared" si="38"/>
        <v>16B-139</v>
      </c>
      <c r="O231" s="62" t="str">
        <f t="shared" si="39"/>
        <v>au_1-2 v 3-4</v>
      </c>
    </row>
    <row r="232" spans="1:15" ht="14.1" customHeight="1">
      <c r="A232" s="69">
        <f t="shared" si="36"/>
        <v>46228</v>
      </c>
      <c r="B232" s="70">
        <f>'CHICLETS MASTER S2'!AU59</f>
        <v>0.58333333333333304</v>
      </c>
      <c r="C232" s="71" t="s">
        <v>247</v>
      </c>
      <c r="D232" s="71" t="str">
        <f t="shared" si="37"/>
        <v>LONG BEACH CC 1</v>
      </c>
      <c r="E232" s="71">
        <v>143</v>
      </c>
      <c r="F232" s="155" t="str">
        <f>IF(G226="","W119",IF(G226&gt;I226,_xlfn.CONCAT("W119-",RIGHT(F226,LEN(F226) - FIND("-",F226))), _xlfn.CONCAT("W119-",RIGHT(H226,LEN(H226) - FIND("-",H226)))))</f>
        <v>W119-SANTA CRUZ</v>
      </c>
      <c r="G232" s="155">
        <v>7.4</v>
      </c>
      <c r="H232" s="155" t="str">
        <f>IF(G227="","W123",IF(G227&gt;I227,_xlfn.CONCAT("W123-",RIGHT(F227,LEN(F227) - FIND("-",F227))), _xlfn.CONCAT("W123-",RIGHT(H227,LEN(H227) - FIND("-",H227)))))</f>
        <v>W123-CAPITAL</v>
      </c>
      <c r="I232" s="155">
        <v>7.2</v>
      </c>
      <c r="J232" s="155">
        <v>159</v>
      </c>
      <c r="K232" s="155">
        <v>188</v>
      </c>
      <c r="L232" s="155" t="str">
        <f t="shared" si="38"/>
        <v>16B-143</v>
      </c>
      <c r="O232" s="62" t="str">
        <f t="shared" si="39"/>
        <v>au_5-6 v 7-8</v>
      </c>
    </row>
    <row r="233" spans="1:15" ht="14.1" customHeight="1">
      <c r="A233" s="69">
        <f t="shared" si="36"/>
        <v>46228</v>
      </c>
      <c r="B233" s="70">
        <f>'CHICLETS MASTER S2'!AU60</f>
        <v>0.625</v>
      </c>
      <c r="C233" s="71" t="s">
        <v>247</v>
      </c>
      <c r="D233" s="71" t="str">
        <f t="shared" si="37"/>
        <v>LONG BEACH CC 1</v>
      </c>
      <c r="E233" s="71">
        <v>147</v>
      </c>
      <c r="F233" s="155" t="str">
        <f>IF(G228="","W127",IF(G228&gt;I228,_xlfn.CONCAT("W127-",RIGHT(F228,LEN(F228) - FIND("-",F228))), _xlfn.CONCAT("W127-",RIGHT(H228,LEN(H228) - FIND("-",H228)))))</f>
        <v>W127-VNITED A</v>
      </c>
      <c r="G233" s="155">
        <v>13</v>
      </c>
      <c r="H233" s="155" t="str">
        <f>IF(G229="","W131",IF(G229&gt;I229,_xlfn.CONCAT("W131-",RIGHT(F229,LEN(F229) - FIND("-",F229))), _xlfn.CONCAT("W131-",RIGHT(H229,LEN(H229) - FIND("-",H229)))))</f>
        <v>W131-AMERICAN RIVER BLUE</v>
      </c>
      <c r="I233" s="155">
        <v>7</v>
      </c>
      <c r="J233" s="155">
        <v>163</v>
      </c>
      <c r="K233" s="155">
        <v>188</v>
      </c>
      <c r="L233" s="155" t="str">
        <f t="shared" si="38"/>
        <v>16B-147</v>
      </c>
      <c r="O233" s="62" t="str">
        <f t="shared" si="39"/>
        <v>au_5-6 v 7-8</v>
      </c>
    </row>
    <row r="234" spans="1:15" ht="14.1" customHeight="1">
      <c r="A234" s="69">
        <f t="shared" si="36"/>
        <v>46228</v>
      </c>
      <c r="B234" s="70">
        <f>'CHICLETS MASTER S2'!AU61</f>
        <v>0.66666666666666696</v>
      </c>
      <c r="C234" s="71" t="s">
        <v>248</v>
      </c>
      <c r="D234" s="71" t="str">
        <f t="shared" si="37"/>
        <v>LONG BEACH CC 1</v>
      </c>
      <c r="E234" s="71">
        <v>151</v>
      </c>
      <c r="F234" s="155" t="str">
        <f>IF(G227="","L123",IF(G227&lt;I227,_xlfn.CONCAT("L123-",RIGHT(F227,LEN(F227) - FIND("-",F227))), _xlfn.CONCAT("L123-",RIGHT(H227,LEN(H227) - FIND("-",H227)))))</f>
        <v>L123-KERN PREMIER</v>
      </c>
      <c r="G234" s="155">
        <v>11</v>
      </c>
      <c r="H234" s="155" t="str">
        <f>IF(G226="","L119",IF(G226&lt;I226,_xlfn.CONCAT("L119-",RIGHT(F226,LEN(F226) - FIND("-",F226))), _xlfn.CONCAT("L119-",RIGHT(H226,LEN(H226) - FIND("-",H226)))))</f>
        <v>L119-PEGASUS BLUE</v>
      </c>
      <c r="I234" s="155">
        <v>13</v>
      </c>
      <c r="J234" s="155">
        <v>183</v>
      </c>
      <c r="K234" s="155">
        <v>184</v>
      </c>
      <c r="L234" s="155" t="str">
        <f t="shared" si="38"/>
        <v>16B-151</v>
      </c>
      <c r="O234" s="62" t="str">
        <f t="shared" si="39"/>
        <v>au_9-12 semi</v>
      </c>
    </row>
    <row r="235" spans="1:15" ht="14.1" customHeight="1">
      <c r="A235" s="69">
        <f t="shared" si="36"/>
        <v>46228</v>
      </c>
      <c r="B235" s="70">
        <f>'CHICLETS MASTER S2'!AU62</f>
        <v>0.70833333333333304</v>
      </c>
      <c r="C235" s="71" t="s">
        <v>248</v>
      </c>
      <c r="D235" s="71" t="str">
        <f t="shared" si="37"/>
        <v>LONG BEACH CC 1</v>
      </c>
      <c r="E235" s="71">
        <v>155</v>
      </c>
      <c r="F235" s="155" t="str">
        <f>IF(G229="","L131",IF(G229&lt;I229,_xlfn.CONCAT("L131-",RIGHT(F229,LEN(F229) - FIND("-",F229))), _xlfn.CONCAT("L131-",RIGHT(H229,LEN(H229) - FIND("-",H229)))))</f>
        <v>L131-GREENWICH WHITE</v>
      </c>
      <c r="G235" s="155">
        <v>9</v>
      </c>
      <c r="H235" s="155" t="str">
        <f>IF(G228="","L127",IF(G228&lt;I228,_xlfn.CONCAT("L127-",RIGHT(F228,LEN(F228) - FIND("-",F228))), _xlfn.CONCAT("L127-",RIGHT(H228,LEN(H228) - FIND("-",H228)))))</f>
        <v>L127-MISSION</v>
      </c>
      <c r="I235" s="155">
        <v>10</v>
      </c>
      <c r="J235" s="155">
        <v>183</v>
      </c>
      <c r="K235" s="155">
        <v>184</v>
      </c>
      <c r="L235" s="155" t="str">
        <f t="shared" si="38"/>
        <v>16B-155</v>
      </c>
      <c r="O235" s="62" t="str">
        <f t="shared" si="39"/>
        <v>au_9-12 semi</v>
      </c>
    </row>
    <row r="236" spans="1:15" ht="14.1" customHeight="1">
      <c r="A236" s="69">
        <f t="shared" si="36"/>
        <v>46228</v>
      </c>
      <c r="B236" s="70">
        <f>'CHICLETS MASTER S2'!AU63</f>
        <v>0.75</v>
      </c>
      <c r="C236" s="71" t="s">
        <v>439</v>
      </c>
      <c r="D236" s="71" t="str">
        <f t="shared" si="37"/>
        <v>LONG BEACH CC 1</v>
      </c>
      <c r="E236" s="71">
        <v>159</v>
      </c>
      <c r="F236" s="155" t="str">
        <f>IF(G230="","L135",IF(G230&lt;I230,_xlfn.CONCAT("L135-",RIGHT(F230,LEN(F230) - FIND("-",F230))), _xlfn.CONCAT("L135-",RIGHT(H230,LEN(H230) - FIND("-",H230)))))</f>
        <v>L135-CLOVIS A</v>
      </c>
      <c r="G236" s="155">
        <v>14</v>
      </c>
      <c r="H236" s="155" t="str">
        <f>IF(G232="","W143",IF(G232&gt;I232,_xlfn.CONCAT("W143-",RIGHT(F232,LEN(F232) - FIND("-",F232))), _xlfn.CONCAT("W143-",RIGHT(H232,LEN(H232) - FIND("-",H232)))))</f>
        <v>W143-SANTA CRUZ</v>
      </c>
      <c r="I236" s="155">
        <v>12</v>
      </c>
      <c r="J236" s="155">
        <v>171</v>
      </c>
      <c r="K236" s="155">
        <v>187</v>
      </c>
      <c r="L236" s="155" t="str">
        <f t="shared" si="38"/>
        <v>16B-159</v>
      </c>
      <c r="O236" s="62" t="str">
        <f t="shared" si="39"/>
        <v>au_play to semi</v>
      </c>
    </row>
    <row r="237" spans="1:15" ht="14.1" customHeight="1">
      <c r="A237" s="69">
        <f t="shared" si="36"/>
        <v>46228</v>
      </c>
      <c r="B237" s="70">
        <f>'CHICLETS MASTER S2'!AU64</f>
        <v>0.79166666666666696</v>
      </c>
      <c r="C237" s="71" t="s">
        <v>439</v>
      </c>
      <c r="D237" s="71" t="str">
        <f t="shared" si="37"/>
        <v>LONG BEACH CC 1</v>
      </c>
      <c r="E237" s="71">
        <v>163</v>
      </c>
      <c r="F237" s="155" t="str">
        <f>IF(G231="","L139",IF(G231&lt;I231,_xlfn.CONCAT("L139-",RIGHT(F231,LEN(F231) - FIND("-",F231))), _xlfn.CONCAT("L139-",RIGHT(H231,LEN(H231) - FIND("-",H231)))))</f>
        <v>L139-LA PREMIER</v>
      </c>
      <c r="G237" s="155">
        <v>13</v>
      </c>
      <c r="H237" s="155" t="str">
        <f>IF(G233="","W147",IF(G233&gt;I233,_xlfn.CONCAT("W147-",RIGHT(F233,LEN(F233) - FIND("-",F233))), _xlfn.CONCAT("W147-",RIGHT(H233,LEN(H233) - FIND("-",H233)))))</f>
        <v>W147-VNITED A</v>
      </c>
      <c r="I237" s="155">
        <v>9</v>
      </c>
      <c r="J237" s="155">
        <v>172</v>
      </c>
      <c r="K237" s="155">
        <v>187</v>
      </c>
      <c r="L237" s="155" t="str">
        <f t="shared" si="38"/>
        <v>16B-163</v>
      </c>
      <c r="O237" s="62" t="str">
        <f t="shared" si="39"/>
        <v>au_play to semi</v>
      </c>
    </row>
    <row r="238" spans="1:15" ht="14.1" customHeight="1" thickBot="1">
      <c r="G238" s="62"/>
    </row>
    <row r="239" spans="1:15" ht="14.1" customHeight="1" thickBot="1">
      <c r="A239" s="78"/>
      <c r="B239" s="79"/>
      <c r="C239" s="60"/>
      <c r="D239" s="152" t="str">
        <f>'CHICLETS MASTER S2'!$AY$51</f>
        <v>SONORA HS</v>
      </c>
      <c r="E239" s="60"/>
      <c r="F239" s="60"/>
      <c r="G239" s="64"/>
      <c r="H239" s="60"/>
      <c r="I239" s="60"/>
      <c r="J239" s="60"/>
      <c r="K239" s="60"/>
      <c r="L239" s="60"/>
    </row>
    <row r="240" spans="1:15" ht="14.1" customHeight="1">
      <c r="A240" s="150" t="s">
        <v>124</v>
      </c>
      <c r="B240" s="151" t="s">
        <v>125</v>
      </c>
      <c r="C240" s="151" t="s">
        <v>126</v>
      </c>
      <c r="D240" s="151" t="s">
        <v>127</v>
      </c>
      <c r="E240" s="151" t="s">
        <v>128</v>
      </c>
      <c r="F240" s="151" t="s">
        <v>129</v>
      </c>
      <c r="G240" s="151" t="s">
        <v>130</v>
      </c>
      <c r="H240" s="151" t="s">
        <v>131</v>
      </c>
      <c r="I240" s="151" t="s">
        <v>130</v>
      </c>
      <c r="J240" s="151" t="s">
        <v>132</v>
      </c>
      <c r="K240" s="151" t="s">
        <v>133</v>
      </c>
      <c r="L240" s="151" t="s">
        <v>134</v>
      </c>
    </row>
    <row r="241" spans="1:15" ht="14.1" customHeight="1">
      <c r="A241" s="69">
        <f t="shared" ref="A241:A252" si="40">$A$193</f>
        <v>46228</v>
      </c>
      <c r="B241" s="70">
        <f>'CHICLETS MASTER S2'!AU53</f>
        <v>0.33333333333333331</v>
      </c>
      <c r="C241" s="71" t="s">
        <v>249</v>
      </c>
      <c r="D241" s="71" t="str">
        <f t="shared" ref="D241:D252" si="41">$D$239</f>
        <v>SONORA HS</v>
      </c>
      <c r="E241" s="71">
        <v>120</v>
      </c>
      <c r="F241" s="155" t="s">
        <v>673</v>
      </c>
      <c r="G241" s="155">
        <v>7</v>
      </c>
      <c r="H241" s="155" t="s">
        <v>674</v>
      </c>
      <c r="I241" s="155">
        <v>16</v>
      </c>
      <c r="J241" s="155"/>
      <c r="K241" s="155"/>
      <c r="L241" s="155" t="str">
        <f t="shared" ref="L241:L252" si="42">IF(E241="","",$L$15&amp;"-"&amp;TEXT(E241,"000"))</f>
        <v>16B-120</v>
      </c>
      <c r="O241" s="62" t="str">
        <f t="shared" ref="O241:O252" si="43">$L$255&amp;C241</f>
        <v>au_21-24 RR</v>
      </c>
    </row>
    <row r="242" spans="1:15" ht="14.1" customHeight="1">
      <c r="A242" s="69">
        <f t="shared" si="40"/>
        <v>46228</v>
      </c>
      <c r="B242" s="70">
        <f>'CHICLETS MASTER S2'!AU54</f>
        <v>0.375</v>
      </c>
      <c r="C242" s="71" t="s">
        <v>249</v>
      </c>
      <c r="D242" s="71" t="str">
        <f t="shared" si="41"/>
        <v>SONORA HS</v>
      </c>
      <c r="E242" s="71">
        <v>124</v>
      </c>
      <c r="F242" s="155" t="s">
        <v>675</v>
      </c>
      <c r="G242" s="155">
        <v>15</v>
      </c>
      <c r="H242" s="155" t="s">
        <v>676</v>
      </c>
      <c r="I242" s="155">
        <v>1</v>
      </c>
      <c r="J242" s="155"/>
      <c r="K242" s="155"/>
      <c r="L242" s="155" t="str">
        <f t="shared" si="42"/>
        <v>16B-124</v>
      </c>
      <c r="O242" s="62" t="str">
        <f t="shared" si="43"/>
        <v>au_21-24 RR</v>
      </c>
    </row>
    <row r="243" spans="1:15" ht="14.1" customHeight="1">
      <c r="A243" s="69">
        <f t="shared" si="40"/>
        <v>46228</v>
      </c>
      <c r="B243" s="70">
        <f>'CHICLETS MASTER S2'!AU55</f>
        <v>0.41666666666666702</v>
      </c>
      <c r="C243" s="71" t="s">
        <v>254</v>
      </c>
      <c r="D243" s="71" t="str">
        <f t="shared" si="41"/>
        <v>SONORA HS</v>
      </c>
      <c r="E243" s="71">
        <v>128</v>
      </c>
      <c r="F243" s="155" t="str">
        <f>IF(G171="","L115",IF(G171&lt;I171,_xlfn.CONCAT("L115-",RIGHT(F171,LEN(F171) - FIND("-",F171))), _xlfn.CONCAT("L115-",RIGHT(H171,LEN(H171) - FIND("-",H171)))))</f>
        <v>L115-MIAMI RIPTIDES</v>
      </c>
      <c r="G243" s="155">
        <v>13.4</v>
      </c>
      <c r="H243" s="155" t="s">
        <v>677</v>
      </c>
      <c r="I243" s="155">
        <v>13.5</v>
      </c>
      <c r="J243" s="155">
        <v>152</v>
      </c>
      <c r="K243" s="155">
        <v>156</v>
      </c>
      <c r="L243" s="155" t="str">
        <f t="shared" si="42"/>
        <v>16B-128</v>
      </c>
      <c r="O243" s="62" t="str">
        <f t="shared" si="43"/>
        <v>au_13-20 qtr</v>
      </c>
    </row>
    <row r="244" spans="1:15" ht="14.1" customHeight="1">
      <c r="A244" s="69">
        <f t="shared" si="40"/>
        <v>46228</v>
      </c>
      <c r="B244" s="70">
        <f>'CHICLETS MASTER S2'!AU56</f>
        <v>0.45833333333333298</v>
      </c>
      <c r="C244" s="71" t="s">
        <v>254</v>
      </c>
      <c r="D244" s="71" t="str">
        <f t="shared" si="41"/>
        <v>SONORA HS</v>
      </c>
      <c r="E244" s="71">
        <v>132</v>
      </c>
      <c r="F244" s="155" t="str">
        <f>IF(G190="","L116",IF(G190&lt;I190,_xlfn.CONCAT("L116-",RIGHT(F190,LEN(F190) - FIND("-",F190))), _xlfn.CONCAT("L116-",RIGHT(H190,LEN(H190) - FIND("-",H190)))))</f>
        <v>L116-NORTHWEST</v>
      </c>
      <c r="G244" s="155">
        <v>13</v>
      </c>
      <c r="H244" s="155" t="s">
        <v>678</v>
      </c>
      <c r="I244" s="155">
        <v>7</v>
      </c>
      <c r="J244" s="155">
        <v>152</v>
      </c>
      <c r="K244" s="155">
        <v>156</v>
      </c>
      <c r="L244" s="155" t="str">
        <f t="shared" si="42"/>
        <v>16B-132</v>
      </c>
      <c r="O244" s="62" t="str">
        <f t="shared" si="43"/>
        <v>au_13-20 qtr</v>
      </c>
    </row>
    <row r="245" spans="1:15" ht="14.1" customHeight="1">
      <c r="A245" s="69">
        <f t="shared" si="40"/>
        <v>46228</v>
      </c>
      <c r="B245" s="70">
        <f>'CHICLETS MASTER S2'!AU57</f>
        <v>0.5</v>
      </c>
      <c r="C245" s="71" t="s">
        <v>254</v>
      </c>
      <c r="D245" s="71" t="str">
        <f t="shared" si="41"/>
        <v>SONORA HS</v>
      </c>
      <c r="E245" s="71">
        <v>136</v>
      </c>
      <c r="F245" s="155" t="str">
        <f>IF(G170="","L111",IF(G170&lt;I170,_xlfn.CONCAT("L111-",RIGHT(F170,LEN(F170) - FIND("-",F170))), _xlfn.CONCAT("L111-",RIGHT(H170,LEN(H170) - FIND("-",H170)))))</f>
        <v xml:space="preserve">L111-TOPAZ TSUNAMI	</v>
      </c>
      <c r="G245" s="155">
        <v>3</v>
      </c>
      <c r="H245" s="155" t="s">
        <v>679</v>
      </c>
      <c r="I245" s="155">
        <v>13</v>
      </c>
      <c r="J245" s="155">
        <v>160</v>
      </c>
      <c r="K245" s="155">
        <v>164</v>
      </c>
      <c r="L245" s="155" t="str">
        <f t="shared" si="42"/>
        <v>16B-136</v>
      </c>
      <c r="O245" s="62" t="str">
        <f t="shared" si="43"/>
        <v>au_13-20 qtr</v>
      </c>
    </row>
    <row r="246" spans="1:15" ht="14.1" customHeight="1">
      <c r="A246" s="69">
        <f t="shared" si="40"/>
        <v>46228</v>
      </c>
      <c r="B246" s="70">
        <f>'CHICLETS MASTER S2'!AU58</f>
        <v>0.54166666666666696</v>
      </c>
      <c r="C246" s="71" t="s">
        <v>254</v>
      </c>
      <c r="D246" s="71" t="str">
        <f t="shared" si="41"/>
        <v>SONORA HS</v>
      </c>
      <c r="E246" s="71">
        <v>140</v>
      </c>
      <c r="F246" s="155" t="str">
        <f>IF(G189="","L112",IF(G189&lt;I189,_xlfn.CONCAT("L112-",RIGHT(F189,LEN(F189) - FIND("-",F189))), _xlfn.CONCAT("L112-",RIGHT(H189,LEN(H189) - FIND("-",H189)))))</f>
        <v>L112-ELMHURST</v>
      </c>
      <c r="G246" s="155">
        <v>8</v>
      </c>
      <c r="H246" s="155" t="s">
        <v>680</v>
      </c>
      <c r="I246" s="155">
        <v>10</v>
      </c>
      <c r="J246" s="155">
        <v>160</v>
      </c>
      <c r="K246" s="155">
        <v>164</v>
      </c>
      <c r="L246" s="155" t="str">
        <f t="shared" si="42"/>
        <v>16B-140</v>
      </c>
      <c r="O246" s="62" t="str">
        <f t="shared" si="43"/>
        <v>au_13-20 qtr</v>
      </c>
    </row>
    <row r="247" spans="1:15" ht="14.1" customHeight="1">
      <c r="A247" s="69">
        <f t="shared" si="40"/>
        <v>46228</v>
      </c>
      <c r="B247" s="70">
        <f>'CHICLETS MASTER S2'!AU59</f>
        <v>0.58333333333333304</v>
      </c>
      <c r="C247" s="71" t="s">
        <v>249</v>
      </c>
      <c r="D247" s="71" t="str">
        <f t="shared" si="41"/>
        <v>SONORA HS</v>
      </c>
      <c r="E247" s="71">
        <v>144</v>
      </c>
      <c r="F247" s="155" t="s">
        <v>673</v>
      </c>
      <c r="G247" s="155">
        <v>10</v>
      </c>
      <c r="H247" s="155" t="s">
        <v>676</v>
      </c>
      <c r="I247" s="155">
        <v>6</v>
      </c>
      <c r="J247" s="155"/>
      <c r="K247" s="155"/>
      <c r="L247" s="155" t="str">
        <f t="shared" si="42"/>
        <v>16B-144</v>
      </c>
      <c r="O247" s="62" t="str">
        <f t="shared" si="43"/>
        <v>au_21-24 RR</v>
      </c>
    </row>
    <row r="248" spans="1:15" ht="14.1" customHeight="1">
      <c r="A248" s="69">
        <f t="shared" si="40"/>
        <v>46228</v>
      </c>
      <c r="B248" s="70">
        <f>'CHICLETS MASTER S2'!AU60</f>
        <v>0.625</v>
      </c>
      <c r="C248" s="71" t="s">
        <v>249</v>
      </c>
      <c r="D248" s="71" t="str">
        <f t="shared" si="41"/>
        <v>SONORA HS</v>
      </c>
      <c r="E248" s="71">
        <v>148</v>
      </c>
      <c r="F248" s="155" t="s">
        <v>675</v>
      </c>
      <c r="G248" s="155">
        <v>10</v>
      </c>
      <c r="H248" s="155" t="s">
        <v>674</v>
      </c>
      <c r="I248" s="155">
        <v>9</v>
      </c>
      <c r="J248" s="155"/>
      <c r="K248" s="155"/>
      <c r="L248" s="155" t="str">
        <f t="shared" si="42"/>
        <v>16B-148</v>
      </c>
      <c r="O248" s="62" t="str">
        <f t="shared" si="43"/>
        <v>au_21-24 RR</v>
      </c>
    </row>
    <row r="249" spans="1:15" ht="14.1" customHeight="1">
      <c r="A249" s="69">
        <f t="shared" si="40"/>
        <v>46228</v>
      </c>
      <c r="B249" s="70">
        <f>'CHICLETS MASTER S2'!AU61</f>
        <v>0.66666666666666696</v>
      </c>
      <c r="C249" s="71" t="s">
        <v>259</v>
      </c>
      <c r="D249" s="71" t="str">
        <f t="shared" si="41"/>
        <v>SONORA HS</v>
      </c>
      <c r="E249" s="71">
        <v>152</v>
      </c>
      <c r="F249" s="158" t="str">
        <f>IF(G243="","W128",IF(G243&gt;I243,_xlfn.CONCAT("W128-",RIGHT(F243,LEN(F243) - FIND("-",F243))), _xlfn.CONCAT("W128-",RIGHT(H243,LEN(H243) - FIND("-",H243)))))</f>
        <v>W128-CLOVIS RED</v>
      </c>
      <c r="G249" s="159">
        <v>6</v>
      </c>
      <c r="H249" s="155" t="str">
        <f>IF(G244="","W132",IF(G244&gt;I244,_xlfn.CONCAT("W132-",RIGHT(F244,LEN(F244) - FIND("-",F244))), _xlfn.CONCAT("W132-",RIGHT(H244,LEN(H244) - FIND("-",H244)))))</f>
        <v>W132-NORTHWEST</v>
      </c>
      <c r="I249" s="155">
        <v>9</v>
      </c>
      <c r="J249" s="155">
        <v>179</v>
      </c>
      <c r="K249" s="155">
        <v>180</v>
      </c>
      <c r="L249" s="155" t="str">
        <f t="shared" si="42"/>
        <v>16B-152</v>
      </c>
      <c r="O249" s="62" t="str">
        <f t="shared" si="43"/>
        <v>au_13-16 semi</v>
      </c>
    </row>
    <row r="250" spans="1:15" ht="14.1" customHeight="1">
      <c r="A250" s="69">
        <f t="shared" si="40"/>
        <v>46228</v>
      </c>
      <c r="B250" s="70">
        <f>'CHICLETS MASTER S2'!AU62</f>
        <v>0.70833333333333304</v>
      </c>
      <c r="C250" s="71" t="s">
        <v>260</v>
      </c>
      <c r="D250" s="71" t="str">
        <f t="shared" si="41"/>
        <v>SONORA HS</v>
      </c>
      <c r="E250" s="71">
        <v>156</v>
      </c>
      <c r="F250" s="160" t="str">
        <f>IF(G244="","L132",IF(G244&lt;I244,_xlfn.CONCAT("L132-",RIGHT(F244,LEN(F244) - FIND("-",F244))), _xlfn.CONCAT("L132-",RIGHT(H244,LEN(H244) - FIND("-",H244)))))</f>
        <v>L132-LYONS AQUATICS</v>
      </c>
      <c r="G250" s="155">
        <v>13</v>
      </c>
      <c r="H250" s="155" t="str">
        <f>IF(G243="","L128",IF(G243&lt;I243,_xlfn.CONCAT("L128-",RIGHT(F243,LEN(F243) - FIND("-",F243))), _xlfn.CONCAT("L128-",RIGHT(H243,LEN(H243) - FIND("-",H243)))))</f>
        <v>L128-MIAMI RIPTIDES</v>
      </c>
      <c r="I250" s="155">
        <v>15</v>
      </c>
      <c r="J250" s="155">
        <v>175</v>
      </c>
      <c r="K250" s="155">
        <v>176</v>
      </c>
      <c r="L250" s="155" t="str">
        <f t="shared" si="42"/>
        <v>16B-156</v>
      </c>
      <c r="O250" s="62" t="str">
        <f t="shared" si="43"/>
        <v>au_17-20 semi</v>
      </c>
    </row>
    <row r="251" spans="1:15" ht="14.1" customHeight="1">
      <c r="A251" s="69">
        <f t="shared" si="40"/>
        <v>46228</v>
      </c>
      <c r="B251" s="70">
        <f>'CHICLETS MASTER S2'!AU63</f>
        <v>0.75</v>
      </c>
      <c r="C251" s="71" t="s">
        <v>259</v>
      </c>
      <c r="D251" s="71" t="str">
        <f t="shared" si="41"/>
        <v>SONORA HS</v>
      </c>
      <c r="E251" s="71">
        <v>160</v>
      </c>
      <c r="F251" s="160" t="str">
        <f>IF(G245="","W136",IF(G245&gt;I245,_xlfn.CONCAT("W136-",RIGHT(F245,LEN(F245) - FIND("-",F245))), _xlfn.CONCAT("W136-",RIGHT(H245,LEN(H245) - FIND("-",H245)))))</f>
        <v>W136-HONOLULU B</v>
      </c>
      <c r="G251" s="155">
        <v>13</v>
      </c>
      <c r="H251" s="155" t="str">
        <f>IF(G246="","W140",IF(G246&gt;I246,_xlfn.CONCAT("W140-",RIGHT(F246,LEN(F246) - FIND("-",F246))), _xlfn.CONCAT("W140-",RIGHT(H246,LEN(H246) - FIND("-",H246)))))</f>
        <v>W140-NARROWS</v>
      </c>
      <c r="I251" s="155">
        <v>12</v>
      </c>
      <c r="J251" s="155">
        <v>179</v>
      </c>
      <c r="K251" s="155">
        <v>180</v>
      </c>
      <c r="L251" s="155" t="str">
        <f t="shared" si="42"/>
        <v>16B-160</v>
      </c>
      <c r="O251" s="62" t="str">
        <f t="shared" si="43"/>
        <v>au_13-16 semi</v>
      </c>
    </row>
    <row r="252" spans="1:15" ht="14.1" customHeight="1">
      <c r="A252" s="69">
        <f t="shared" si="40"/>
        <v>46228</v>
      </c>
      <c r="B252" s="70">
        <f>'CHICLETS MASTER S2'!AU64</f>
        <v>0.79166666666666696</v>
      </c>
      <c r="C252" s="71" t="s">
        <v>260</v>
      </c>
      <c r="D252" s="71" t="str">
        <f t="shared" si="41"/>
        <v>SONORA HS</v>
      </c>
      <c r="E252" s="71">
        <v>164</v>
      </c>
      <c r="F252" s="160" t="str">
        <f>IF(G246="","L140",IF(G246&lt;I246,_xlfn.CONCAT("L140-",RIGHT(F246,LEN(F246) - FIND("-",F246))), _xlfn.CONCAT("L140-",RIGHT(H246,LEN(H246) - FIND("-",H246)))))</f>
        <v>L140-ELMHURST</v>
      </c>
      <c r="G252" s="155">
        <v>9</v>
      </c>
      <c r="H252" s="155" t="str">
        <f>IF(G245="","L136",IF(G245&lt;I245,_xlfn.CONCAT("L136-",RIGHT(F245,LEN(F245) - FIND("-",F245))), _xlfn.CONCAT("L136-",RIGHT(H245,LEN(H245) - FIND("-",H245)))))</f>
        <v xml:space="preserve">L136-TOPAZ TSUNAMI	</v>
      </c>
      <c r="I252" s="155">
        <v>7</v>
      </c>
      <c r="J252" s="155">
        <v>175</v>
      </c>
      <c r="K252" s="155">
        <v>176</v>
      </c>
      <c r="L252" s="155" t="str">
        <f t="shared" si="42"/>
        <v>16B-164</v>
      </c>
      <c r="O252" s="62" t="str">
        <f t="shared" si="43"/>
        <v>au_17-20 semi</v>
      </c>
    </row>
    <row r="253" spans="1:15" ht="14.1" customHeight="1" thickBot="1">
      <c r="G253" s="62"/>
    </row>
    <row r="254" spans="1:15" ht="14.1" customHeight="1" thickTop="1" thickBot="1">
      <c r="A254" s="68" t="s">
        <v>267</v>
      </c>
      <c r="B254" s="82"/>
      <c r="C254" s="82"/>
      <c r="D254" s="82"/>
      <c r="E254" s="82"/>
      <c r="F254" s="82"/>
      <c r="G254" s="83"/>
      <c r="H254" s="82"/>
      <c r="I254" s="82"/>
      <c r="J254" s="82"/>
      <c r="K254" s="82"/>
      <c r="L254" s="82"/>
    </row>
    <row r="255" spans="1:15" ht="14.1" customHeight="1" thickBot="1">
      <c r="A255" s="61">
        <v>46229</v>
      </c>
      <c r="G255" s="62"/>
      <c r="K255" s="62" t="s">
        <v>232</v>
      </c>
      <c r="L255" s="62" t="s">
        <v>233</v>
      </c>
    </row>
    <row r="256" spans="1:15" ht="14.1" customHeight="1" thickBot="1">
      <c r="A256" s="60"/>
      <c r="B256" s="60"/>
      <c r="C256" s="60"/>
      <c r="D256" s="65" t="str">
        <f>'CHICLETS MASTER S2'!$AW$72</f>
        <v>LONG BEACH CC 1</v>
      </c>
      <c r="E256" s="60"/>
      <c r="F256" s="60"/>
      <c r="G256" s="64"/>
      <c r="H256" s="60"/>
      <c r="I256" s="64"/>
      <c r="J256" s="60"/>
      <c r="K256" s="60"/>
      <c r="L256" s="60"/>
    </row>
    <row r="257" spans="1:15" ht="14.1" customHeight="1">
      <c r="A257" s="150" t="s">
        <v>124</v>
      </c>
      <c r="B257" s="151" t="s">
        <v>125</v>
      </c>
      <c r="C257" s="151" t="s">
        <v>126</v>
      </c>
      <c r="D257" s="151" t="s">
        <v>127</v>
      </c>
      <c r="E257" s="151" t="s">
        <v>128</v>
      </c>
      <c r="F257" s="151" t="s">
        <v>129</v>
      </c>
      <c r="G257" s="151" t="s">
        <v>130</v>
      </c>
      <c r="H257" s="151" t="s">
        <v>131</v>
      </c>
      <c r="I257" s="151" t="s">
        <v>130</v>
      </c>
      <c r="J257" s="151" t="s">
        <v>132</v>
      </c>
      <c r="K257" s="151" t="s">
        <v>133</v>
      </c>
      <c r="L257" s="151" t="s">
        <v>134</v>
      </c>
    </row>
    <row r="258" spans="1:15" ht="14.1" customHeight="1">
      <c r="A258" s="69">
        <f t="shared" ref="A258:A272" si="44">$A$255</f>
        <v>46229</v>
      </c>
      <c r="B258" s="70">
        <f>'CHICLETS MASTER S2'!AU73</f>
        <v>0.29166666666666669</v>
      </c>
      <c r="C258" s="71" t="s">
        <v>281</v>
      </c>
      <c r="D258" s="71" t="str">
        <f t="shared" ref="D258:D263" si="45">$D$256</f>
        <v>LONG BEACH CC 1</v>
      </c>
      <c r="E258" s="71">
        <v>182</v>
      </c>
      <c r="F258" s="90" t="str">
        <f>IF(G204="","W149",IF(G204&gt;I204,_xlfn.CONCAT("W149-",RIGHT(F204,LEN(F204) - FIND("-",F204))), _xlfn.CONCAT("W149-",RIGHT(H204,LEN(H204) - FIND("-",H204)))))</f>
        <v xml:space="preserve">W149-SD SHORES BLACK	</v>
      </c>
      <c r="G258" s="93">
        <v>10</v>
      </c>
      <c r="H258" s="90" t="str">
        <f>IF(G205="","W153",IF(G205&gt;I205,_xlfn.CONCAT("W153-",RIGHT(F205,LEN(F205) - FIND("-",F205))), _xlfn.CONCAT("W153-",RIGHT(H205,LEN(H205) - FIND("-",H205)))))</f>
        <v>W153-CC UNITED BLACK</v>
      </c>
      <c r="I258" s="93">
        <v>11</v>
      </c>
      <c r="J258" s="90" t="s">
        <v>282</v>
      </c>
      <c r="K258" s="90" t="s">
        <v>283</v>
      </c>
      <c r="L258" s="90" t="str">
        <f t="shared" ref="L258:L263" si="46">$L$15&amp;"-"&amp;TEXT(E258,"000")</f>
        <v>16B-182</v>
      </c>
      <c r="N258" s="62" t="str">
        <f t="shared" ref="N258:N263" si="47">$K$255&amp;C258</f>
        <v>pt_9th</v>
      </c>
      <c r="O258" s="62" t="str">
        <f t="shared" ref="O258:O263" si="48">$K$255&amp;C258</f>
        <v>pt_9th</v>
      </c>
    </row>
    <row r="259" spans="1:15" ht="14.1" customHeight="1">
      <c r="A259" s="69">
        <f t="shared" si="44"/>
        <v>46229</v>
      </c>
      <c r="B259" s="70">
        <f>'CHICLETS MASTER S2'!AU74</f>
        <v>0.33333333333333298</v>
      </c>
      <c r="C259" s="71" t="s">
        <v>269</v>
      </c>
      <c r="D259" s="71" t="str">
        <f t="shared" si="45"/>
        <v>LONG BEACH CC 1</v>
      </c>
      <c r="E259" s="71">
        <v>185</v>
      </c>
      <c r="F259" s="90" t="str">
        <f>IF(G202="","L141",IF(G202&lt;I202,_xlfn.CONCAT("L141-",RIGHT(F202,LEN(F202) - FIND("-",F202))), _xlfn.CONCAT("L141-",RIGHT(H202,LEN(H202) - FIND("-",H202)))))</f>
        <v>L141-SANTA BARBARA WPC A</v>
      </c>
      <c r="G259" s="93">
        <v>16</v>
      </c>
      <c r="H259" s="90" t="str">
        <f>IF(G203="","L145",IF(G203&lt;I203,_xlfn.CONCAT("L145-",RIGHT(F203,LEN(F203) - FIND("-",F203))), _xlfn.CONCAT("L145-",RIGHT(H203,LEN(H203) - FIND("-",H203)))))</f>
        <v xml:space="preserve">L145-LA JOLLA UNITED NAVY	</v>
      </c>
      <c r="I259" s="93">
        <v>11</v>
      </c>
      <c r="J259" s="90" t="s">
        <v>270</v>
      </c>
      <c r="K259" s="90" t="s">
        <v>271</v>
      </c>
      <c r="L259" s="90" t="str">
        <f t="shared" si="46"/>
        <v>16B-185</v>
      </c>
      <c r="N259" s="62" t="str">
        <f t="shared" si="47"/>
        <v>pt_7th</v>
      </c>
      <c r="O259" s="62" t="str">
        <f t="shared" si="48"/>
        <v>pt_7th</v>
      </c>
    </row>
    <row r="260" spans="1:15" ht="14.1" customHeight="1">
      <c r="A260" s="69">
        <f>$A$255</f>
        <v>46229</v>
      </c>
      <c r="B260" s="70">
        <f>'CHICLETS MASTER S2'!AU75</f>
        <v>0.375</v>
      </c>
      <c r="C260" s="71" t="s">
        <v>272</v>
      </c>
      <c r="D260" s="71" t="str">
        <f t="shared" si="45"/>
        <v>LONG BEACH CC 1</v>
      </c>
      <c r="E260" s="71">
        <v>186</v>
      </c>
      <c r="F260" s="161" t="str">
        <f>IF(G206="","L157",IF(G206&lt;I206,_xlfn.CONCAT("L157-",RIGHT(F206,LEN(F206) - FIND("-",F206))), _xlfn.CONCAT("L157-",RIGHT(H206,LEN(H206) - FIND("-",H206)))))</f>
        <v>L157-CIU GOLD</v>
      </c>
      <c r="G260" s="93">
        <v>9</v>
      </c>
      <c r="H260" s="90" t="str">
        <f>IF(G207="","L161",IF(G207&lt;I207,_xlfn.CONCAT("L161-",RIGHT(F207,LEN(F207) - FIND("-",F207))), _xlfn.CONCAT("L161-",RIGHT(H207,LEN(H207) - FIND("-",H207)))))</f>
        <v>L161-IMPERIAL</v>
      </c>
      <c r="I260" s="93">
        <v>12</v>
      </c>
      <c r="J260" s="90" t="s">
        <v>273</v>
      </c>
      <c r="K260" s="90" t="s">
        <v>274</v>
      </c>
      <c r="L260" s="90" t="str">
        <f>$L$15&amp;"-"&amp;TEXT(E260,"000")</f>
        <v>16B-186</v>
      </c>
      <c r="N260" s="62" t="str">
        <f>$K$255&amp;C260</f>
        <v>pt_5th</v>
      </c>
      <c r="O260" s="62" t="str">
        <f>$K$255&amp;C260</f>
        <v>pt_5th</v>
      </c>
    </row>
    <row r="261" spans="1:15" ht="14.1" customHeight="1">
      <c r="A261" s="69">
        <f t="shared" si="44"/>
        <v>46229</v>
      </c>
      <c r="B261" s="70">
        <f>'CHICLETS MASTER S2'!AU76</f>
        <v>0.41666666666666702</v>
      </c>
      <c r="C261" s="71" t="s">
        <v>284</v>
      </c>
      <c r="D261" s="71" t="str">
        <f t="shared" si="45"/>
        <v>LONG BEACH CC 1</v>
      </c>
      <c r="E261" s="94">
        <v>181</v>
      </c>
      <c r="F261" s="122" t="str">
        <f>IF(G204="","L149",IF(G204&lt;I204,_xlfn.CONCAT("L149-",RIGHT(F204,LEN(F204) - FIND("-",F204))), _xlfn.CONCAT("L149-",RIGHT(H204,LEN(H204) - FIND("-",H204)))))</f>
        <v>L149-AETOS</v>
      </c>
      <c r="G261" s="123">
        <v>5</v>
      </c>
      <c r="H261" s="90" t="str">
        <f>IF(G205="","L153",IF(G205&lt;I205,_xlfn.CONCAT("L153-",RIGHT(F205,LEN(F205) - FIND("-",F205))), _xlfn.CONCAT("L153-",RIGHT(H205,LEN(H205) - FIND("-",H205)))))</f>
        <v>L153-VANGUARD BLUE</v>
      </c>
      <c r="I261" s="93">
        <v>17</v>
      </c>
      <c r="J261" s="90" t="s">
        <v>285</v>
      </c>
      <c r="K261" s="90" t="s">
        <v>286</v>
      </c>
      <c r="L261" s="90" t="str">
        <f t="shared" si="46"/>
        <v>16B-181</v>
      </c>
      <c r="N261" s="62" t="str">
        <f t="shared" si="47"/>
        <v>pt_11th</v>
      </c>
      <c r="O261" s="62" t="str">
        <f t="shared" si="48"/>
        <v>pt_11th</v>
      </c>
    </row>
    <row r="262" spans="1:15" ht="14.1" customHeight="1">
      <c r="A262" s="69">
        <f t="shared" si="44"/>
        <v>46229</v>
      </c>
      <c r="B262" s="70">
        <f>'CHICLETS MASTER S2'!AU77</f>
        <v>0.45833333333333298</v>
      </c>
      <c r="C262" s="71" t="s">
        <v>287</v>
      </c>
      <c r="D262" s="71" t="str">
        <f t="shared" si="45"/>
        <v>LONG BEACH CC 1</v>
      </c>
      <c r="E262" s="71">
        <v>178</v>
      </c>
      <c r="F262" s="90" t="str">
        <f>IF(G219="","W150",IF(G219&gt;I219,_xlfn.CONCAT("W150-",RIGHT(F219,LEN(F219) - FIND("-",F219))), _xlfn.CONCAT("W150-",RIGHT(H219,LEN(H219) - FIND("-",H219)))))</f>
        <v>W150-TEXAS THUNDER BLACK</v>
      </c>
      <c r="G262" s="93">
        <v>17</v>
      </c>
      <c r="H262" s="90" t="str">
        <f>IF(G221="","W158",IF(G221&gt;I221,_xlfn.CONCAT("W158-",RIGHT(F221,LEN(F221) - FIND("-",F221))), _xlfn.CONCAT("W158-",RIGHT(H221,LEN(H221) - FIND("-",H221)))))</f>
        <v>W158-GREENWICH BLUE</v>
      </c>
      <c r="I262" s="93">
        <v>8</v>
      </c>
      <c r="J262" s="90" t="s">
        <v>288</v>
      </c>
      <c r="K262" s="90" t="s">
        <v>289</v>
      </c>
      <c r="L262" s="90" t="str">
        <f t="shared" si="46"/>
        <v>16B-178</v>
      </c>
      <c r="N262" s="62" t="str">
        <f t="shared" si="47"/>
        <v>pt_13th</v>
      </c>
      <c r="O262" s="62" t="str">
        <f t="shared" si="48"/>
        <v>pt_13th</v>
      </c>
    </row>
    <row r="263" spans="1:15" ht="14.1" customHeight="1">
      <c r="A263" s="69">
        <f t="shared" si="44"/>
        <v>46229</v>
      </c>
      <c r="B263" s="70">
        <f>'CHICLETS MASTER S2'!AU78</f>
        <v>0.5</v>
      </c>
      <c r="C263" s="71" t="s">
        <v>290</v>
      </c>
      <c r="D263" s="71" t="str">
        <f t="shared" si="45"/>
        <v>LONG BEACH CC 1</v>
      </c>
      <c r="E263" s="71">
        <v>177</v>
      </c>
      <c r="F263" s="90" t="str">
        <f>IF(G219="","L150",IF(G219&lt;I219,_xlfn.CONCAT("L150-",RIGHT(F219,LEN(F219) - FIND("-",F219))), _xlfn.CONCAT("L150-",RIGHT(H219,LEN(H219) - FIND("-",H219)))))</f>
        <v>L150-TROJAN CARDINAL</v>
      </c>
      <c r="G263" s="93">
        <v>13</v>
      </c>
      <c r="H263" s="90" t="str">
        <f>IF(G221="","L158",IF(G221&lt;I221,_xlfn.CONCAT("L158-",RIGHT(F221,LEN(F221) - FIND("-",F221))), _xlfn.CONCAT("L158-",RIGHT(H221,LEN(H221) - FIND("-",H221)))))</f>
        <v>L158-LA JOLLA UNITED B</v>
      </c>
      <c r="I263" s="93">
        <v>11</v>
      </c>
      <c r="J263" s="90" t="s">
        <v>291</v>
      </c>
      <c r="K263" s="90" t="s">
        <v>292</v>
      </c>
      <c r="L263" s="90" t="str">
        <f t="shared" si="46"/>
        <v>16B-177</v>
      </c>
      <c r="N263" s="62" t="str">
        <f t="shared" si="47"/>
        <v>pt_15th</v>
      </c>
      <c r="O263" s="62" t="str">
        <f t="shared" si="48"/>
        <v>pt_15th</v>
      </c>
    </row>
    <row r="264" spans="1:15" ht="14.1" customHeight="1" thickBot="1">
      <c r="A264" s="98"/>
      <c r="B264" s="79"/>
      <c r="C264" s="60"/>
      <c r="D264" s="60"/>
      <c r="G264" s="62"/>
    </row>
    <row r="265" spans="1:15" ht="14.1" customHeight="1" thickBot="1">
      <c r="A265" s="60"/>
      <c r="B265" s="60"/>
      <c r="C265" s="60"/>
      <c r="D265" s="65" t="str">
        <f>'CHICLETS MASTER S2'!$AX$72</f>
        <v>SERVITE HS</v>
      </c>
      <c r="G265" s="62"/>
    </row>
    <row r="266" spans="1:15" ht="14.1" customHeight="1">
      <c r="A266" s="150" t="s">
        <v>124</v>
      </c>
      <c r="B266" s="150" t="s">
        <v>125</v>
      </c>
      <c r="C266" s="150" t="s">
        <v>126</v>
      </c>
      <c r="D266" s="150" t="s">
        <v>127</v>
      </c>
      <c r="E266" s="150" t="s">
        <v>128</v>
      </c>
      <c r="F266" s="150" t="s">
        <v>129</v>
      </c>
      <c r="G266" s="150" t="s">
        <v>130</v>
      </c>
      <c r="H266" s="150" t="s">
        <v>131</v>
      </c>
      <c r="I266" s="150" t="s">
        <v>130</v>
      </c>
      <c r="J266" s="150" t="s">
        <v>132</v>
      </c>
      <c r="K266" s="150" t="s">
        <v>133</v>
      </c>
      <c r="L266" s="150" t="s">
        <v>134</v>
      </c>
    </row>
    <row r="267" spans="1:15" ht="14.1" customHeight="1">
      <c r="A267" s="69">
        <f>$A$255</f>
        <v>46229</v>
      </c>
      <c r="B267" s="162">
        <f>'CHICLETS MASTER S2'!AU74</f>
        <v>0.33333333333333298</v>
      </c>
      <c r="C267" s="71" t="s">
        <v>293</v>
      </c>
      <c r="D267" s="71" t="str">
        <f>$D$265</f>
        <v>SERVITE HS</v>
      </c>
      <c r="E267" s="71">
        <v>175</v>
      </c>
      <c r="F267" s="155" t="str">
        <f>IF(G250="","W156",IF(G250&gt;I250,_xlfn.CONCAT("W156-",RIGHT(F250,LEN(F250) - FIND("-",F250))), _xlfn.CONCAT("W156-",RIGHT(H250,LEN(H250) - FIND("-",H250)))))</f>
        <v>W156-MIAMI RIPTIDES</v>
      </c>
      <c r="G267" s="156">
        <v>10</v>
      </c>
      <c r="H267" s="155" t="str">
        <f>IF(G252="","W164",IF(G252&gt;I252,_xlfn.CONCAT("W164-",RIGHT(F252,LEN(F252) - FIND("-",F252))), _xlfn.CONCAT("W164-",RIGHT(H252,LEN(H252) - FIND("-",H252)))))</f>
        <v>W164-ELMHURST</v>
      </c>
      <c r="I267" s="156">
        <v>14</v>
      </c>
      <c r="J267" s="155" t="s">
        <v>474</v>
      </c>
      <c r="K267" s="155" t="s">
        <v>475</v>
      </c>
      <c r="L267" s="155" t="str">
        <f t="shared" ref="L267:L272" si="49">$L$15&amp;"-"&amp;TEXT(E267,"000")</f>
        <v>16B-175</v>
      </c>
      <c r="N267" s="62" t="str">
        <f>$L$255&amp;C267</f>
        <v>au_17th</v>
      </c>
      <c r="O267" s="62" t="str">
        <f>$L$255&amp;C267</f>
        <v>au_17th</v>
      </c>
    </row>
    <row r="268" spans="1:15" ht="14.1" customHeight="1">
      <c r="A268" s="69">
        <f>$A$255</f>
        <v>46229</v>
      </c>
      <c r="B268" s="70">
        <f>'CHICLETS MASTER S2'!AU75</f>
        <v>0.375</v>
      </c>
      <c r="C268" s="71" t="s">
        <v>296</v>
      </c>
      <c r="D268" s="71" t="str">
        <f>$D$265</f>
        <v>SERVITE HS</v>
      </c>
      <c r="E268" s="71">
        <v>176</v>
      </c>
      <c r="F268" s="155" t="str">
        <f>IF(G250="","L156",IF(G250&lt;I250,_xlfn.CONCAT("L156-",RIGHT(F250,LEN(F250) - FIND("-",F250))), _xlfn.CONCAT("L156-",RIGHT(H250,LEN(H250) - FIND("-",H250)))))</f>
        <v>L156-LYONS AQUATICS</v>
      </c>
      <c r="G268" s="156">
        <v>13</v>
      </c>
      <c r="H268" s="155" t="str">
        <f>IF(G252="","L164",IF(G252&lt;I252,_xlfn.CONCAT("L164-",RIGHT(F252,LEN(F252) - FIND("-",F252))), _xlfn.CONCAT("L164-",RIGHT(H252,LEN(H252) - FIND("-",H252)))))</f>
        <v xml:space="preserve">L164-TOPAZ TSUNAMI	</v>
      </c>
      <c r="I268" s="156">
        <v>8</v>
      </c>
      <c r="J268" s="155" t="s">
        <v>472</v>
      </c>
      <c r="K268" s="155" t="s">
        <v>473</v>
      </c>
      <c r="L268" s="155" t="str">
        <f t="shared" si="49"/>
        <v>16B-176</v>
      </c>
      <c r="N268" s="62" t="str">
        <f>$L$255&amp;C268</f>
        <v>au_19th</v>
      </c>
      <c r="O268" s="62" t="str">
        <f>$L$255&amp;C268</f>
        <v>au_19th</v>
      </c>
    </row>
    <row r="269" spans="1:15" ht="14.1" customHeight="1">
      <c r="A269" s="69">
        <f t="shared" si="44"/>
        <v>46229</v>
      </c>
      <c r="B269" s="70">
        <f>'CHICLETS MASTER S2'!AU76</f>
        <v>0.41666666666666702</v>
      </c>
      <c r="C269" s="71" t="s">
        <v>249</v>
      </c>
      <c r="D269" s="71" t="str">
        <f t="shared" ref="D269:D271" si="50">$D$265</f>
        <v>SERVITE HS</v>
      </c>
      <c r="E269" s="71">
        <v>165</v>
      </c>
      <c r="F269" s="90" t="s">
        <v>659</v>
      </c>
      <c r="G269" s="93">
        <v>13</v>
      </c>
      <c r="H269" s="90" t="s">
        <v>657</v>
      </c>
      <c r="I269" s="93">
        <v>12</v>
      </c>
      <c r="J269" s="90"/>
      <c r="K269" s="90"/>
      <c r="L269" s="90" t="str">
        <f t="shared" si="49"/>
        <v>16B-165</v>
      </c>
      <c r="N269" s="62" t="str">
        <f>$K$255&amp;C269</f>
        <v>pt_21-24 RR</v>
      </c>
      <c r="O269" s="62" t="str">
        <f>$K$255&amp;C269</f>
        <v>pt_21-24 RR</v>
      </c>
    </row>
    <row r="270" spans="1:15" ht="14.1" customHeight="1">
      <c r="A270" s="69">
        <f t="shared" si="44"/>
        <v>46229</v>
      </c>
      <c r="B270" s="70">
        <f>'CHICLETS MASTER S2'!AU77</f>
        <v>0.45833333333333298</v>
      </c>
      <c r="C270" s="71" t="s">
        <v>249</v>
      </c>
      <c r="D270" s="71" t="str">
        <f t="shared" si="50"/>
        <v>SERVITE HS</v>
      </c>
      <c r="E270" s="71">
        <v>166</v>
      </c>
      <c r="F270" s="90" t="s">
        <v>658</v>
      </c>
      <c r="G270" s="93">
        <v>6</v>
      </c>
      <c r="H270" s="90" t="s">
        <v>660</v>
      </c>
      <c r="I270" s="93">
        <v>11</v>
      </c>
      <c r="J270" s="90"/>
      <c r="K270" s="90"/>
      <c r="L270" s="90" t="str">
        <f t="shared" si="49"/>
        <v>16B-166</v>
      </c>
      <c r="N270" s="62" t="str">
        <f>$K$255&amp;C270</f>
        <v>pt_21-24 RR</v>
      </c>
      <c r="O270" s="62" t="str">
        <f>$K$255&amp;C270</f>
        <v>pt_21-24 RR</v>
      </c>
    </row>
    <row r="271" spans="1:15" ht="14.1" customHeight="1">
      <c r="A271" s="69">
        <f t="shared" si="44"/>
        <v>46229</v>
      </c>
      <c r="B271" s="70">
        <f>'CHICLETS MASTER S2'!AU78</f>
        <v>0.5</v>
      </c>
      <c r="C271" s="71" t="s">
        <v>293</v>
      </c>
      <c r="D271" s="71" t="str">
        <f t="shared" si="50"/>
        <v>SERVITE HS</v>
      </c>
      <c r="E271" s="71">
        <v>170</v>
      </c>
      <c r="F271" s="90" t="str">
        <f>IF(G220="","W154",IF(G220&gt;I220,_xlfn.CONCAT("W154-",RIGHT(F220,LEN(F220) - FIND("-",F220))), _xlfn.CONCAT("W154-",RIGHT(H220,LEN(H220) - FIND("-",H220)))))</f>
        <v>W154-LB SHORE RED</v>
      </c>
      <c r="G271" s="93">
        <v>9</v>
      </c>
      <c r="H271" s="90" t="str">
        <f>IF(G222="","W162",IF(G222&gt;I222,_xlfn.CONCAT("W162-",RIGHT(F222,LEN(F222) - FIND("-",F222))), _xlfn.CONCAT("W162-",RIGHT(H222,LEN(H222) - FIND("-",H222)))))</f>
        <v>W162-LAMORINDA A</v>
      </c>
      <c r="I271" s="93">
        <v>11</v>
      </c>
      <c r="J271" s="90" t="s">
        <v>294</v>
      </c>
      <c r="K271" s="90" t="s">
        <v>295</v>
      </c>
      <c r="L271" s="90" t="str">
        <f t="shared" si="49"/>
        <v>16B-170</v>
      </c>
      <c r="N271" s="62" t="str">
        <f>$K$255&amp;C271</f>
        <v>pt_17th</v>
      </c>
      <c r="O271" s="62" t="str">
        <f>$K$255&amp;C271</f>
        <v>pt_17th</v>
      </c>
    </row>
    <row r="272" spans="1:15" ht="14.1" customHeight="1">
      <c r="A272" s="69">
        <f t="shared" si="44"/>
        <v>46229</v>
      </c>
      <c r="B272" s="70">
        <f>'CHICLETS MASTER S2'!AU79</f>
        <v>0.54166666666666696</v>
      </c>
      <c r="C272" s="71" t="s">
        <v>296</v>
      </c>
      <c r="D272" s="71" t="str">
        <f>$D$265</f>
        <v>SERVITE HS</v>
      </c>
      <c r="E272" s="71">
        <v>169</v>
      </c>
      <c r="F272" s="90" t="str">
        <f>IF(G220="","L154",IF(G220&lt;I220,_xlfn.CONCAT("L154-",RIGHT(F220,LEN(F220) - FIND("-",F220))), _xlfn.CONCAT("L154-",RIGHT(H220,LEN(H220) - FIND("-",H220)))))</f>
        <v>L154-SAN JOSE FOUNDATION</v>
      </c>
      <c r="G272" s="93">
        <v>14</v>
      </c>
      <c r="H272" s="90" t="str">
        <f>IF(G222="","L162",IF(G222&lt;I222,_xlfn.CONCAT("L162-",RIGHT(F222,LEN(F222) - FIND("-",F222))), _xlfn.CONCAT("L162-",RIGHT(H222,LEN(H222) - FIND("-",H222)))))</f>
        <v>L162-ROSE BOWL RED</v>
      </c>
      <c r="I272" s="93">
        <v>12</v>
      </c>
      <c r="J272" s="90" t="s">
        <v>297</v>
      </c>
      <c r="K272" s="90" t="s">
        <v>298</v>
      </c>
      <c r="L272" s="90" t="str">
        <f t="shared" si="49"/>
        <v>16B-169</v>
      </c>
      <c r="N272" s="62" t="str">
        <f>$K$255&amp;C272</f>
        <v>pt_19th</v>
      </c>
      <c r="O272" s="62" t="str">
        <f>$K$255&amp;C272</f>
        <v>pt_19th</v>
      </c>
    </row>
    <row r="273" spans="1:15" ht="14.1" customHeight="1" thickBot="1"/>
    <row r="274" spans="1:15" ht="14.1" customHeight="1" thickBot="1">
      <c r="A274" s="60"/>
      <c r="B274" s="60"/>
      <c r="C274" s="60"/>
      <c r="D274" s="65" t="str">
        <f>'CHICLETS MASTER S2'!$AY$72</f>
        <v>SONORA HS</v>
      </c>
      <c r="E274" s="60"/>
      <c r="F274" s="60"/>
      <c r="G274" s="64"/>
      <c r="H274" s="60"/>
      <c r="I274" s="64"/>
      <c r="J274" s="60"/>
      <c r="K274" s="60"/>
      <c r="L274" s="60"/>
    </row>
    <row r="275" spans="1:15" ht="14.1" customHeight="1">
      <c r="A275" s="150" t="s">
        <v>124</v>
      </c>
      <c r="B275" s="151" t="s">
        <v>125</v>
      </c>
      <c r="C275" s="151" t="s">
        <v>126</v>
      </c>
      <c r="D275" s="151" t="s">
        <v>127</v>
      </c>
      <c r="E275" s="151" t="s">
        <v>128</v>
      </c>
      <c r="F275" s="151" t="s">
        <v>129</v>
      </c>
      <c r="G275" s="151" t="s">
        <v>130</v>
      </c>
      <c r="H275" s="154" t="s">
        <v>131</v>
      </c>
      <c r="I275" s="151" t="s">
        <v>130</v>
      </c>
      <c r="J275" s="151" t="s">
        <v>132</v>
      </c>
      <c r="K275" s="151" t="s">
        <v>133</v>
      </c>
      <c r="L275" s="151" t="s">
        <v>134</v>
      </c>
    </row>
    <row r="276" spans="1:15" ht="14.1" customHeight="1">
      <c r="A276" s="69">
        <f t="shared" ref="A276:A300" si="51">$A$255</f>
        <v>46229</v>
      </c>
      <c r="B276" s="70">
        <f>'CHICLETS MASTER S2'!AU73</f>
        <v>0.29166666666666669</v>
      </c>
      <c r="C276" s="71" t="s">
        <v>249</v>
      </c>
      <c r="D276" s="71" t="str">
        <f t="shared" ref="D276:D281" si="52">$D$274</f>
        <v>SONORA HS</v>
      </c>
      <c r="E276" s="71">
        <v>167</v>
      </c>
      <c r="F276" s="155" t="s">
        <v>675</v>
      </c>
      <c r="G276" s="163">
        <v>20</v>
      </c>
      <c r="H276" s="155" t="s">
        <v>673</v>
      </c>
      <c r="I276" s="164">
        <v>5</v>
      </c>
      <c r="J276" s="155"/>
      <c r="K276" s="155"/>
      <c r="L276" s="155" t="str">
        <f t="shared" ref="L276:L280" si="53">$L$15&amp;"-"&amp;TEXT(E276,"000")</f>
        <v>16B-167</v>
      </c>
      <c r="N276" s="62" t="str">
        <f>$L$255&amp;C276</f>
        <v>au_21-24 RR</v>
      </c>
      <c r="O276" s="62" t="str">
        <f t="shared" ref="O276:O280" si="54">$L$255&amp;C276</f>
        <v>au_21-24 RR</v>
      </c>
    </row>
    <row r="277" spans="1:15" ht="14.1" customHeight="1">
      <c r="A277" s="69">
        <f t="shared" si="51"/>
        <v>46229</v>
      </c>
      <c r="B277" s="70">
        <f>'CHICLETS MASTER S2'!AU74</f>
        <v>0.33333333333333298</v>
      </c>
      <c r="C277" s="71" t="s">
        <v>249</v>
      </c>
      <c r="D277" s="71" t="str">
        <f t="shared" si="52"/>
        <v>SONORA HS</v>
      </c>
      <c r="E277" s="71">
        <v>168</v>
      </c>
      <c r="F277" s="155" t="s">
        <v>674</v>
      </c>
      <c r="G277" s="156">
        <v>15</v>
      </c>
      <c r="H277" s="160" t="s">
        <v>676</v>
      </c>
      <c r="I277" s="156">
        <v>4</v>
      </c>
      <c r="J277" s="155"/>
      <c r="K277" s="155"/>
      <c r="L277" s="155" t="str">
        <f t="shared" si="53"/>
        <v>16B-168</v>
      </c>
      <c r="N277" s="62" t="str">
        <f>$L$255&amp;C277</f>
        <v>au_21-24 RR</v>
      </c>
      <c r="O277" s="62" t="str">
        <f t="shared" si="54"/>
        <v>au_21-24 RR</v>
      </c>
    </row>
    <row r="278" spans="1:15" ht="14.1" customHeight="1">
      <c r="A278" s="69">
        <f t="shared" si="51"/>
        <v>46229</v>
      </c>
      <c r="B278" s="70">
        <f>'CHICLETS MASTER S2'!AU75</f>
        <v>0.375</v>
      </c>
      <c r="C278" s="71" t="s">
        <v>281</v>
      </c>
      <c r="D278" s="71" t="str">
        <f t="shared" si="52"/>
        <v>SONORA HS</v>
      </c>
      <c r="E278" s="71">
        <v>183</v>
      </c>
      <c r="F278" s="155" t="str">
        <f>IF(G234="","W151",IF(G234&gt;I234,_xlfn.CONCAT("W151-",RIGHT(F234,LEN(F234) - FIND("-",F234))), _xlfn.CONCAT("W151-",RIGHT(H234,LEN(H234) - FIND("-",H234)))))</f>
        <v>W151-PEGASUS BLUE</v>
      </c>
      <c r="G278" s="156">
        <v>8</v>
      </c>
      <c r="H278" s="155" t="str">
        <f>IF(G235="","W155",IF(G235&gt;I235,_xlfn.CONCAT("W155-",RIGHT(F235,LEN(F235) - FIND("-",F235))), _xlfn.CONCAT("W155-",RIGHT(H235,LEN(H235) - FIND("-",H235)))))</f>
        <v>W155-MISSION</v>
      </c>
      <c r="I278" s="156">
        <v>12</v>
      </c>
      <c r="J278" s="155" t="s">
        <v>468</v>
      </c>
      <c r="K278" s="155" t="s">
        <v>469</v>
      </c>
      <c r="L278" s="155" t="str">
        <f t="shared" si="53"/>
        <v>16B-183</v>
      </c>
      <c r="N278" s="62" t="str">
        <f>$L$255&amp;C278</f>
        <v>au_9th</v>
      </c>
      <c r="O278" s="62" t="str">
        <f t="shared" si="54"/>
        <v>au_9th</v>
      </c>
    </row>
    <row r="279" spans="1:15" ht="14.1" customHeight="1">
      <c r="A279" s="69">
        <f t="shared" si="51"/>
        <v>46229</v>
      </c>
      <c r="B279" s="70">
        <f>'CHICLETS MASTER S2'!AU76</f>
        <v>0.41666666666666702</v>
      </c>
      <c r="C279" s="71" t="s">
        <v>284</v>
      </c>
      <c r="D279" s="71" t="str">
        <f t="shared" si="52"/>
        <v>SONORA HS</v>
      </c>
      <c r="E279" s="71">
        <v>184</v>
      </c>
      <c r="F279" s="155" t="str">
        <f>IF(G234="","L151",IF(G234&lt;I234,_xlfn.CONCAT("L151-",RIGHT(F234,LEN(F234) - FIND("-",F234))), _xlfn.CONCAT("L151-",RIGHT(H234,LEN(H234) - FIND("-",H234)))))</f>
        <v>L151-KERN PREMIER</v>
      </c>
      <c r="G279" s="157">
        <v>8.3000000000000007</v>
      </c>
      <c r="H279" s="155" t="str">
        <f>IF(G235="","L155",IF(G235&lt;I235,_xlfn.CONCAT("L155-",RIGHT(F235,LEN(F235) - FIND("-",F235))), _xlfn.CONCAT("L155-",RIGHT(H235,LEN(H235) - FIND("-",H235)))))</f>
        <v>L155-GREENWICH WHITE</v>
      </c>
      <c r="I279" s="157">
        <v>8.5</v>
      </c>
      <c r="J279" s="155" t="s">
        <v>470</v>
      </c>
      <c r="K279" s="155" t="s">
        <v>471</v>
      </c>
      <c r="L279" s="155" t="str">
        <f t="shared" si="53"/>
        <v>16B-184</v>
      </c>
      <c r="N279" s="62" t="str">
        <f t="shared" ref="N279:N281" si="55">$L$255&amp;C279</f>
        <v>au_11th</v>
      </c>
      <c r="O279" s="62" t="str">
        <f t="shared" si="54"/>
        <v>au_11th</v>
      </c>
    </row>
    <row r="280" spans="1:15" ht="14.1" customHeight="1">
      <c r="A280" s="69">
        <f t="shared" si="51"/>
        <v>46229</v>
      </c>
      <c r="B280" s="70">
        <f>'CHICLETS MASTER S2'!AU77</f>
        <v>0.45833333333333298</v>
      </c>
      <c r="C280" s="71" t="s">
        <v>287</v>
      </c>
      <c r="D280" s="71" t="str">
        <f t="shared" si="52"/>
        <v>SONORA HS</v>
      </c>
      <c r="E280" s="71">
        <v>179</v>
      </c>
      <c r="F280" s="165" t="str">
        <f>IF(G249="","W152",IF(G249&gt;I249,_xlfn.CONCAT("W152-",RIGHT(F249,LEN(F249) - FIND("-",F249))), _xlfn.CONCAT("W152-",RIGHT(H249,LEN(H249) - FIND("-",H249)))))</f>
        <v>W152-NORTHWEST</v>
      </c>
      <c r="G280" s="156">
        <v>11</v>
      </c>
      <c r="H280" s="155" t="str">
        <f>IF(G251="","W160",IF(G251&gt;I251,_xlfn.CONCAT("W160-",RIGHT(F251,LEN(F251) - FIND("-",F251))), _xlfn.CONCAT("W160-",RIGHT(H251,LEN(H251) - FIND("-",H251)))))</f>
        <v>W160-HONOLULU B</v>
      </c>
      <c r="I280" s="156">
        <v>12</v>
      </c>
      <c r="J280" s="155" t="s">
        <v>466</v>
      </c>
      <c r="K280" s="155" t="s">
        <v>467</v>
      </c>
      <c r="L280" s="155" t="str">
        <f t="shared" si="53"/>
        <v>16B-179</v>
      </c>
      <c r="N280" s="62" t="str">
        <f t="shared" si="55"/>
        <v>au_13th</v>
      </c>
      <c r="O280" s="62" t="str">
        <f t="shared" si="54"/>
        <v>au_13th</v>
      </c>
    </row>
    <row r="281" spans="1:15" ht="14.1" customHeight="1">
      <c r="A281" s="69">
        <f>$A$255</f>
        <v>46229</v>
      </c>
      <c r="B281" s="70">
        <f>'CHICLETS MASTER S2'!AU78</f>
        <v>0.5</v>
      </c>
      <c r="C281" s="71" t="s">
        <v>290</v>
      </c>
      <c r="D281" s="71" t="str">
        <f t="shared" si="52"/>
        <v>SONORA HS</v>
      </c>
      <c r="E281" s="94">
        <v>180</v>
      </c>
      <c r="F281" s="166" t="str">
        <f>IF(G249="","L152",IF(G249&lt;I249,_xlfn.CONCAT("L152-",RIGHT(F249,LEN(F249) - FIND("-",F249))), _xlfn.CONCAT("L152-",RIGHT(H249,LEN(H249) - FIND("-",H249)))))</f>
        <v>L152-CLOVIS RED</v>
      </c>
      <c r="G281" s="164">
        <v>4</v>
      </c>
      <c r="H281" s="155" t="str">
        <f>IF(G251="","L160",IF(G251&lt;I251,_xlfn.CONCAT("L160-",RIGHT(F251,LEN(F251) - FIND("-",F251))), _xlfn.CONCAT("L160-",RIGHT(H251,LEN(H251) - FIND("-",H251)))))</f>
        <v>L160-NARROWS</v>
      </c>
      <c r="I281" s="156">
        <v>9</v>
      </c>
      <c r="J281" s="155" t="s">
        <v>464</v>
      </c>
      <c r="K281" s="155" t="s">
        <v>465</v>
      </c>
      <c r="L281" s="155" t="str">
        <f>$L$15&amp;"-"&amp;TEXT(E281,"000")</f>
        <v>16B-180</v>
      </c>
      <c r="N281" s="62" t="str">
        <f t="shared" si="55"/>
        <v>au_15th</v>
      </c>
      <c r="O281" s="62" t="str">
        <f>$L$255&amp;C281</f>
        <v>au_15th</v>
      </c>
    </row>
    <row r="282" spans="1:15" ht="14.1" customHeight="1" thickBot="1">
      <c r="A282" s="98"/>
      <c r="B282" s="79"/>
      <c r="C282" s="60"/>
      <c r="D282" s="60"/>
      <c r="G282" s="62"/>
    </row>
    <row r="283" spans="1:15" ht="14.1" customHeight="1" thickBot="1">
      <c r="A283" s="60"/>
      <c r="B283" s="60"/>
      <c r="C283" s="60"/>
      <c r="D283" s="65" t="str">
        <f>'CHICLETS MASTER S2'!B84</f>
        <v>WOOLLETT LEFT</v>
      </c>
      <c r="G283" s="62"/>
    </row>
    <row r="284" spans="1:15" ht="14.1" customHeight="1">
      <c r="A284" s="150" t="s">
        <v>124</v>
      </c>
      <c r="B284" s="150" t="s">
        <v>125</v>
      </c>
      <c r="C284" s="150" t="s">
        <v>126</v>
      </c>
      <c r="D284" s="150" t="s">
        <v>127</v>
      </c>
      <c r="E284" s="150" t="s">
        <v>128</v>
      </c>
      <c r="F284" s="150" t="s">
        <v>129</v>
      </c>
      <c r="G284" s="150" t="s">
        <v>130</v>
      </c>
      <c r="H284" s="150" t="s">
        <v>131</v>
      </c>
      <c r="I284" s="150" t="s">
        <v>130</v>
      </c>
      <c r="J284" s="150" t="s">
        <v>132</v>
      </c>
      <c r="K284" s="150" t="s">
        <v>133</v>
      </c>
      <c r="L284" s="150" t="s">
        <v>134</v>
      </c>
    </row>
    <row r="285" spans="1:15" ht="14.1" customHeight="1">
      <c r="A285" s="69">
        <f>$A$255</f>
        <v>46229</v>
      </c>
      <c r="B285" s="130">
        <f>'CHICLETS MASTER S2'!A88</f>
        <v>0.41666666666666669</v>
      </c>
      <c r="C285" s="71" t="s">
        <v>268</v>
      </c>
      <c r="D285" s="71" t="str">
        <f>D283</f>
        <v>WOOLLETT LEFT</v>
      </c>
      <c r="E285" s="71">
        <v>173</v>
      </c>
      <c r="F285" s="90" t="str">
        <f>IF(G201="","W137",IF(G201&gt;I201,_xlfn.CONCAT("W137-",RIGHT(F201,LEN(F201) - FIND("-",F201))), _xlfn.CONCAT("W137-",RIGHT(H201,LEN(H201) - FIND("-",H201)))))</f>
        <v>W137-PATRIOT NAVY</v>
      </c>
      <c r="G285" s="93">
        <v>7</v>
      </c>
      <c r="H285" s="90" t="str">
        <f>IF(G206="","W157",IF(G206&gt;I206,_xlfn.CONCAT("W157-",RIGHT(F206,LEN(F206) - FIND("-",F206))), _xlfn.CONCAT("W157-",RIGHT(H206,LEN(H206) - FIND("-",H206)))))</f>
        <v>W157-BERKELEY</v>
      </c>
      <c r="I285" s="93">
        <v>8</v>
      </c>
      <c r="J285" s="90">
        <v>192</v>
      </c>
      <c r="K285" s="90">
        <v>191</v>
      </c>
      <c r="L285" s="90" t="str">
        <f>$L$15&amp;"-"&amp;TEXT(E285,"000")</f>
        <v>16B-173</v>
      </c>
      <c r="N285" s="62" t="str">
        <f>$K$255&amp;C285</f>
        <v>pt_semi</v>
      </c>
      <c r="O285" s="62" t="str">
        <f>$K$255&amp;C285</f>
        <v>pt_semi</v>
      </c>
    </row>
    <row r="286" spans="1:15" ht="14.1" customHeight="1">
      <c r="A286" s="60"/>
      <c r="B286" s="60"/>
      <c r="C286" s="60"/>
      <c r="D286" s="60"/>
      <c r="E286" s="60"/>
      <c r="F286" s="60"/>
      <c r="G286" s="64"/>
      <c r="H286" s="60"/>
      <c r="I286" s="64"/>
      <c r="J286" s="60"/>
      <c r="K286" s="60"/>
      <c r="L286" s="60"/>
    </row>
    <row r="287" spans="1:15" ht="14.1" customHeight="1">
      <c r="A287" s="69">
        <f>$A$255</f>
        <v>46229</v>
      </c>
      <c r="B287" s="167">
        <f>'CHICLETS MASTER S2'!A93</f>
        <v>0.65625</v>
      </c>
      <c r="C287" s="71" t="s">
        <v>275</v>
      </c>
      <c r="D287" s="71" t="str">
        <f>D285</f>
        <v>WOOLLETT LEFT</v>
      </c>
      <c r="E287" s="71">
        <v>191</v>
      </c>
      <c r="F287" s="90" t="str">
        <f>IF(G285="","L173",IF(G285&lt;I285,_xlfn.CONCAT("L173-",RIGHT(F285,LEN(F285) - FIND("-",F285))), _xlfn.CONCAT("L173-",RIGHT(H285,LEN(H285) - FIND("-",H285)))))</f>
        <v>L173-PATRIOT NAVY</v>
      </c>
      <c r="G287" s="93">
        <v>11</v>
      </c>
      <c r="H287" s="90" t="str">
        <f>IF(G291="","L174",IF(G291&lt;I291,_xlfn.CONCAT("L174-",RIGHT(F291,LEN(F291) - FIND("-",F291))), _xlfn.CONCAT("L174-",RIGHT(H291,LEN(H291) - FIND("-",H291)))))</f>
        <v>L174-NEWPORT BEACH BLUE</v>
      </c>
      <c r="I287" s="93">
        <v>12</v>
      </c>
      <c r="J287" s="90" t="s">
        <v>304</v>
      </c>
      <c r="K287" s="90" t="s">
        <v>305</v>
      </c>
      <c r="L287" s="90" t="str">
        <f>$L$15&amp;"-"&amp;TEXT(E287,"000")</f>
        <v>16B-191</v>
      </c>
      <c r="N287" s="62" t="str">
        <f>$K$255&amp;C287</f>
        <v>pt_3rd</v>
      </c>
      <c r="O287" s="62" t="str">
        <f>$K$255&amp;C287</f>
        <v>pt_3rd</v>
      </c>
    </row>
    <row r="288" spans="1:15" ht="14.1" customHeight="1" thickBot="1">
      <c r="A288" s="60"/>
      <c r="B288" s="60"/>
      <c r="C288" s="60"/>
      <c r="D288" s="60"/>
      <c r="E288" s="60"/>
      <c r="F288" s="60"/>
      <c r="G288" s="64"/>
      <c r="H288" s="60"/>
      <c r="I288" s="64"/>
      <c r="J288" s="60"/>
      <c r="K288" s="60"/>
      <c r="L288" s="60"/>
    </row>
    <row r="289" spans="1:15" ht="14.1" customHeight="1" thickBot="1">
      <c r="A289" s="60"/>
      <c r="B289" s="60"/>
      <c r="C289" s="60"/>
      <c r="D289" s="65" t="str">
        <f>'CHICLETS MASTER S2'!C84</f>
        <v>WOOLLETT RIGHT</v>
      </c>
      <c r="E289" s="60"/>
      <c r="F289" s="60"/>
      <c r="G289" s="64"/>
      <c r="H289" s="60"/>
      <c r="I289" s="64"/>
      <c r="J289" s="60"/>
      <c r="K289" s="60"/>
      <c r="L289" s="60"/>
    </row>
    <row r="290" spans="1:15" ht="14.1" customHeight="1">
      <c r="A290" s="150" t="s">
        <v>124</v>
      </c>
      <c r="B290" s="150" t="s">
        <v>125</v>
      </c>
      <c r="C290" s="150" t="s">
        <v>126</v>
      </c>
      <c r="D290" s="150" t="s">
        <v>127</v>
      </c>
      <c r="E290" s="150" t="s">
        <v>128</v>
      </c>
      <c r="F290" s="150" t="s">
        <v>129</v>
      </c>
      <c r="G290" s="150" t="s">
        <v>130</v>
      </c>
      <c r="H290" s="150" t="s">
        <v>131</v>
      </c>
      <c r="I290" s="150" t="s">
        <v>130</v>
      </c>
      <c r="J290" s="150" t="s">
        <v>132</v>
      </c>
      <c r="K290" s="150" t="s">
        <v>133</v>
      </c>
      <c r="L290" s="150" t="s">
        <v>134</v>
      </c>
    </row>
    <row r="291" spans="1:15" ht="14.1" customHeight="1">
      <c r="A291" s="69">
        <f>$A$255</f>
        <v>46229</v>
      </c>
      <c r="B291" s="96">
        <f>'CHICLETS MASTER S2'!A88</f>
        <v>0.41666666666666669</v>
      </c>
      <c r="C291" s="71" t="s">
        <v>268</v>
      </c>
      <c r="D291" s="71" t="str">
        <f>$D$289</f>
        <v>WOOLLETT RIGHT</v>
      </c>
      <c r="E291" s="71">
        <v>174</v>
      </c>
      <c r="F291" s="90" t="str">
        <f>IF(G200="","W133",IF(G200&gt;I200,_xlfn.CONCAT("W133-",RIGHT(F200,LEN(F200) - FIND("-",F200))), _xlfn.CONCAT("W133-",RIGHT(H200,LEN(H200) - FIND("-",H200)))))</f>
        <v>W133-NEWPORT BEACH BLUE</v>
      </c>
      <c r="G291" s="93">
        <v>7</v>
      </c>
      <c r="H291" s="90" t="str">
        <f>IF(G207="","W161",IF(G207&gt;I207,_xlfn.CONCAT("W161-",RIGHT(F207,LEN(F207) - FIND("-",F207))), _xlfn.CONCAT("W161-",RIGHT(H207,LEN(H207) - FIND("-",H207)))))</f>
        <v>W161-STANFORD RED</v>
      </c>
      <c r="I291" s="93">
        <v>8</v>
      </c>
      <c r="J291" s="90">
        <v>192</v>
      </c>
      <c r="K291" s="90">
        <v>191</v>
      </c>
      <c r="L291" s="90" t="str">
        <f>$L$15&amp;"-"&amp;TEXT(E291,"000")</f>
        <v>16B-174</v>
      </c>
      <c r="N291" s="62" t="str">
        <f>$K$255&amp;C291</f>
        <v>pt_semi</v>
      </c>
      <c r="O291" s="62" t="str">
        <f>$K$255&amp;C291</f>
        <v>pt_semi</v>
      </c>
    </row>
    <row r="292" spans="1:15" ht="14.1" customHeight="1">
      <c r="A292" s="60"/>
      <c r="B292" s="60"/>
      <c r="C292" s="60"/>
      <c r="D292" s="60"/>
      <c r="E292" s="60"/>
      <c r="F292" s="60"/>
      <c r="G292" s="64"/>
      <c r="H292" s="60"/>
      <c r="I292" s="64"/>
      <c r="J292" s="60"/>
      <c r="K292" s="60"/>
      <c r="L292" s="60"/>
    </row>
    <row r="293" spans="1:15" ht="14.1" customHeight="1">
      <c r="A293" s="69">
        <f>$A$255</f>
        <v>46229</v>
      </c>
      <c r="B293" s="167">
        <f>'CHICLETS MASTER S2'!A93</f>
        <v>0.65625</v>
      </c>
      <c r="C293" s="71" t="s">
        <v>278</v>
      </c>
      <c r="D293" s="71" t="str">
        <f>$D$289</f>
        <v>WOOLLETT RIGHT</v>
      </c>
      <c r="E293" s="71">
        <v>192</v>
      </c>
      <c r="F293" s="90" t="str">
        <f>IF(G285="","W173",IF(G285&gt;I285,_xlfn.CONCAT("W173-",RIGHT(F285,LEN(F285) - FIND("-",F285))), _xlfn.CONCAT("W173-",RIGHT(H285,LEN(H285) - FIND("-",H285)))))</f>
        <v>W173-BERKELEY</v>
      </c>
      <c r="G293" s="93">
        <v>8</v>
      </c>
      <c r="H293" s="90" t="str">
        <f>IF(G291="","W174",IF(G291&gt;I291,_xlfn.CONCAT("W174-",RIGHT(F291,LEN(F291) - FIND("-",F291))), _xlfn.CONCAT("W174-",RIGHT(H291,LEN(H291) - FIND("-",H291)))))</f>
        <v>W174-STANFORD RED</v>
      </c>
      <c r="I293" s="93">
        <v>9</v>
      </c>
      <c r="J293" s="90" t="s">
        <v>306</v>
      </c>
      <c r="K293" s="90" t="s">
        <v>307</v>
      </c>
      <c r="L293" s="90" t="str">
        <f>$L$15&amp;"-"&amp;TEXT(E293,"000")</f>
        <v>16B-192</v>
      </c>
      <c r="N293" s="62" t="str">
        <f>$K$255&amp;C293</f>
        <v>pt_1st</v>
      </c>
      <c r="O293" s="62" t="str">
        <f>$K$255&amp;C293</f>
        <v>pt_1st</v>
      </c>
    </row>
    <row r="294" spans="1:15" ht="14.1" customHeight="1" thickBot="1">
      <c r="A294" s="95"/>
      <c r="B294" s="60"/>
      <c r="C294" s="60"/>
      <c r="D294" s="60"/>
      <c r="E294" s="60"/>
      <c r="F294" s="60"/>
      <c r="G294" s="64"/>
      <c r="H294" s="60"/>
      <c r="I294" s="64"/>
      <c r="J294" s="60"/>
      <c r="K294" s="60"/>
      <c r="L294" s="60"/>
    </row>
    <row r="295" spans="1:15" ht="14.1" customHeight="1" thickBot="1">
      <c r="A295" s="60"/>
      <c r="B295" s="60"/>
      <c r="C295" s="60"/>
      <c r="D295" s="65" t="str">
        <f>'CHICLETS MASTER S2'!$AV$72</f>
        <v>FULLERTON COLLEGE</v>
      </c>
      <c r="E295" s="60"/>
      <c r="F295" s="60"/>
      <c r="G295" s="64"/>
      <c r="H295" s="60"/>
      <c r="I295" s="64"/>
      <c r="J295" s="60"/>
      <c r="K295" s="60"/>
      <c r="L295" s="60"/>
    </row>
    <row r="296" spans="1:15" ht="14.1" customHeight="1">
      <c r="A296" s="150" t="s">
        <v>124</v>
      </c>
      <c r="B296" s="150" t="s">
        <v>125</v>
      </c>
      <c r="C296" s="150" t="s">
        <v>126</v>
      </c>
      <c r="D296" s="150" t="s">
        <v>127</v>
      </c>
      <c r="E296" s="150" t="s">
        <v>128</v>
      </c>
      <c r="F296" s="150" t="s">
        <v>129</v>
      </c>
      <c r="G296" s="150" t="s">
        <v>130</v>
      </c>
      <c r="H296" s="150" t="s">
        <v>131</v>
      </c>
      <c r="I296" s="150" t="s">
        <v>130</v>
      </c>
      <c r="J296" s="150" t="s">
        <v>132</v>
      </c>
      <c r="K296" s="150" t="s">
        <v>133</v>
      </c>
      <c r="L296" s="150" t="s">
        <v>134</v>
      </c>
    </row>
    <row r="297" spans="1:15" ht="14.1" customHeight="1">
      <c r="A297" s="69">
        <f>$A$255</f>
        <v>46229</v>
      </c>
      <c r="B297" s="130">
        <f>'CHICLETS MASTER S2'!AU73</f>
        <v>0.29166666666666669</v>
      </c>
      <c r="C297" s="71" t="s">
        <v>268</v>
      </c>
      <c r="D297" s="99" t="str">
        <f t="shared" ref="D297:D301" si="56">$D$295</f>
        <v>FULLERTON COLLEGE</v>
      </c>
      <c r="E297" s="71">
        <v>171</v>
      </c>
      <c r="F297" s="155" t="str">
        <f>IF(G231="","W139",IF(G231&gt;I231,_xlfn.CONCAT("W139-",RIGHT(F231,LEN(F231) - FIND("-",F231))), _xlfn.CONCAT("W139-",RIGHT(H231,LEN(H231) - FIND("-",H231)))))</f>
        <v>W139-HONOLULU A</v>
      </c>
      <c r="G297" s="156">
        <v>11</v>
      </c>
      <c r="H297" s="155" t="str">
        <f>IF(G236="","W159",IF(G236&gt;I236,_xlfn.CONCAT("W159-",RIGHT(F236,LEN(F236) - FIND("-",F236))), _xlfn.CONCAT("W159-",RIGHT(H236,LEN(H236) - FIND("-",H236)))))</f>
        <v>W159-CLOVIS A</v>
      </c>
      <c r="I297" s="156">
        <v>7</v>
      </c>
      <c r="J297" s="155">
        <v>190</v>
      </c>
      <c r="K297" s="155">
        <v>189</v>
      </c>
      <c r="L297" s="155" t="str">
        <f t="shared" ref="L297:L302" si="57">$L$15&amp;"-"&amp;TEXT(E297,"000")</f>
        <v>16B-171</v>
      </c>
      <c r="N297" s="62" t="str">
        <f t="shared" ref="N297:N302" si="58">$L$255&amp;C297</f>
        <v>au_semi</v>
      </c>
      <c r="O297" s="62" t="str">
        <f t="shared" ref="O297:O302" si="59">$L$255&amp;C297</f>
        <v>au_semi</v>
      </c>
    </row>
    <row r="298" spans="1:15" ht="14.1" customHeight="1">
      <c r="A298" s="69">
        <f>$A$255</f>
        <v>46229</v>
      </c>
      <c r="B298" s="130">
        <f>'CHICLETS MASTER S2'!AU74</f>
        <v>0.33333333333333298</v>
      </c>
      <c r="C298" s="71" t="s">
        <v>268</v>
      </c>
      <c r="D298" s="99" t="str">
        <f t="shared" si="56"/>
        <v>FULLERTON COLLEGE</v>
      </c>
      <c r="E298" s="71">
        <v>172</v>
      </c>
      <c r="F298" s="155" t="str">
        <f>IF(G230="","W135",IF(G230&gt;I230,_xlfn.CONCAT("W135-",RIGHT(F230,LEN(F230) - FIND("-",F230))), _xlfn.CONCAT("W135-",RIGHT(H230,LEN(H230) - FIND("-",H230)))))</f>
        <v>W135-CC UNITED BLUE B</v>
      </c>
      <c r="G298" s="156">
        <v>9</v>
      </c>
      <c r="H298" s="155" t="str">
        <f>IF(G237="","W163",IF(G237&gt;I237,_xlfn.CONCAT("W163-",RIGHT(F237,LEN(F237) - FIND("-",F237))), _xlfn.CONCAT("W163-",RIGHT(H237,LEN(H237) - FIND("-",H237)))))</f>
        <v>W163-LA PREMIER</v>
      </c>
      <c r="I298" s="156">
        <v>11</v>
      </c>
      <c r="J298" s="155">
        <v>190</v>
      </c>
      <c r="K298" s="155">
        <v>189</v>
      </c>
      <c r="L298" s="155" t="str">
        <f t="shared" si="57"/>
        <v>16B-172</v>
      </c>
      <c r="N298" s="62" t="str">
        <f t="shared" si="58"/>
        <v>au_semi</v>
      </c>
      <c r="O298" s="62" t="str">
        <f t="shared" si="59"/>
        <v>au_semi</v>
      </c>
    </row>
    <row r="299" spans="1:15" ht="14.1" customHeight="1">
      <c r="A299" s="69">
        <f t="shared" si="51"/>
        <v>46229</v>
      </c>
      <c r="B299" s="130">
        <f>'CHICLETS MASTER S2'!AU75</f>
        <v>0.375</v>
      </c>
      <c r="C299" s="71" t="s">
        <v>269</v>
      </c>
      <c r="D299" s="99" t="str">
        <f t="shared" si="56"/>
        <v>FULLERTON COLLEGE</v>
      </c>
      <c r="E299" s="71">
        <v>188</v>
      </c>
      <c r="F299" s="155" t="str">
        <f>IF(G232="","L143",IF(G232&lt;I232,_xlfn.CONCAT("L143-",RIGHT(F232,LEN(F232) - FIND("-",F232))), _xlfn.CONCAT("L143-",RIGHT(H232,LEN(H232) - FIND("-",H232)))))</f>
        <v>L143-CAPITAL</v>
      </c>
      <c r="G299" s="156">
        <v>8</v>
      </c>
      <c r="H299" s="155" t="str">
        <f>IF(G233="","L147",IF(G233&lt;I233,_xlfn.CONCAT("L147-",RIGHT(F233,LEN(F233) - FIND("-",F233))), _xlfn.CONCAT("L147-",RIGHT(H233,LEN(H233) - FIND("-",H233)))))</f>
        <v>L147-AMERICAN RIVER BLUE</v>
      </c>
      <c r="I299" s="156">
        <v>13</v>
      </c>
      <c r="J299" s="155" t="s">
        <v>302</v>
      </c>
      <c r="K299" s="155" t="s">
        <v>303</v>
      </c>
      <c r="L299" s="155" t="str">
        <f t="shared" si="57"/>
        <v>16B-188</v>
      </c>
      <c r="N299" s="62" t="str">
        <f t="shared" si="58"/>
        <v>au_7th</v>
      </c>
      <c r="O299" s="62" t="str">
        <f t="shared" si="59"/>
        <v>au_7th</v>
      </c>
    </row>
    <row r="300" spans="1:15" ht="14.1" customHeight="1">
      <c r="A300" s="69">
        <f t="shared" si="51"/>
        <v>46229</v>
      </c>
      <c r="B300" s="130">
        <f>'CHICLETS MASTER S2'!AU76</f>
        <v>0.41666666666666702</v>
      </c>
      <c r="C300" s="71" t="s">
        <v>272</v>
      </c>
      <c r="D300" s="99" t="str">
        <f t="shared" si="56"/>
        <v>FULLERTON COLLEGE</v>
      </c>
      <c r="E300" s="71">
        <v>187</v>
      </c>
      <c r="F300" s="155" t="str">
        <f>IF(G236="","L159",IF(G236&lt;I236,_xlfn.CONCAT("L159-",RIGHT(F236,LEN(F236) - FIND("-",F236))), _xlfn.CONCAT("L159-",RIGHT(H236,LEN(H236) - FIND("-",H236)))))</f>
        <v>L159-SANTA CRUZ</v>
      </c>
      <c r="G300" s="156">
        <v>6</v>
      </c>
      <c r="H300" s="155" t="str">
        <f>IF(G237="","L163",IF(G237&lt;I237,_xlfn.CONCAT("L163-",RIGHT(F237,LEN(F237) - FIND("-",F237))), _xlfn.CONCAT("L163-",RIGHT(H237,LEN(H237) - FIND("-",H237)))))</f>
        <v>L163-VNITED A</v>
      </c>
      <c r="I300" s="156">
        <v>4</v>
      </c>
      <c r="J300" s="155" t="s">
        <v>300</v>
      </c>
      <c r="K300" s="155" t="s">
        <v>301</v>
      </c>
      <c r="L300" s="155" t="str">
        <f t="shared" si="57"/>
        <v>16B-187</v>
      </c>
      <c r="N300" s="62" t="str">
        <f t="shared" si="58"/>
        <v>au_5th</v>
      </c>
      <c r="O300" s="62" t="str">
        <f t="shared" si="59"/>
        <v>au_5th</v>
      </c>
    </row>
    <row r="301" spans="1:15" ht="14.1" customHeight="1">
      <c r="A301" s="168">
        <f>$A$255</f>
        <v>46229</v>
      </c>
      <c r="B301" s="130">
        <f>'CHICLETS MASTER S2'!AU77</f>
        <v>0.45833333333333298</v>
      </c>
      <c r="C301" s="169" t="s">
        <v>275</v>
      </c>
      <c r="D301" s="99" t="str">
        <f t="shared" si="56"/>
        <v>FULLERTON COLLEGE</v>
      </c>
      <c r="E301" s="71">
        <v>189</v>
      </c>
      <c r="F301" s="155" t="str">
        <f>IF(G297="","L171",IF(G297&lt;I297,_xlfn.CONCAT("L171-",RIGHT(F297,LEN(F297) - FIND("-",F297))), _xlfn.CONCAT("L171-",RIGHT(H297,LEN(H297) - FIND("-",H297)))))</f>
        <v>L171-CLOVIS A</v>
      </c>
      <c r="G301" s="156">
        <v>12</v>
      </c>
      <c r="H301" s="155" t="str">
        <f>IF(G298="","L172",IF(G298&lt;I298,_xlfn.CONCAT("L172-",RIGHT(F298,LEN(F298) - FIND("-",F298))), _xlfn.CONCAT("L172-",RIGHT(H298,LEN(H298) - FIND("-",H298)))))</f>
        <v>L172-CC UNITED BLUE B</v>
      </c>
      <c r="I301" s="156">
        <v>14</v>
      </c>
      <c r="J301" s="155" t="s">
        <v>276</v>
      </c>
      <c r="K301" s="155" t="s">
        <v>277</v>
      </c>
      <c r="L301" s="155" t="str">
        <f t="shared" si="57"/>
        <v>16B-189</v>
      </c>
      <c r="N301" s="62" t="str">
        <f t="shared" si="58"/>
        <v>au_3rd</v>
      </c>
      <c r="O301" s="62" t="str">
        <f t="shared" si="59"/>
        <v>au_3rd</v>
      </c>
    </row>
    <row r="302" spans="1:15" ht="14.1" customHeight="1">
      <c r="A302" s="69">
        <f>$A$255</f>
        <v>46229</v>
      </c>
      <c r="B302" s="130">
        <f>'CHICLETS MASTER S2'!AU78</f>
        <v>0.5</v>
      </c>
      <c r="C302" s="71" t="s">
        <v>278</v>
      </c>
      <c r="D302" s="99" t="str">
        <f>$D$295</f>
        <v>FULLERTON COLLEGE</v>
      </c>
      <c r="E302" s="71">
        <v>190</v>
      </c>
      <c r="F302" s="155" t="str">
        <f>IF(G297="","W171",IF(G297&gt;I297,_xlfn.CONCAT("W171-",RIGHT(F297,LEN(F297) - FIND("-",F297))), _xlfn.CONCAT("W171-",RIGHT(H297,LEN(H297) - FIND("-",H297)))))</f>
        <v>W171-HONOLULU A</v>
      </c>
      <c r="G302" s="156">
        <v>9</v>
      </c>
      <c r="H302" s="155" t="str">
        <f>IF(G298="","W172",IF(G298&gt;I298,_xlfn.CONCAT("W172-",RIGHT(F298,LEN(F298) - FIND("-",F298))), _xlfn.CONCAT("W172-",RIGHT(H298,LEN(H298) - FIND("-",H298)))))</f>
        <v>W172-LA PREMIER</v>
      </c>
      <c r="I302" s="156">
        <v>11</v>
      </c>
      <c r="J302" s="155" t="s">
        <v>279</v>
      </c>
      <c r="K302" s="155" t="s">
        <v>280</v>
      </c>
      <c r="L302" s="155" t="str">
        <f t="shared" si="57"/>
        <v>16B-190</v>
      </c>
      <c r="N302" s="62" t="str">
        <f t="shared" si="58"/>
        <v>au_1st</v>
      </c>
      <c r="O302" s="62" t="str">
        <f t="shared" si="59"/>
        <v>au_1st</v>
      </c>
    </row>
    <row r="304" spans="1:15" ht="14.1" customHeight="1">
      <c r="A304" s="90" t="s">
        <v>308</v>
      </c>
      <c r="C304" s="155" t="s">
        <v>309</v>
      </c>
    </row>
    <row r="305" spans="1:4" ht="14.1" customHeight="1">
      <c r="A305" s="90" t="s">
        <v>278</v>
      </c>
      <c r="B305" s="131" t="str">
        <f>IF(G293="","W192",IF(G293&gt;I293,_xlfn.CONCAT("W192-",RIGHT(F293,LEN(F293) - FIND("-",F293))), _xlfn.CONCAT("W192-",RIGHT(H293,LEN(H293) - FIND("-",H293)))))</f>
        <v>W192-STANFORD RED</v>
      </c>
      <c r="C305" s="155" t="s">
        <v>278</v>
      </c>
      <c r="D305" s="132" t="str">
        <f>IF(G302="","W190",IF(G302&gt;I302,_xlfn.CONCAT("W190-",RIGHT(F302,LEN(F302) - FIND("-",F302))), _xlfn.CONCAT("W190-",RIGHT(H302,LEN(H302) - FIND("-",H302)))))</f>
        <v>W190-LA PREMIER</v>
      </c>
    </row>
    <row r="306" spans="1:4" ht="14.1" customHeight="1">
      <c r="A306" s="90" t="s">
        <v>310</v>
      </c>
      <c r="B306" s="133" t="str">
        <f>IF(G293="","L192",IF(G293&lt;I293,_xlfn.CONCAT("L192-",RIGHT(F293,LEN(F293) - FIND("-",F293))), _xlfn.CONCAT("L192-",RIGHT(H293,LEN(H293) - FIND("-",H293)))))</f>
        <v>L192-BERKELEY</v>
      </c>
      <c r="C306" s="155" t="s">
        <v>310</v>
      </c>
      <c r="D306" s="131" t="str">
        <f>IF(G302="","L190",IF(G302&lt;I302,_xlfn.CONCAT("L190-",RIGHT(F302,LEN(F302) - FIND("-",F302))), _xlfn.CONCAT("L190-",RIGHT(H302,LEN(H302) - FIND("-",H302)))))</f>
        <v>L190-HONOLULU A</v>
      </c>
    </row>
    <row r="307" spans="1:4" ht="14.1" customHeight="1">
      <c r="A307" s="90" t="s">
        <v>275</v>
      </c>
      <c r="B307" s="131" t="str">
        <f>IF(G287="","W191",IF(G287&gt;I287,_xlfn.CONCAT("W191-",RIGHT(F287,LEN(F287) - FIND("-",F287))), _xlfn.CONCAT("W191-",RIGHT(H287,LEN(H287) - FIND("-",H287)))))</f>
        <v>W191-NEWPORT BEACH BLUE</v>
      </c>
      <c r="C307" s="155" t="s">
        <v>275</v>
      </c>
      <c r="D307" s="132" t="str">
        <f>IF(G301="","W189",IF(G301&gt;I301,_xlfn.CONCAT("W189-",RIGHT(F301,LEN(F301) - FIND("-",F301))), _xlfn.CONCAT("W189-",RIGHT(H301,LEN(H301) - FIND("-",H301)))))</f>
        <v>W189-CC UNITED BLUE B</v>
      </c>
    </row>
    <row r="308" spans="1:4" ht="14.1" customHeight="1">
      <c r="A308" s="90" t="s">
        <v>311</v>
      </c>
      <c r="B308" s="131" t="str">
        <f>IF(G287="","L191",IF(G287&lt;I287,_xlfn.CONCAT("L191-",RIGHT(F287,LEN(F287) - FIND("-",F287))), _xlfn.CONCAT("L191-",RIGHT(H287,LEN(H287) - FIND("-",H287)))))</f>
        <v>L191-PATRIOT NAVY</v>
      </c>
      <c r="C308" s="155" t="s">
        <v>311</v>
      </c>
      <c r="D308" s="131" t="str">
        <f>IF(G301="","L189",IF(G301&lt;I301,_xlfn.CONCAT("L189-",RIGHT(F301,LEN(F301) - FIND("-",F301))), _xlfn.CONCAT("L189-",RIGHT(H301,LEN(H301) - FIND("-",H301)))))</f>
        <v>L189-CLOVIS A</v>
      </c>
    </row>
    <row r="309" spans="1:4" ht="14.1" customHeight="1">
      <c r="A309" s="90" t="s">
        <v>272</v>
      </c>
      <c r="B309" s="131" t="str">
        <f>IF(G260="","W186",IF(G260&gt;I260,_xlfn.CONCAT("W186-",RIGHT(F260,LEN(F260) - FIND("-",F260))), _xlfn.CONCAT("W186-",RIGHT(H260,LEN(H260) - FIND("-",H260)))))</f>
        <v>W186-IMPERIAL</v>
      </c>
      <c r="C309" s="155" t="s">
        <v>272</v>
      </c>
      <c r="D309" s="134" t="str">
        <f>IF(G300="","W187",IF(G300&gt;I300,_xlfn.CONCAT("W187-",RIGHT(F300,LEN(F300) - FIND("-",F300))), _xlfn.CONCAT("W187-",RIGHT(H300,LEN(H300) - FIND("-",H300)))))</f>
        <v>W187-SANTA CRUZ</v>
      </c>
    </row>
    <row r="310" spans="1:4" ht="14.1" customHeight="1">
      <c r="A310" s="90" t="s">
        <v>312</v>
      </c>
      <c r="B310" s="133" t="str">
        <f>IF(G260="","L186",IF(G260&lt;I260,_xlfn.CONCAT("L186-",RIGHT(F260,LEN(F260) - FIND("-",F260))), _xlfn.CONCAT("L186-",RIGHT(H260,LEN(H260) - FIND("-",H260)))))</f>
        <v>L186-CIU GOLD</v>
      </c>
      <c r="C310" s="155" t="s">
        <v>312</v>
      </c>
      <c r="D310" s="132" t="str">
        <f>IF(G300="","L187",IF(G300&lt;I300,_xlfn.CONCAT("L187-",RIGHT(F300,LEN(F300) - FIND("-",F300))), _xlfn.CONCAT("L187-",RIGHT(H300,LEN(H300) - FIND("-",H300)))))</f>
        <v>L187-VNITED A</v>
      </c>
    </row>
    <row r="311" spans="1:4" ht="14.1" customHeight="1">
      <c r="A311" s="90" t="s">
        <v>269</v>
      </c>
      <c r="B311" s="131" t="str">
        <f>IF(G259="","W185",IF(G259&gt;I259,_xlfn.CONCAT("W185-",RIGHT(F259,LEN(F259) - FIND("-",F259))), _xlfn.CONCAT("W185-",RIGHT(H259,LEN(H259) - FIND("-",H259)))))</f>
        <v>W185-SANTA BARBARA WPC A</v>
      </c>
      <c r="C311" s="155" t="s">
        <v>269</v>
      </c>
      <c r="D311" s="131" t="str">
        <f>IF(G299="","W188",IF(G299&gt;I299,_xlfn.CONCAT("W188-",RIGHT(F299,LEN(F299) - FIND("-",F299))), _xlfn.CONCAT("W188-",RIGHT(H299,LEN(H299) - FIND("-",H299)))))</f>
        <v>W188-AMERICAN RIVER BLUE</v>
      </c>
    </row>
    <row r="312" spans="1:4" ht="14.1" customHeight="1">
      <c r="A312" s="90" t="s">
        <v>313</v>
      </c>
      <c r="B312" s="133" t="str">
        <f>IF(G259="","L185",IF(G259&lt;I259,_xlfn.CONCAT("L185-",RIGHT(F259,LEN(F259) - FIND("-",F259))), _xlfn.CONCAT("L185-",RIGHT(H259,LEN(H259) - FIND("-",H259)))))</f>
        <v xml:space="preserve">L185-LA JOLLA UNITED NAVY	</v>
      </c>
      <c r="C312" s="155" t="s">
        <v>313</v>
      </c>
      <c r="D312" s="135" t="str">
        <f>IF(G299="","L188",IF(G299&lt;I299,_xlfn.CONCAT("L188-",RIGHT(F299,LEN(F299) - FIND("-",F299))), _xlfn.CONCAT("L188-",RIGHT(H299,LEN(H299) - FIND("-",H299)))))</f>
        <v>L188-CAPITAL</v>
      </c>
    </row>
    <row r="313" spans="1:4" ht="14.1" customHeight="1">
      <c r="A313" s="90" t="s">
        <v>281</v>
      </c>
      <c r="B313" s="131" t="str">
        <f>IF(G258="","W182",IF(G258&gt;I258,_xlfn.CONCAT("W182-",RIGHT(F258,LEN(F258) - FIND("-",F258))), _xlfn.CONCAT("W182-",RIGHT(H258,LEN(H258) - FIND("-",H258)))))</f>
        <v>W182-CC UNITED BLACK</v>
      </c>
      <c r="C313" s="155" t="s">
        <v>281</v>
      </c>
      <c r="D313" s="131" t="str">
        <f>IF(G278="","W183",IF(G278&gt;I278,_xlfn.CONCAT("W183-",RIGHT(F278,LEN(F278) - FIND("-",F278))), _xlfn.CONCAT("W183-",RIGHT(H278,LEN(H278) - FIND("-",H278)))))</f>
        <v>W183-MISSION</v>
      </c>
    </row>
    <row r="314" spans="1:4" ht="14.1" customHeight="1">
      <c r="A314" s="90" t="s">
        <v>315</v>
      </c>
      <c r="B314" s="133" t="str">
        <f>IF(G258="","L182",IF(G258&lt;I258,_xlfn.CONCAT("L182-",RIGHT(F258,LEN(F258) - FIND("-",F258))), _xlfn.CONCAT("L182-",RIGHT(H258,LEN(H258) - FIND("-",H258)))))</f>
        <v xml:space="preserve">L182-SD SHORES BLACK	</v>
      </c>
      <c r="C314" s="155" t="s">
        <v>315</v>
      </c>
      <c r="D314" s="135" t="str">
        <f>IF(G278="","L183",IF(G278&lt;I278,_xlfn.CONCAT("L183-",RIGHT(F278,LEN(F278) - FIND("-",F278))), _xlfn.CONCAT("L183-",RIGHT(H278,LEN(H278) - FIND("-",H278)))))</f>
        <v>L183-PEGASUS BLUE</v>
      </c>
    </row>
    <row r="315" spans="1:4" ht="14.1" customHeight="1">
      <c r="A315" s="90" t="s">
        <v>284</v>
      </c>
      <c r="B315" s="131" t="str">
        <f>IF(G261="","W181",IF(G261&gt;I261,_xlfn.CONCAT("W181-",RIGHT(F261,LEN(F261) - FIND("-",F261))), _xlfn.CONCAT("W181-",RIGHT(H261,LEN(H261) - FIND("-",H261)))))</f>
        <v>W181-VANGUARD BLUE</v>
      </c>
      <c r="C315" s="155" t="s">
        <v>284</v>
      </c>
      <c r="D315" s="131" t="str">
        <f>IF(G279="","W184",IF(G279&gt;I279,_xlfn.CONCAT("W184-",RIGHT(F279,LEN(F279) - FIND("-",F279))), _xlfn.CONCAT("W184-",RIGHT(H279,LEN(H279) - FIND("-",H279)))))</f>
        <v>W184-GREENWICH WHITE</v>
      </c>
    </row>
    <row r="316" spans="1:4" ht="14.1" customHeight="1">
      <c r="A316" s="90" t="s">
        <v>318</v>
      </c>
      <c r="B316" s="133" t="str">
        <f>IF(G261="","L181",IF(G261&lt;I261,_xlfn.CONCAT("L181-",RIGHT(F261,LEN(F261) - FIND("-",F261))), _xlfn.CONCAT("L181-",RIGHT(H261,LEN(H261) - FIND("-",H261)))))</f>
        <v>L181-AETOS</v>
      </c>
      <c r="C316" s="155" t="s">
        <v>318</v>
      </c>
      <c r="D316" s="134" t="str">
        <f>IF(G279="","L184",IF(G279&lt;I279,_xlfn.CONCAT("L184-",RIGHT(F279,LEN(F279) - FIND("-",F279))), _xlfn.CONCAT("L184-",RIGHT(H279,LEN(H279) - FIND("-",H279)))))</f>
        <v>L184-KERN PREMIER</v>
      </c>
    </row>
    <row r="317" spans="1:4" ht="14.1" customHeight="1">
      <c r="A317" s="90" t="s">
        <v>287</v>
      </c>
      <c r="B317" s="131" t="str">
        <f>IF(G262="","W178",IF(G262&gt;I262,_xlfn.CONCAT("W178-",RIGHT(F262,LEN(F262) - FIND("-",F262))), _xlfn.CONCAT("W178-",RIGHT(H262,LEN(H262) - FIND("-",H262)))))</f>
        <v>W178-TEXAS THUNDER BLACK</v>
      </c>
      <c r="C317" s="155" t="s">
        <v>287</v>
      </c>
      <c r="D317" s="131" t="str">
        <f>IF(G280="","W179",IF(G280&gt;I280,_xlfn.CONCAT("W179-",RIGHT(F280,LEN(F280) - FIND("-",F280))), _xlfn.CONCAT("W179-",RIGHT(H280,LEN(H280) - FIND("-",H280)))))</f>
        <v>W179-HONOLULU B</v>
      </c>
    </row>
    <row r="318" spans="1:4" ht="14.1" customHeight="1">
      <c r="A318" s="90" t="s">
        <v>319</v>
      </c>
      <c r="B318" s="133" t="str">
        <f>IF(G262="","L178",IF(G262&lt;I262,_xlfn.CONCAT("L178-",RIGHT(F262,LEN(F262) - FIND("-",F262))), _xlfn.CONCAT("L178-",RIGHT(H262,LEN(H262) - FIND("-",H262)))))</f>
        <v>L178-GREENWICH BLUE</v>
      </c>
      <c r="C318" s="155" t="s">
        <v>319</v>
      </c>
      <c r="D318" s="135" t="str">
        <f>IF(G280="","L179",IF(G280&lt;I280,_xlfn.CONCAT("L179-",RIGHT(F280,LEN(F280) - FIND("-",F280))), _xlfn.CONCAT("L179-",RIGHT(H280,LEN(H280) - FIND("-",H280)))))</f>
        <v>L179-NORTHWEST</v>
      </c>
    </row>
    <row r="319" spans="1:4" ht="14.1" customHeight="1">
      <c r="A319" s="90" t="s">
        <v>290</v>
      </c>
      <c r="B319" s="131" t="str">
        <f>IF(G263="","W177",IF(G263&gt;I263,_xlfn.CONCAT("W177-",RIGHT(F263,LEN(F263) - FIND("-",F263))), _xlfn.CONCAT("W177-",RIGHT(H263,LEN(H263) - FIND("-",H263)))))</f>
        <v>W177-TROJAN CARDINAL</v>
      </c>
      <c r="C319" s="155" t="s">
        <v>290</v>
      </c>
      <c r="D319" s="131" t="str">
        <f>IF(G281="","W180",IF(G281&gt;I281,_xlfn.CONCAT("W180-",RIGHT(F281,LEN(F281) - FIND("-",F281))), _xlfn.CONCAT("W180-",RIGHT(H281,LEN(H281) - FIND("-",H281)))))</f>
        <v>W180-NARROWS</v>
      </c>
    </row>
    <row r="320" spans="1:4" ht="14.1" customHeight="1">
      <c r="A320" s="90" t="s">
        <v>320</v>
      </c>
      <c r="B320" s="133" t="str">
        <f>IF(G263="","L177",IF(G263&lt;I263,_xlfn.CONCAT("L177-",RIGHT(F263,LEN(F263) - FIND("-",F263))), _xlfn.CONCAT("L177-",RIGHT(H263,LEN(H263) - FIND("-",H263)))))</f>
        <v>L177-LA JOLLA UNITED B</v>
      </c>
      <c r="C320" s="155" t="s">
        <v>320</v>
      </c>
      <c r="D320" s="135" t="str">
        <f>IF(G281="","L180",IF(G281&lt;I281,_xlfn.CONCAT("L180-",RIGHT(F281,LEN(F281) - FIND("-",F281))), _xlfn.CONCAT("L180-",RIGHT(H281,LEN(H281) - FIND("-",H281)))))</f>
        <v>L180-CLOVIS RED</v>
      </c>
    </row>
    <row r="321" spans="1:4" ht="14.1" customHeight="1">
      <c r="A321" s="90" t="s">
        <v>293</v>
      </c>
      <c r="B321" s="131" t="str">
        <f>IF(G271="","W170",IF(G271&gt;I271,_xlfn.CONCAT("W170-",RIGHT(F271,LEN(F271) - FIND("-",F271))), _xlfn.CONCAT("W170-",RIGHT(H271,LEN(H271) - FIND("-",H271)))))</f>
        <v>W170-LAMORINDA A</v>
      </c>
      <c r="C321" s="155" t="s">
        <v>293</v>
      </c>
      <c r="D321" s="131" t="str">
        <f>IF(G267="","W175",IF(G267&gt;I267,_xlfn.CONCAT("W175-",RIGHT(F267,LEN(F267) - FIND("-",F267))), _xlfn.CONCAT("W175-",RIGHT(H267,LEN(H267) - FIND("-",H267)))))</f>
        <v>W175-ELMHURST</v>
      </c>
    </row>
    <row r="322" spans="1:4" ht="14.1" customHeight="1">
      <c r="A322" s="90" t="s">
        <v>321</v>
      </c>
      <c r="B322" s="133" t="str">
        <f>IF(G271="","L170",IF(G271&lt;I271,_xlfn.CONCAT("L170-",RIGHT(F271,LEN(F271) - FIND("-",F271))), _xlfn.CONCAT("L170-",RIGHT(H271,LEN(H271) - FIND("-",H271)))))</f>
        <v>L170-LB SHORE RED</v>
      </c>
      <c r="C322" s="155" t="s">
        <v>321</v>
      </c>
      <c r="D322" s="135" t="str">
        <f>IF(G267="","L175",IF(G267&lt;I267,_xlfn.CONCAT("L175-",RIGHT(F267,LEN(F267) - FIND("-",F267))), _xlfn.CONCAT("L175-",RIGHT(H267,LEN(H267) - FIND("-",H267)))))</f>
        <v>L175-MIAMI RIPTIDES</v>
      </c>
    </row>
    <row r="323" spans="1:4" ht="14.1" customHeight="1">
      <c r="A323" s="90" t="s">
        <v>296</v>
      </c>
      <c r="B323" s="132" t="str">
        <f>IF(G272="","W169",IF(G272&gt;I272,_xlfn.CONCAT("W169-",RIGHT(F272,LEN(F272) - FIND("-",F272))), _xlfn.CONCAT("W169-",RIGHT(H272,LEN(H272) - FIND("-",H272)))))</f>
        <v>W169-SAN JOSE FOUNDATION</v>
      </c>
      <c r="C323" s="155" t="s">
        <v>296</v>
      </c>
      <c r="D323" s="132" t="str">
        <f>IF(G268="","W176",IF(G268&gt;I268,_xlfn.CONCAT("W176-",RIGHT(F268,LEN(F268) - FIND("-",F268))), _xlfn.CONCAT("W176-",RIGHT(H268,LEN(H268) - FIND("-",H268)))))</f>
        <v>W176-LYONS AQUATICS</v>
      </c>
    </row>
    <row r="324" spans="1:4" ht="14.1" customHeight="1">
      <c r="A324" s="102" t="s">
        <v>322</v>
      </c>
      <c r="B324" s="132" t="str">
        <f>IF(G272="","L169",IF(G272&lt;I272,_xlfn.CONCAT("L169-",RIGHT(F272,LEN(F272) - FIND("-",F272))), _xlfn.CONCAT("L169-",RIGHT(H272,LEN(H272) - FIND("-",H272)))))</f>
        <v>L169-ROSE BOWL RED</v>
      </c>
      <c r="C324" s="170" t="s">
        <v>322</v>
      </c>
      <c r="D324" s="131" t="str">
        <f>IF(G268="","L176",IF(G268&lt;I268,_xlfn.CONCAT("L176-",RIGHT(F268,LEN(F268) - FIND("-",F268))), _xlfn.CONCAT("L176-",RIGHT(H268,LEN(H268) - FIND("-",H268)))))</f>
        <v xml:space="preserve">L176-TOPAZ TSUNAMI	</v>
      </c>
    </row>
    <row r="325" spans="1:4" ht="14.1" customHeight="1">
      <c r="A325" s="102" t="s">
        <v>323</v>
      </c>
      <c r="B325" s="103" t="s">
        <v>681</v>
      </c>
      <c r="C325" s="170" t="s">
        <v>323</v>
      </c>
      <c r="D325" s="103" t="s">
        <v>682</v>
      </c>
    </row>
    <row r="326" spans="1:4" ht="14.1" customHeight="1">
      <c r="A326" s="102" t="s">
        <v>325</v>
      </c>
      <c r="B326" s="106" t="s">
        <v>683</v>
      </c>
      <c r="C326" s="170" t="s">
        <v>325</v>
      </c>
      <c r="D326" s="106" t="s">
        <v>684</v>
      </c>
    </row>
    <row r="327" spans="1:4" ht="14.1" customHeight="1">
      <c r="A327" s="102" t="s">
        <v>327</v>
      </c>
      <c r="B327" s="106" t="s">
        <v>685</v>
      </c>
      <c r="C327" s="170" t="s">
        <v>327</v>
      </c>
      <c r="D327" s="106" t="s">
        <v>686</v>
      </c>
    </row>
    <row r="328" spans="1:4" ht="14.1" customHeight="1">
      <c r="A328" s="102" t="s">
        <v>329</v>
      </c>
      <c r="B328" s="106" t="s">
        <v>687</v>
      </c>
      <c r="C328" s="170" t="s">
        <v>329</v>
      </c>
      <c r="D328" s="106" t="s">
        <v>688</v>
      </c>
    </row>
  </sheetData>
  <hyperlinks>
    <hyperlink ref="B1" r:id="rId1" xr:uid="{232ABA44-FE93-436C-AE68-1DC3BF4AE9DE}"/>
    <hyperlink ref="C1" r:id="rId2" xr:uid="{2BC5351F-A3F0-4BA9-A487-C56A762B7D59}"/>
    <hyperlink ref="E1" r:id="rId3" xr:uid="{FC93F89A-9F39-4814-B2DB-86D9FF24377C}"/>
  </hyperlinks>
  <pageMargins left="0.75" right="0.75" top="1" bottom="1" header="0.25" footer="0.5"/>
  <pageSetup fitToHeight="0" orientation="landscape" r:id="rId4"/>
  <rowBreaks count="5" manualBreakCount="5">
    <brk id="53" max="16383" man="1"/>
    <brk id="91" max="16383" man="1"/>
    <brk id="153" max="16383" man="1"/>
    <brk id="191" max="16383" man="1"/>
    <brk id="25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09FF-2AB1-4ABC-943F-32E68E5161DB}">
  <sheetPr>
    <tabColor rgb="FFCC3333"/>
    <pageSetUpPr fitToPage="1"/>
  </sheetPr>
  <dimension ref="A1:P336"/>
  <sheetViews>
    <sheetView tabSelected="1" topLeftCell="B223" zoomScale="120" zoomScaleNormal="120" workbookViewId="0">
      <selection activeCell="I243" sqref="I243"/>
    </sheetView>
  </sheetViews>
  <sheetFormatPr defaultColWidth="12.85546875" defaultRowHeight="14.1" customHeight="1"/>
  <cols>
    <col min="1" max="1" width="28.42578125" style="60" customWidth="1"/>
    <col min="2" max="2" width="37.28515625" style="60" bestFit="1" customWidth="1"/>
    <col min="3" max="3" width="38" style="60" bestFit="1" customWidth="1"/>
    <col min="4" max="4" width="41" style="60" bestFit="1" customWidth="1"/>
    <col min="5" max="5" width="32.85546875" style="60" bestFit="1" customWidth="1"/>
    <col min="6" max="6" width="39.140625" style="60" bestFit="1" customWidth="1"/>
    <col min="7" max="7" width="7.5703125" style="64" customWidth="1"/>
    <col min="8" max="8" width="41" style="60" bestFit="1" customWidth="1"/>
    <col min="9" max="9" width="6.85546875" style="64" customWidth="1"/>
    <col min="10" max="10" width="6.85546875" style="60" bestFit="1" customWidth="1"/>
    <col min="11" max="11" width="6.5703125" style="60" bestFit="1" customWidth="1"/>
    <col min="12" max="12" width="7.85546875" style="60" bestFit="1" customWidth="1"/>
    <col min="13" max="13" width="10.28515625" style="60" customWidth="1"/>
    <col min="14" max="14" width="10" style="60" bestFit="1" customWidth="1"/>
    <col min="15" max="15" width="12.85546875" style="60"/>
    <col min="16" max="16" width="2.42578125" style="60" bestFit="1" customWidth="1"/>
    <col min="17" max="16384" width="12.85546875" style="60"/>
  </cols>
  <sheetData>
    <row r="1" spans="1:12" ht="14.1" customHeight="1" thickTop="1" thickBot="1">
      <c r="A1" s="57" t="s">
        <v>68</v>
      </c>
      <c r="B1" s="52" t="s">
        <v>69</v>
      </c>
      <c r="C1" s="53" t="s">
        <v>70</v>
      </c>
      <c r="D1" s="58" t="s">
        <v>71</v>
      </c>
      <c r="E1" s="54" t="s">
        <v>72</v>
      </c>
      <c r="F1" s="147"/>
      <c r="G1" s="171"/>
      <c r="H1" s="59"/>
      <c r="I1" s="171"/>
      <c r="J1" s="59"/>
      <c r="K1" s="59"/>
      <c r="L1" s="59"/>
    </row>
    <row r="2" spans="1:12" ht="14.1" customHeight="1" thickTop="1" thickBot="1">
      <c r="A2" s="61">
        <v>46226</v>
      </c>
      <c r="D2" s="172" t="s">
        <v>689</v>
      </c>
    </row>
    <row r="3" spans="1:12" ht="14.1" customHeight="1" thickBot="1">
      <c r="D3" s="65" t="s">
        <v>74</v>
      </c>
    </row>
    <row r="4" spans="1:12" ht="14.1" customHeight="1">
      <c r="A4" s="173" t="s">
        <v>75</v>
      </c>
      <c r="B4" s="173" t="s">
        <v>76</v>
      </c>
      <c r="C4" s="173" t="s">
        <v>77</v>
      </c>
      <c r="D4" s="173" t="s">
        <v>78</v>
      </c>
      <c r="E4" s="173" t="s">
        <v>79</v>
      </c>
      <c r="F4" s="173" t="s">
        <v>80</v>
      </c>
      <c r="H4" s="66" t="s">
        <v>81</v>
      </c>
    </row>
    <row r="5" spans="1:12" ht="14.1" customHeight="1">
      <c r="A5" s="67" t="s">
        <v>690</v>
      </c>
      <c r="B5" s="67" t="s">
        <v>691</v>
      </c>
      <c r="C5" s="67" t="s">
        <v>692</v>
      </c>
      <c r="D5" s="67" t="s">
        <v>693</v>
      </c>
      <c r="E5" s="67" t="s">
        <v>694</v>
      </c>
      <c r="F5" s="67" t="s">
        <v>695</v>
      </c>
    </row>
    <row r="6" spans="1:12" ht="14.1" customHeight="1">
      <c r="A6" s="67" t="s">
        <v>696</v>
      </c>
      <c r="B6" s="67" t="s">
        <v>697</v>
      </c>
      <c r="C6" s="67" t="s">
        <v>698</v>
      </c>
      <c r="D6" s="67" t="s">
        <v>699</v>
      </c>
      <c r="E6" s="67" t="s">
        <v>700</v>
      </c>
      <c r="F6" s="67" t="s">
        <v>701</v>
      </c>
    </row>
    <row r="7" spans="1:12" ht="14.1" customHeight="1">
      <c r="A7" s="67" t="s">
        <v>702</v>
      </c>
      <c r="B7" s="67" t="s">
        <v>703</v>
      </c>
      <c r="C7" s="67" t="s">
        <v>704</v>
      </c>
      <c r="D7" s="67" t="s">
        <v>705</v>
      </c>
      <c r="E7" s="67" t="s">
        <v>706</v>
      </c>
      <c r="F7" s="67" t="s">
        <v>707</v>
      </c>
    </row>
    <row r="8" spans="1:12" ht="14.1" customHeight="1">
      <c r="A8" s="67" t="s">
        <v>708</v>
      </c>
      <c r="B8" s="67" t="s">
        <v>709</v>
      </c>
      <c r="C8" s="67" t="s">
        <v>710</v>
      </c>
      <c r="D8" s="67" t="s">
        <v>711</v>
      </c>
      <c r="E8" s="67" t="s">
        <v>712</v>
      </c>
      <c r="F8" s="67" t="s">
        <v>713</v>
      </c>
    </row>
    <row r="10" spans="1:12" ht="14.1" customHeight="1">
      <c r="A10" s="173" t="s">
        <v>100</v>
      </c>
      <c r="B10" s="173" t="s">
        <v>101</v>
      </c>
      <c r="C10" s="173" t="s">
        <v>102</v>
      </c>
      <c r="D10" s="173" t="s">
        <v>103</v>
      </c>
      <c r="E10" s="173" t="s">
        <v>104</v>
      </c>
      <c r="F10" s="173" t="s">
        <v>105</v>
      </c>
    </row>
    <row r="11" spans="1:12" ht="14.1" customHeight="1">
      <c r="A11" s="67" t="s">
        <v>714</v>
      </c>
      <c r="B11" s="67" t="s">
        <v>715</v>
      </c>
      <c r="C11" s="67" t="s">
        <v>716</v>
      </c>
      <c r="D11" s="67" t="s">
        <v>717</v>
      </c>
      <c r="E11" s="67" t="s">
        <v>718</v>
      </c>
      <c r="F11" s="67" t="s">
        <v>719</v>
      </c>
    </row>
    <row r="12" spans="1:12" ht="14.1" customHeight="1">
      <c r="A12" s="67" t="s">
        <v>720</v>
      </c>
      <c r="B12" s="67" t="s">
        <v>721</v>
      </c>
      <c r="C12" s="67" t="s">
        <v>722</v>
      </c>
      <c r="D12" s="67" t="s">
        <v>723</v>
      </c>
      <c r="E12" s="67" t="s">
        <v>724</v>
      </c>
      <c r="F12" s="67" t="s">
        <v>725</v>
      </c>
    </row>
    <row r="13" spans="1:12" ht="14.1" customHeight="1">
      <c r="A13" s="67" t="s">
        <v>620</v>
      </c>
      <c r="B13" s="67" t="s">
        <v>726</v>
      </c>
      <c r="C13" s="67" t="s">
        <v>727</v>
      </c>
      <c r="D13" s="67" t="s">
        <v>728</v>
      </c>
      <c r="E13" s="67" t="s">
        <v>729</v>
      </c>
      <c r="F13" s="67" t="s">
        <v>730</v>
      </c>
    </row>
    <row r="14" spans="1:12" ht="14.1" customHeight="1">
      <c r="A14" s="67" t="s">
        <v>731</v>
      </c>
      <c r="B14" s="67" t="s">
        <v>732</v>
      </c>
      <c r="C14" s="67" t="s">
        <v>733</v>
      </c>
      <c r="D14" s="67" t="s">
        <v>734</v>
      </c>
      <c r="E14" s="67" t="s">
        <v>735</v>
      </c>
      <c r="F14" s="67" t="s">
        <v>736</v>
      </c>
    </row>
    <row r="15" spans="1:12" ht="14.1" customHeight="1" thickBot="1">
      <c r="L15" s="60" t="s">
        <v>737</v>
      </c>
    </row>
    <row r="16" spans="1:12" ht="14.1" customHeight="1" thickBot="1">
      <c r="D16" s="65" t="str">
        <f>'CHICLETS MASTER S2'!$BB$3</f>
        <v>NORTHWOOD HS</v>
      </c>
    </row>
    <row r="17" spans="1:12" ht="14.1" customHeight="1">
      <c r="A17" s="174" t="s">
        <v>124</v>
      </c>
      <c r="B17" s="174" t="s">
        <v>125</v>
      </c>
      <c r="C17" s="174" t="s">
        <v>126</v>
      </c>
      <c r="D17" s="174" t="s">
        <v>127</v>
      </c>
      <c r="E17" s="174" t="s">
        <v>128</v>
      </c>
      <c r="F17" s="174" t="s">
        <v>129</v>
      </c>
      <c r="G17" s="175" t="s">
        <v>130</v>
      </c>
      <c r="H17" s="174" t="s">
        <v>131</v>
      </c>
      <c r="I17" s="175" t="s">
        <v>130</v>
      </c>
      <c r="J17" s="174" t="s">
        <v>132</v>
      </c>
      <c r="K17" s="174" t="s">
        <v>133</v>
      </c>
      <c r="L17" s="174" t="s">
        <v>134</v>
      </c>
    </row>
    <row r="18" spans="1:12" ht="14.1" customHeight="1">
      <c r="A18" s="69">
        <f t="shared" ref="A18:A27" si="0">$A$2</f>
        <v>46226</v>
      </c>
      <c r="B18" s="70">
        <f>'CHICLETS MASTER S2'!BA4</f>
        <v>0.29166666666666669</v>
      </c>
      <c r="C18" s="71" t="s">
        <v>218</v>
      </c>
      <c r="D18" s="119" t="str">
        <f t="shared" ref="D18:D27" si="1">$D$16</f>
        <v>NORTHWOOD HS</v>
      </c>
      <c r="E18" s="71">
        <v>1</v>
      </c>
      <c r="F18" s="71" t="str">
        <f>A5</f>
        <v>1-NEWPORT BEACH</v>
      </c>
      <c r="G18" s="73">
        <v>17</v>
      </c>
      <c r="H18" s="71" t="str">
        <f>A8</f>
        <v>48-CIU GOLD</v>
      </c>
      <c r="I18" s="73">
        <v>11</v>
      </c>
      <c r="J18" s="71">
        <v>26</v>
      </c>
      <c r="K18" s="71">
        <v>27</v>
      </c>
      <c r="L18" s="71" t="str">
        <f t="shared" ref="L18:L27" si="2">$L$15&amp;"-"&amp;TEXT(E18,"000")</f>
        <v>18B-001</v>
      </c>
    </row>
    <row r="19" spans="1:12" ht="14.1" customHeight="1">
      <c r="A19" s="69">
        <f t="shared" si="0"/>
        <v>46226</v>
      </c>
      <c r="B19" s="70">
        <f>'CHICLETS MASTER S2'!BA5</f>
        <v>0.33333333333333298</v>
      </c>
      <c r="C19" s="71" t="s">
        <v>218</v>
      </c>
      <c r="D19" s="119" t="str">
        <f t="shared" si="1"/>
        <v>NORTHWOOD HS</v>
      </c>
      <c r="E19" s="71">
        <v>6</v>
      </c>
      <c r="F19" s="71" t="str">
        <f>C5</f>
        <v>3-SD DONS</v>
      </c>
      <c r="G19" s="73">
        <v>22</v>
      </c>
      <c r="H19" s="71" t="str">
        <f>C8</f>
        <v>46-SWIFT</v>
      </c>
      <c r="I19" s="73">
        <v>4</v>
      </c>
      <c r="J19" s="71">
        <v>31</v>
      </c>
      <c r="K19" s="71">
        <v>36</v>
      </c>
      <c r="L19" s="71" t="str">
        <f t="shared" si="2"/>
        <v>18B-006</v>
      </c>
    </row>
    <row r="20" spans="1:12" ht="14.1" customHeight="1">
      <c r="A20" s="69">
        <f t="shared" si="0"/>
        <v>46226</v>
      </c>
      <c r="B20" s="70">
        <f>'CHICLETS MASTER S2'!BA6</f>
        <v>0.375</v>
      </c>
      <c r="C20" s="71" t="s">
        <v>218</v>
      </c>
      <c r="D20" s="119" t="str">
        <f t="shared" si="1"/>
        <v>NORTHWOOD HS</v>
      </c>
      <c r="E20" s="71">
        <v>11</v>
      </c>
      <c r="F20" s="71" t="str">
        <f>C6</f>
        <v>22-SAN FRANCISCO WARRIORS</v>
      </c>
      <c r="G20" s="73">
        <v>10</v>
      </c>
      <c r="H20" s="71" t="str">
        <f>C7</f>
        <v>27-VEGAS NORTH IRVINE BLACK</v>
      </c>
      <c r="I20" s="73">
        <v>13</v>
      </c>
      <c r="J20" s="71">
        <v>31</v>
      </c>
      <c r="K20" s="71">
        <v>36</v>
      </c>
      <c r="L20" s="71" t="str">
        <f t="shared" si="2"/>
        <v>18B-011</v>
      </c>
    </row>
    <row r="21" spans="1:12" ht="14.1" customHeight="1">
      <c r="A21" s="69">
        <f t="shared" si="0"/>
        <v>46226</v>
      </c>
      <c r="B21" s="70">
        <f>'CHICLETS MASTER S2'!BA7</f>
        <v>0.41666666666666702</v>
      </c>
      <c r="C21" s="71" t="s">
        <v>218</v>
      </c>
      <c r="D21" s="119" t="str">
        <f t="shared" si="1"/>
        <v>NORTHWOOD HS</v>
      </c>
      <c r="E21" s="71">
        <v>16</v>
      </c>
      <c r="F21" s="71" t="str">
        <f>D5</f>
        <v>4-CC UNITED BLACK</v>
      </c>
      <c r="G21" s="73">
        <v>23</v>
      </c>
      <c r="H21" s="71" t="str">
        <f>D8</f>
        <v>45-WOLVERINE</v>
      </c>
      <c r="I21" s="73">
        <v>5</v>
      </c>
      <c r="J21" s="71">
        <v>41</v>
      </c>
      <c r="K21" s="71">
        <v>45</v>
      </c>
      <c r="L21" s="71" t="str">
        <f t="shared" si="2"/>
        <v>18B-016</v>
      </c>
    </row>
    <row r="22" spans="1:12" ht="14.1" customHeight="1">
      <c r="A22" s="69">
        <f t="shared" si="0"/>
        <v>46226</v>
      </c>
      <c r="B22" s="70">
        <f>'CHICLETS MASTER S2'!BA8</f>
        <v>0.45833333333333298</v>
      </c>
      <c r="C22" s="71" t="s">
        <v>218</v>
      </c>
      <c r="D22" s="119" t="str">
        <f t="shared" si="1"/>
        <v>NORTHWOOD HS</v>
      </c>
      <c r="E22" s="71">
        <v>21</v>
      </c>
      <c r="F22" s="71" t="str">
        <f>D6</f>
        <v>21-CT PREMIER</v>
      </c>
      <c r="G22" s="73">
        <v>10</v>
      </c>
      <c r="H22" s="71" t="str">
        <f>D7</f>
        <v>28-LONGHORN</v>
      </c>
      <c r="I22" s="73">
        <v>8</v>
      </c>
      <c r="J22" s="71">
        <v>41</v>
      </c>
      <c r="K22" s="71">
        <v>45</v>
      </c>
      <c r="L22" s="71" t="str">
        <f t="shared" si="2"/>
        <v>18B-021</v>
      </c>
    </row>
    <row r="23" spans="1:12" ht="14.1" customHeight="1">
      <c r="A23" s="69">
        <f t="shared" si="0"/>
        <v>46226</v>
      </c>
      <c r="B23" s="70">
        <f>'CHICLETS MASTER S2'!BA9</f>
        <v>0.5</v>
      </c>
      <c r="C23" s="71" t="s">
        <v>218</v>
      </c>
      <c r="D23" s="119" t="str">
        <f t="shared" si="1"/>
        <v>NORTHWOOD HS</v>
      </c>
      <c r="E23" s="71">
        <v>26</v>
      </c>
      <c r="F23" s="71" t="str">
        <f>IF(G18="","W1",IF(G18&gt;I18,_xlfn.CONCAT("W1-",RIGHT(F18,LEN(F18) - FIND("-",F18))), _xlfn.CONCAT("W1-",RIGHT(H18,LEN(H18) - FIND("-",H18)))))</f>
        <v>W1-NEWPORT BEACH</v>
      </c>
      <c r="G23" s="73">
        <v>18</v>
      </c>
      <c r="H23" s="66" t="str">
        <f>IF(G34="","W2",IF(G34&gt;I34,_xlfn.CONCAT("W2-",RIGHT(F34,LEN(F34) - FIND("-",F34))), _xlfn.CONCAT("W2-",RIGHT(H34,LEN(H34) - FIND("-",H34)))))</f>
        <v>W2-LA PREMIER A</v>
      </c>
      <c r="I23" s="73">
        <v>10</v>
      </c>
      <c r="J23" s="71" t="s">
        <v>383</v>
      </c>
      <c r="K23" s="71">
        <v>50</v>
      </c>
      <c r="L23" s="71" t="str">
        <f t="shared" si="2"/>
        <v>18B-026</v>
      </c>
    </row>
    <row r="24" spans="1:12" ht="14.1" customHeight="1">
      <c r="A24" s="69">
        <f t="shared" si="0"/>
        <v>46226</v>
      </c>
      <c r="B24" s="70">
        <f>'CHICLETS MASTER S2'!BA10</f>
        <v>0.54166666666666696</v>
      </c>
      <c r="C24" s="71" t="s">
        <v>218</v>
      </c>
      <c r="D24" s="119" t="str">
        <f t="shared" si="1"/>
        <v>NORTHWOOD HS</v>
      </c>
      <c r="E24" s="71">
        <v>31</v>
      </c>
      <c r="F24" s="71" t="str">
        <f>IF(G19="","W6",IF(G19&gt;I19,_xlfn.CONCAT("W6-",RIGHT(F19,LEN(F19) - FIND("-",F19))), _xlfn.CONCAT("W6-",RIGHT(H19,LEN(H19) - FIND("-",H19)))))</f>
        <v>W6-SD DONS</v>
      </c>
      <c r="G24" s="73">
        <v>13</v>
      </c>
      <c r="H24" s="71" t="str">
        <f>IF(G20="","W11",IF(G20&gt;I20,_xlfn.CONCAT("W11-",RIGHT(F20,LEN(F20) - FIND("-",F20))), _xlfn.CONCAT("W11-",RIGHT(H20,LEN(H20) - FIND("-",H20)))))</f>
        <v>W11-VEGAS NORTH IRVINE BLACK</v>
      </c>
      <c r="I24" s="73">
        <v>12</v>
      </c>
      <c r="J24" s="71" t="s">
        <v>381</v>
      </c>
      <c r="K24" s="71">
        <v>56</v>
      </c>
      <c r="L24" s="71" t="str">
        <f t="shared" si="2"/>
        <v>18B-031</v>
      </c>
    </row>
    <row r="25" spans="1:12" ht="14.1" customHeight="1">
      <c r="A25" s="69">
        <f t="shared" si="0"/>
        <v>46226</v>
      </c>
      <c r="B25" s="70">
        <f>'CHICLETS MASTER S2'!BA11</f>
        <v>0.58333333333333304</v>
      </c>
      <c r="C25" s="71" t="s">
        <v>218</v>
      </c>
      <c r="D25" s="119" t="str">
        <f t="shared" si="1"/>
        <v>NORTHWOOD HS</v>
      </c>
      <c r="E25" s="71">
        <v>36</v>
      </c>
      <c r="F25" s="71" t="str">
        <f>IF(G19="","L6",IF(G19&lt;I19,_xlfn.CONCAT("L6-",RIGHT(F19,LEN(F19) - FIND("-",F19))), _xlfn.CONCAT("L6-",RIGHT(H19,LEN(H19) - FIND("-",H19)))))</f>
        <v>L6-SWIFT</v>
      </c>
      <c r="G25" s="73">
        <v>7</v>
      </c>
      <c r="H25" s="71" t="str">
        <f>IF(G20="","L11",IF(G20&lt;I20,_xlfn.CONCAT("L11-",RIGHT(F20,LEN(F20) - FIND("-",F20))), _xlfn.CONCAT("L11-",RIGHT(H20,LEN(H20) - FIND("-",H20)))))</f>
        <v>L11-SAN FRANCISCO WARRIORS</v>
      </c>
      <c r="I25" s="73">
        <v>15</v>
      </c>
      <c r="J25" s="71">
        <v>51</v>
      </c>
      <c r="K25" s="71" t="s">
        <v>382</v>
      </c>
      <c r="L25" s="71" t="str">
        <f t="shared" si="2"/>
        <v>18B-036</v>
      </c>
    </row>
    <row r="26" spans="1:12" ht="14.1" customHeight="1">
      <c r="A26" s="69">
        <f t="shared" si="0"/>
        <v>46226</v>
      </c>
      <c r="B26" s="70">
        <f>'CHICLETS MASTER S2'!BA12</f>
        <v>0.625</v>
      </c>
      <c r="C26" s="71" t="s">
        <v>218</v>
      </c>
      <c r="D26" s="119" t="str">
        <f t="shared" si="1"/>
        <v>NORTHWOOD HS</v>
      </c>
      <c r="E26" s="71">
        <v>41</v>
      </c>
      <c r="F26" s="71" t="str">
        <f>IF(G21="","W16",IF(G21&gt;I21,_xlfn.CONCAT("W16-",RIGHT(F21,LEN(F21) - FIND("-",F21))), _xlfn.CONCAT("W16-",RIGHT(H21,LEN(H21) - FIND("-",H21)))))</f>
        <v>W16-CC UNITED BLACK</v>
      </c>
      <c r="G26" s="73">
        <v>18</v>
      </c>
      <c r="H26" s="71" t="str">
        <f>IF(G22="","W21",IF(G22&gt;I22,_xlfn.CONCAT("W21-",RIGHT(F22,LEN(F22) - FIND("-",F22))), _xlfn.CONCAT("W21-",RIGHT(H22,LEN(H22) - FIND("-",H22)))))</f>
        <v>W21-CT PREMIER</v>
      </c>
      <c r="I26" s="73">
        <v>9</v>
      </c>
      <c r="J26" s="71" t="s">
        <v>387</v>
      </c>
      <c r="K26" s="71">
        <v>51</v>
      </c>
      <c r="L26" s="71" t="str">
        <f t="shared" si="2"/>
        <v>18B-041</v>
      </c>
    </row>
    <row r="27" spans="1:12" ht="14.1" customHeight="1">
      <c r="A27" s="69">
        <f t="shared" si="0"/>
        <v>46226</v>
      </c>
      <c r="B27" s="70">
        <f>'CHICLETS MASTER S2'!BA13</f>
        <v>0.66666666666666696</v>
      </c>
      <c r="C27" s="71" t="s">
        <v>218</v>
      </c>
      <c r="D27" s="119" t="str">
        <f t="shared" si="1"/>
        <v>NORTHWOOD HS</v>
      </c>
      <c r="E27" s="71">
        <v>45</v>
      </c>
      <c r="F27" s="71" t="str">
        <f>IF(G21="","L16",IF(G21&lt;I21,_xlfn.CONCAT("L16-",RIGHT(F21,LEN(F21) - FIND("-",F21))), _xlfn.CONCAT("L16-",RIGHT(H21,LEN(H21) - FIND("-",H21)))))</f>
        <v>L16-WOLVERINE</v>
      </c>
      <c r="G27" s="73">
        <v>5</v>
      </c>
      <c r="H27" s="71" t="str">
        <f>IF(G22="","L21",IF(G22&lt;I22,_xlfn.CONCAT("L21-",RIGHT(F22,LEN(F22) - FIND("-",F22))), _xlfn.CONCAT("L21-",RIGHT(H22,LEN(H22) - FIND("-",H22)))))</f>
        <v>L21-LONGHORN</v>
      </c>
      <c r="I27" s="73">
        <v>8</v>
      </c>
      <c r="J27" s="71">
        <v>56</v>
      </c>
      <c r="K27" s="71" t="s">
        <v>388</v>
      </c>
      <c r="L27" s="71" t="str">
        <f t="shared" si="2"/>
        <v>18B-045</v>
      </c>
    </row>
    <row r="28" spans="1:12" s="62" customFormat="1" ht="14.1" customHeight="1">
      <c r="A28" s="75"/>
      <c r="B28" s="60" t="s">
        <v>139</v>
      </c>
      <c r="C28" s="60"/>
      <c r="D28" s="60"/>
      <c r="E28" s="60"/>
      <c r="F28" s="60"/>
      <c r="G28" s="64"/>
      <c r="H28" s="60"/>
      <c r="I28" s="60"/>
      <c r="J28" s="60"/>
      <c r="K28" s="60"/>
      <c r="L28" s="60"/>
    </row>
    <row r="29" spans="1:12" ht="14.1" customHeight="1">
      <c r="A29" s="69">
        <f>$A$2</f>
        <v>46226</v>
      </c>
      <c r="B29" s="70">
        <f>'CHICLETS MASTER S2'!BA15</f>
        <v>0.75</v>
      </c>
      <c r="C29" s="71" t="s">
        <v>140</v>
      </c>
      <c r="D29" s="119" t="str">
        <f>$D$16</f>
        <v>NORTHWOOD HS</v>
      </c>
      <c r="E29" s="71">
        <v>51</v>
      </c>
      <c r="F29" s="71" t="str">
        <f>IF(G26="","L41",IF(G26&lt;I26,_xlfn.CONCAT("L41-",RIGHT(F26,LEN(F26) - FIND("-",F26))), _xlfn.CONCAT("L41-",RIGHT(H26,LEN(H26) - FIND("-",H26)))))</f>
        <v>L41-CT PREMIER</v>
      </c>
      <c r="G29" s="73">
        <v>5</v>
      </c>
      <c r="H29" s="71" t="str">
        <f>IF(G25="","W36",IF(G25&gt;I25,_xlfn.CONCAT("W36-",RIGHT(F25,LEN(F25) - FIND("-",F25))), _xlfn.CONCAT("W36-",RIGHT(H25,LEN(H25) - FIND("-",H25)))))</f>
        <v>W36-SAN FRANCISCO WARRIORS</v>
      </c>
      <c r="I29" s="73">
        <v>11</v>
      </c>
      <c r="J29" s="71" t="s">
        <v>155</v>
      </c>
      <c r="K29" s="71" t="s">
        <v>152</v>
      </c>
      <c r="L29" s="71" t="str">
        <f>$L$15&amp;"-"&amp;TEXT(E29,"000")</f>
        <v>18B-051</v>
      </c>
    </row>
    <row r="30" spans="1:12" ht="14.1" customHeight="1">
      <c r="A30" s="69">
        <f>$A$2</f>
        <v>46226</v>
      </c>
      <c r="B30" s="70">
        <f>'CHICLETS MASTER S2'!BA16</f>
        <v>0.79166666666666696</v>
      </c>
      <c r="C30" s="71" t="s">
        <v>140</v>
      </c>
      <c r="D30" s="119" t="str">
        <f>$D$16</f>
        <v>NORTHWOOD HS</v>
      </c>
      <c r="E30" s="71">
        <v>56</v>
      </c>
      <c r="F30" s="71" t="str">
        <f>IF(G24="","L31",IF(G24&lt;I24,_xlfn.CONCAT("L31-",RIGHT(F24,LEN(F24) - FIND("-",F24))), _xlfn.CONCAT("L31-",RIGHT(H24,LEN(H24) - FIND("-",H24)))))</f>
        <v>L31-VEGAS NORTH IRVINE BLACK</v>
      </c>
      <c r="G30" s="73">
        <v>18</v>
      </c>
      <c r="H30" s="71" t="str">
        <f>IF(G27="","W45",IF(G27&gt;I27,_xlfn.CONCAT("W45-",RIGHT(F27,LEN(F27) - FIND("-",F27))), _xlfn.CONCAT("W45-",RIGHT(H27,LEN(H27) - FIND("-",H27)))))</f>
        <v>W45-LONGHORN</v>
      </c>
      <c r="I30" s="73">
        <v>7</v>
      </c>
      <c r="J30" s="71" t="s">
        <v>151</v>
      </c>
      <c r="K30" s="71" t="s">
        <v>393</v>
      </c>
      <c r="L30" s="71" t="str">
        <f>$L$15&amp;"-"&amp;TEXT(E30,"000")</f>
        <v>18B-056</v>
      </c>
    </row>
    <row r="31" spans="1:12" ht="14.1" customHeight="1" thickBot="1">
      <c r="A31" s="98"/>
      <c r="B31" s="79"/>
    </row>
    <row r="32" spans="1:12" ht="14.1" customHeight="1" thickBot="1">
      <c r="D32" s="65" t="str">
        <f>'CHICLETS MASTER S2'!$BD$3</f>
        <v>CHAPMAN UNIVERSITY</v>
      </c>
    </row>
    <row r="33" spans="1:16" ht="14.1" customHeight="1">
      <c r="A33" s="174" t="s">
        <v>124</v>
      </c>
      <c r="B33" s="174" t="s">
        <v>125</v>
      </c>
      <c r="C33" s="174" t="s">
        <v>126</v>
      </c>
      <c r="D33" s="174" t="s">
        <v>127</v>
      </c>
      <c r="E33" s="174" t="s">
        <v>128</v>
      </c>
      <c r="F33" s="174" t="s">
        <v>129</v>
      </c>
      <c r="G33" s="175" t="s">
        <v>130</v>
      </c>
      <c r="H33" s="174" t="s">
        <v>131</v>
      </c>
      <c r="I33" s="175" t="s">
        <v>130</v>
      </c>
      <c r="J33" s="174" t="s">
        <v>132</v>
      </c>
      <c r="K33" s="174" t="s">
        <v>133</v>
      </c>
      <c r="L33" s="174" t="s">
        <v>134</v>
      </c>
    </row>
    <row r="34" spans="1:16" ht="14.1" customHeight="1">
      <c r="A34" s="69">
        <f t="shared" ref="A34:A43" si="3">$A$2</f>
        <v>46226</v>
      </c>
      <c r="B34" s="70">
        <f>'CHICLETS MASTER S2'!BA4</f>
        <v>0.29166666666666669</v>
      </c>
      <c r="C34" s="71" t="s">
        <v>218</v>
      </c>
      <c r="D34" s="119" t="str">
        <f t="shared" ref="D34:D43" si="4">$D$32</f>
        <v>CHAPMAN UNIVERSITY</v>
      </c>
      <c r="E34" s="71">
        <v>2</v>
      </c>
      <c r="F34" s="71" t="str">
        <f>A6</f>
        <v>24-AMERICAN RIVER BLUE</v>
      </c>
      <c r="G34" s="73">
        <v>5</v>
      </c>
      <c r="H34" s="71" t="str">
        <f>A7</f>
        <v>25-LA PREMIER A</v>
      </c>
      <c r="I34" s="73">
        <v>14</v>
      </c>
      <c r="J34" s="71">
        <v>26</v>
      </c>
      <c r="K34" s="71">
        <v>27</v>
      </c>
      <c r="L34" s="71" t="str">
        <f t="shared" ref="L34:L43" si="5">$L$15&amp;"-"&amp;TEXT(E34,"000")</f>
        <v>18B-002</v>
      </c>
    </row>
    <row r="35" spans="1:16" ht="14.1" customHeight="1">
      <c r="A35" s="69">
        <f t="shared" si="3"/>
        <v>46226</v>
      </c>
      <c r="B35" s="70">
        <f>'CHICLETS MASTER S2'!BA5</f>
        <v>0.33333333333333298</v>
      </c>
      <c r="C35" s="71" t="s">
        <v>218</v>
      </c>
      <c r="D35" s="119" t="str">
        <f t="shared" si="4"/>
        <v>CHAPMAN UNIVERSITY</v>
      </c>
      <c r="E35" s="71">
        <v>7</v>
      </c>
      <c r="F35" s="71" t="str">
        <f>E5</f>
        <v>5-CORONA DEL MAR</v>
      </c>
      <c r="G35" s="73">
        <v>20</v>
      </c>
      <c r="H35" s="71" t="str">
        <f>E8</f>
        <v>44-PEGASUS BLUE</v>
      </c>
      <c r="I35" s="73">
        <v>4</v>
      </c>
      <c r="J35" s="71">
        <v>32</v>
      </c>
      <c r="K35" s="71">
        <v>37</v>
      </c>
      <c r="L35" s="71" t="str">
        <f t="shared" si="5"/>
        <v>18B-007</v>
      </c>
    </row>
    <row r="36" spans="1:16" ht="14.1" customHeight="1">
      <c r="A36" s="69">
        <f t="shared" si="3"/>
        <v>46226</v>
      </c>
      <c r="B36" s="70">
        <f>'CHICLETS MASTER S2'!BA6</f>
        <v>0.375</v>
      </c>
      <c r="C36" s="71" t="s">
        <v>218</v>
      </c>
      <c r="D36" s="119" t="str">
        <f t="shared" si="4"/>
        <v>CHAPMAN UNIVERSITY</v>
      </c>
      <c r="E36" s="71">
        <v>12</v>
      </c>
      <c r="F36" s="71" t="str">
        <f>E6</f>
        <v>20-LA JOLLA UNITED A</v>
      </c>
      <c r="G36" s="73">
        <v>13</v>
      </c>
      <c r="H36" s="71" t="str">
        <f>E7</f>
        <v>29-SHAQ BLUE</v>
      </c>
      <c r="I36" s="73">
        <v>7</v>
      </c>
      <c r="J36" s="71">
        <v>32</v>
      </c>
      <c r="K36" s="71">
        <v>37</v>
      </c>
      <c r="L36" s="71" t="str">
        <f t="shared" si="5"/>
        <v>18B-012</v>
      </c>
    </row>
    <row r="37" spans="1:16" ht="14.1" customHeight="1">
      <c r="A37" s="69">
        <f t="shared" si="3"/>
        <v>46226</v>
      </c>
      <c r="B37" s="70">
        <f>'CHICLETS MASTER S2'!BA7</f>
        <v>0.41666666666666702</v>
      </c>
      <c r="C37" s="71" t="s">
        <v>218</v>
      </c>
      <c r="D37" s="119" t="str">
        <f t="shared" si="4"/>
        <v>CHAPMAN UNIVERSITY</v>
      </c>
      <c r="E37" s="71">
        <v>17</v>
      </c>
      <c r="F37" s="71" t="str">
        <f>F5</f>
        <v>6-LAMORINDA A</v>
      </c>
      <c r="G37" s="73">
        <v>20</v>
      </c>
      <c r="H37" s="71" t="str">
        <f>F8</f>
        <v>43-CHICAGO PARK</v>
      </c>
      <c r="I37" s="73">
        <v>9</v>
      </c>
      <c r="J37" s="71">
        <v>42</v>
      </c>
      <c r="K37" s="71">
        <v>46</v>
      </c>
      <c r="L37" s="71" t="str">
        <f t="shared" si="5"/>
        <v>18B-017</v>
      </c>
    </row>
    <row r="38" spans="1:16" ht="14.1" customHeight="1">
      <c r="A38" s="69">
        <f t="shared" si="3"/>
        <v>46226</v>
      </c>
      <c r="B38" s="70">
        <f>'CHICLETS MASTER S2'!BA8</f>
        <v>0.45833333333333298</v>
      </c>
      <c r="C38" s="71" t="s">
        <v>218</v>
      </c>
      <c r="D38" s="119" t="str">
        <f t="shared" si="4"/>
        <v>CHAPMAN UNIVERSITY</v>
      </c>
      <c r="E38" s="71">
        <v>22</v>
      </c>
      <c r="F38" s="71" t="str">
        <f>F6</f>
        <v>19-FOOTHILL RED A</v>
      </c>
      <c r="G38" s="73">
        <v>13</v>
      </c>
      <c r="H38" s="71" t="str">
        <f>F7</f>
        <v>30-ELMHURST</v>
      </c>
      <c r="I38" s="73">
        <v>6</v>
      </c>
      <c r="J38" s="71">
        <v>42</v>
      </c>
      <c r="K38" s="71">
        <v>46</v>
      </c>
      <c r="L38" s="71" t="str">
        <f t="shared" si="5"/>
        <v>18B-022</v>
      </c>
      <c r="P38" s="60" t="s">
        <v>738</v>
      </c>
    </row>
    <row r="39" spans="1:16" ht="14.1" customHeight="1">
      <c r="A39" s="69">
        <f t="shared" si="3"/>
        <v>46226</v>
      </c>
      <c r="B39" s="70">
        <f>'CHICLETS MASTER S2'!BA9</f>
        <v>0.5</v>
      </c>
      <c r="C39" s="71" t="s">
        <v>218</v>
      </c>
      <c r="D39" s="119" t="str">
        <f t="shared" si="4"/>
        <v>CHAPMAN UNIVERSITY</v>
      </c>
      <c r="E39" s="71">
        <v>27</v>
      </c>
      <c r="F39" s="66" t="str">
        <f>IF(G18="","L1",IF(G18&lt;I18,_xlfn.CONCAT("L1-",RIGHT(F18,LEN(F18) - FIND("-",F18))), _xlfn.CONCAT("L1-",RIGHT(H18,LEN(H18) - FIND("-",H18)))))</f>
        <v>L1-CIU GOLD</v>
      </c>
      <c r="G39" s="73">
        <v>14</v>
      </c>
      <c r="H39" s="71" t="str">
        <f>IF(G34="","L2",IF(G34&lt;I34,_xlfn.CONCAT("L2-",RIGHT(F34,LEN(F34) - FIND("-",F34))), _xlfn.CONCAT("L2-",RIGHT(H34,LEN(H34) - FIND("-",H34)))))</f>
        <v>L2-AMERICAN RIVER BLUE</v>
      </c>
      <c r="I39" s="73">
        <v>10</v>
      </c>
      <c r="J39" s="71">
        <v>49</v>
      </c>
      <c r="K39" s="71" t="s">
        <v>384</v>
      </c>
      <c r="L39" s="71" t="str">
        <f t="shared" si="5"/>
        <v>18B-027</v>
      </c>
    </row>
    <row r="40" spans="1:16" ht="14.1" customHeight="1">
      <c r="A40" s="69">
        <f t="shared" si="3"/>
        <v>46226</v>
      </c>
      <c r="B40" s="70">
        <f>'CHICLETS MASTER S2'!BA10</f>
        <v>0.54166666666666696</v>
      </c>
      <c r="C40" s="71" t="s">
        <v>218</v>
      </c>
      <c r="D40" s="119" t="str">
        <f t="shared" si="4"/>
        <v>CHAPMAN UNIVERSITY</v>
      </c>
      <c r="E40" s="71">
        <v>32</v>
      </c>
      <c r="F40" s="71" t="str">
        <f>IF(G35="","W7",IF(G35&gt;I35,_xlfn.CONCAT("W7-",RIGHT(F35,LEN(F35) - FIND("-",F35))), _xlfn.CONCAT("W7-",RIGHT(H35,LEN(H35) - FIND("-",H35)))))</f>
        <v>W7-CORONA DEL MAR</v>
      </c>
      <c r="G40" s="73">
        <v>8</v>
      </c>
      <c r="H40" s="71" t="str">
        <f>IF(G36="","W12",IF(G36&gt;I36,_xlfn.CONCAT("W12-",RIGHT(F36,LEN(F36) - FIND("-",F36))), _xlfn.CONCAT("W12-",RIGHT(H36,LEN(H36) - FIND("-",H36)))))</f>
        <v>W12-LA JOLLA UNITED A</v>
      </c>
      <c r="I40" s="73">
        <v>17</v>
      </c>
      <c r="J40" s="71" t="s">
        <v>389</v>
      </c>
      <c r="K40" s="71">
        <v>57</v>
      </c>
      <c r="L40" s="71" t="str">
        <f t="shared" si="5"/>
        <v>18B-032</v>
      </c>
    </row>
    <row r="41" spans="1:16" ht="14.1" customHeight="1">
      <c r="A41" s="69">
        <f t="shared" si="3"/>
        <v>46226</v>
      </c>
      <c r="B41" s="70">
        <f>'CHICLETS MASTER S2'!BA11</f>
        <v>0.58333333333333304</v>
      </c>
      <c r="C41" s="71" t="s">
        <v>218</v>
      </c>
      <c r="D41" s="119" t="str">
        <f t="shared" si="4"/>
        <v>CHAPMAN UNIVERSITY</v>
      </c>
      <c r="E41" s="71">
        <v>37</v>
      </c>
      <c r="F41" s="71" t="str">
        <f>IF(G35="","L7",IF(G35&lt;I35,_xlfn.CONCAT("L7-",RIGHT(F35,LEN(F35) - FIND("-",F35))), _xlfn.CONCAT("L7-",RIGHT(H35,LEN(H35) - FIND("-",H35)))))</f>
        <v>L7-PEGASUS BLUE</v>
      </c>
      <c r="G41" s="73">
        <v>8</v>
      </c>
      <c r="H41" s="71" t="str">
        <f>IF(G36="","L12",IF(G36&lt;I36,_xlfn.CONCAT("L12-",RIGHT(F36,LEN(F36) - FIND("-",F36))), _xlfn.CONCAT("L12-",RIGHT(H36,LEN(H36) - FIND("-",H36)))))</f>
        <v>L12-SHAQ BLUE</v>
      </c>
      <c r="I41" s="73">
        <v>20</v>
      </c>
      <c r="J41" s="71">
        <v>52</v>
      </c>
      <c r="K41" s="71" t="s">
        <v>390</v>
      </c>
      <c r="L41" s="71" t="str">
        <f t="shared" si="5"/>
        <v>18B-037</v>
      </c>
    </row>
    <row r="42" spans="1:16" ht="14.1" customHeight="1">
      <c r="A42" s="69">
        <f t="shared" si="3"/>
        <v>46226</v>
      </c>
      <c r="B42" s="70">
        <f>'CHICLETS MASTER S2'!BA12</f>
        <v>0.625</v>
      </c>
      <c r="C42" s="71" t="s">
        <v>218</v>
      </c>
      <c r="D42" s="119" t="str">
        <f t="shared" si="4"/>
        <v>CHAPMAN UNIVERSITY</v>
      </c>
      <c r="E42" s="71">
        <v>42</v>
      </c>
      <c r="F42" s="71" t="str">
        <f>IF(G37="","W17",IF(G37&gt;I37,_xlfn.CONCAT("W17-",RIGHT(F37,LEN(F37) - FIND("-",F37))), _xlfn.CONCAT("W17-",RIGHT(H37,LEN(H37) - FIND("-",H37)))))</f>
        <v>W17-LAMORINDA A</v>
      </c>
      <c r="G42" s="73">
        <v>20</v>
      </c>
      <c r="H42" s="71" t="str">
        <f>IF(G38="","W22",IF(G38&gt;I38,_xlfn.CONCAT("W22-",RIGHT(F38,LEN(F38) - FIND("-",F38))), _xlfn.CONCAT("W12-",RIGHT(H38,LEN(H38) - FIND("-",H38)))))</f>
        <v>W22-FOOTHILL RED A</v>
      </c>
      <c r="I42" s="73">
        <v>9</v>
      </c>
      <c r="J42" s="71" t="s">
        <v>391</v>
      </c>
      <c r="K42" s="71">
        <v>52</v>
      </c>
      <c r="L42" s="71" t="str">
        <f t="shared" si="5"/>
        <v>18B-042</v>
      </c>
    </row>
    <row r="43" spans="1:16" ht="14.1" customHeight="1">
      <c r="A43" s="69">
        <f t="shared" si="3"/>
        <v>46226</v>
      </c>
      <c r="B43" s="70">
        <f>'CHICLETS MASTER S2'!BA13</f>
        <v>0.66666666666666696</v>
      </c>
      <c r="C43" s="71" t="s">
        <v>218</v>
      </c>
      <c r="D43" s="119" t="str">
        <f t="shared" si="4"/>
        <v>CHAPMAN UNIVERSITY</v>
      </c>
      <c r="E43" s="71">
        <v>46</v>
      </c>
      <c r="F43" s="71" t="str">
        <f>IF(G37="","L17",IF(G37&lt;I37,_xlfn.CONCAT("L17-",RIGHT(F37,LEN(F37) - FIND("-",F37))), _xlfn.CONCAT("L17-",RIGHT(H37,LEN(H37) - FIND("-",H37)))))</f>
        <v>L17-CHICAGO PARK</v>
      </c>
      <c r="G43" s="73">
        <v>12</v>
      </c>
      <c r="H43" s="71" t="str">
        <f>IF(G38="","L22",IF(G38&lt;I38,_xlfn.CONCAT("L22-",RIGHT(F38,LEN(F38) - FIND("-",F38))), _xlfn.CONCAT("L22-",RIGHT(H38,LEN(H38) - FIND("-",H38)))))</f>
        <v>L22-ELMHURST</v>
      </c>
      <c r="I43" s="73">
        <v>13</v>
      </c>
      <c r="J43" s="71">
        <v>57</v>
      </c>
      <c r="K43" s="71" t="s">
        <v>392</v>
      </c>
      <c r="L43" s="71" t="str">
        <f t="shared" si="5"/>
        <v>18B-046</v>
      </c>
    </row>
    <row r="44" spans="1:16" s="62" customFormat="1" ht="14.1" customHeight="1">
      <c r="A44" s="75"/>
      <c r="B44" s="60" t="s">
        <v>139</v>
      </c>
      <c r="C44" s="60"/>
      <c r="D44" s="60"/>
      <c r="E44" s="60"/>
      <c r="F44" s="60"/>
      <c r="G44" s="64"/>
      <c r="H44" s="60"/>
      <c r="I44" s="60"/>
      <c r="J44" s="60"/>
      <c r="K44" s="60"/>
      <c r="L44" s="60"/>
    </row>
    <row r="45" spans="1:16" ht="14.1" customHeight="1">
      <c r="A45" s="69">
        <f>$A$2</f>
        <v>46226</v>
      </c>
      <c r="B45" s="70">
        <f>'CHICLETS MASTER S2'!BA15</f>
        <v>0.75</v>
      </c>
      <c r="C45" s="71" t="s">
        <v>140</v>
      </c>
      <c r="D45" s="119" t="str">
        <f>$D$32</f>
        <v>CHAPMAN UNIVERSITY</v>
      </c>
      <c r="E45" s="71">
        <v>52</v>
      </c>
      <c r="F45" s="71" t="str">
        <f>IF(G42="","L42",IF(G42&lt;I42,_xlfn.CONCAT("L42-",RIGHT(F42,LEN(F42) - FIND("-",F42))), _xlfn.CONCAT("L42-",RIGHT(H42,LEN(H42) - FIND("-",H42)))))</f>
        <v>L42-FOOTHILL RED A</v>
      </c>
      <c r="G45" s="73">
        <v>7</v>
      </c>
      <c r="H45" s="71" t="str">
        <f>IF(G41="","W37",IF(G41&gt;I41,_xlfn.CONCAT("W37-",RIGHT(F41,LEN(F41) - FIND("-",F41))), _xlfn.CONCAT("W37-",RIGHT(H41,LEN(H41) - FIND("-",H41)))))</f>
        <v>W37-SHAQ BLUE</v>
      </c>
      <c r="I45" s="73">
        <v>15</v>
      </c>
      <c r="J45" s="71" t="s">
        <v>171</v>
      </c>
      <c r="K45" s="71" t="s">
        <v>394</v>
      </c>
      <c r="L45" s="71" t="str">
        <f>$L$15&amp;"-"&amp;TEXT(E45,"000")</f>
        <v>18B-052</v>
      </c>
    </row>
    <row r="46" spans="1:16" ht="14.1" customHeight="1">
      <c r="A46" s="69">
        <f>$A$2</f>
        <v>46226</v>
      </c>
      <c r="B46" s="70">
        <f>'CHICLETS MASTER S2'!BA16</f>
        <v>0.79166666666666696</v>
      </c>
      <c r="C46" s="71" t="s">
        <v>140</v>
      </c>
      <c r="D46" s="119" t="str">
        <f>$D$32</f>
        <v>CHAPMAN UNIVERSITY</v>
      </c>
      <c r="E46" s="71">
        <v>57</v>
      </c>
      <c r="F46" s="71" t="str">
        <f>IF(G40="","L32",IF(G40&lt;I40,_xlfn.CONCAT("L32-",RIGHT(F40,LEN(F40) - FIND("-",F40))), _xlfn.CONCAT("L32-",RIGHT(H40,LEN(H40) - FIND("-",H40)))))</f>
        <v>L32-CORONA DEL MAR</v>
      </c>
      <c r="G46" s="73">
        <v>19</v>
      </c>
      <c r="H46" s="71" t="str">
        <f>IF(G43="","W46",IF(G43&gt;I43,_xlfn.CONCAT("W46-",RIGHT(F43,LEN(F43) - FIND("-",F43))), _xlfn.CONCAT("W46-",RIGHT(H43,LEN(H43) - FIND("-",H43)))))</f>
        <v>W46-ELMHURST</v>
      </c>
      <c r="I46" s="73">
        <v>10</v>
      </c>
      <c r="J46" s="71" t="s">
        <v>175</v>
      </c>
      <c r="K46" s="71" t="s">
        <v>172</v>
      </c>
      <c r="L46" s="71" t="str">
        <f>$L$15&amp;"-"&amp;TEXT(E46,"000")</f>
        <v>18B-057</v>
      </c>
    </row>
    <row r="47" spans="1:16" ht="14.1" customHeight="1" thickBot="1">
      <c r="A47" s="98"/>
      <c r="B47" s="79"/>
    </row>
    <row r="48" spans="1:16" ht="14.1" customHeight="1" thickBot="1">
      <c r="D48" s="65" t="str">
        <f>'CHICLETS MASTER S2'!$BE$3</f>
        <v>WESTMINSTER HS</v>
      </c>
    </row>
    <row r="49" spans="1:12" ht="14.1" customHeight="1">
      <c r="A49" s="174" t="s">
        <v>124</v>
      </c>
      <c r="B49" s="174" t="s">
        <v>125</v>
      </c>
      <c r="C49" s="174" t="s">
        <v>126</v>
      </c>
      <c r="D49" s="174" t="s">
        <v>127</v>
      </c>
      <c r="E49" s="174" t="s">
        <v>128</v>
      </c>
      <c r="F49" s="174" t="s">
        <v>129</v>
      </c>
      <c r="G49" s="175" t="s">
        <v>130</v>
      </c>
      <c r="H49" s="174" t="s">
        <v>131</v>
      </c>
      <c r="I49" s="175" t="s">
        <v>130</v>
      </c>
      <c r="J49" s="174" t="s">
        <v>132</v>
      </c>
      <c r="K49" s="174" t="s">
        <v>133</v>
      </c>
      <c r="L49" s="174" t="s">
        <v>134</v>
      </c>
    </row>
    <row r="50" spans="1:12" ht="14.1" customHeight="1">
      <c r="A50" s="69">
        <f t="shared" ref="A50:A71" si="6">$A$2</f>
        <v>46226</v>
      </c>
      <c r="B50" s="70">
        <f>'CHICLETS MASTER S2'!BA28</f>
        <v>0.29166666666666669</v>
      </c>
      <c r="C50" s="71" t="s">
        <v>218</v>
      </c>
      <c r="D50" s="72" t="str">
        <f t="shared" ref="D50:D59" si="7">$D$48</f>
        <v>WESTMINSTER HS</v>
      </c>
      <c r="E50" s="71">
        <v>4</v>
      </c>
      <c r="F50" s="71" t="str">
        <f>B6</f>
        <v>23-SAND CANYON BLACK</v>
      </c>
      <c r="G50" s="73">
        <v>13</v>
      </c>
      <c r="H50" s="71" t="str">
        <f>B7</f>
        <v>26-KEARNS</v>
      </c>
      <c r="I50" s="73">
        <v>5</v>
      </c>
      <c r="J50" s="71">
        <v>28</v>
      </c>
      <c r="K50" s="71">
        <v>29</v>
      </c>
      <c r="L50" s="71" t="str">
        <f t="shared" ref="L50:L59" si="8">$L$15&amp;"-"&amp;TEXT(E50,"000")</f>
        <v>18B-004</v>
      </c>
    </row>
    <row r="51" spans="1:12" ht="14.1" customHeight="1">
      <c r="A51" s="69">
        <f t="shared" si="6"/>
        <v>46226</v>
      </c>
      <c r="B51" s="70">
        <f>'CHICLETS MASTER S2'!BA29</f>
        <v>0.33333333333333298</v>
      </c>
      <c r="C51" s="94" t="s">
        <v>218</v>
      </c>
      <c r="D51" s="72" t="str">
        <f t="shared" si="7"/>
        <v>WESTMINSTER HS</v>
      </c>
      <c r="E51" s="169">
        <v>8</v>
      </c>
      <c r="F51" s="71" t="str">
        <f>A11</f>
        <v>7-SOCAL</v>
      </c>
      <c r="G51" s="73">
        <v>15</v>
      </c>
      <c r="H51" s="71" t="str">
        <f>A14</f>
        <v>42-TEXAS THUNDER SOUTH BLUE</v>
      </c>
      <c r="I51" s="73">
        <v>5</v>
      </c>
      <c r="J51" s="71">
        <v>33</v>
      </c>
      <c r="K51" s="71">
        <v>38</v>
      </c>
      <c r="L51" s="71" t="str">
        <f t="shared" si="8"/>
        <v>18B-008</v>
      </c>
    </row>
    <row r="52" spans="1:12" ht="14.1" customHeight="1">
      <c r="A52" s="69">
        <f t="shared" si="6"/>
        <v>46226</v>
      </c>
      <c r="B52" s="70">
        <f>'CHICLETS MASTER S2'!BA30</f>
        <v>0.375</v>
      </c>
      <c r="C52" s="94" t="s">
        <v>218</v>
      </c>
      <c r="D52" s="72" t="str">
        <f t="shared" si="7"/>
        <v>WESTMINSTER HS</v>
      </c>
      <c r="E52" s="169">
        <v>13</v>
      </c>
      <c r="F52" s="71" t="str">
        <f>A12</f>
        <v>18-NORCAL BLACK</v>
      </c>
      <c r="G52" s="73">
        <v>14</v>
      </c>
      <c r="H52" s="71" t="str">
        <f>A13</f>
        <v>31-CLOVIS A</v>
      </c>
      <c r="I52" s="73">
        <v>9</v>
      </c>
      <c r="J52" s="71">
        <v>33</v>
      </c>
      <c r="K52" s="71">
        <v>38</v>
      </c>
      <c r="L52" s="71" t="str">
        <f t="shared" si="8"/>
        <v>18B-013</v>
      </c>
    </row>
    <row r="53" spans="1:12" ht="14.1" customHeight="1">
      <c r="A53" s="69">
        <f t="shared" si="6"/>
        <v>46226</v>
      </c>
      <c r="B53" s="70">
        <f>'CHICLETS MASTER S2'!BA31</f>
        <v>0.41666666666666702</v>
      </c>
      <c r="C53" s="94" t="s">
        <v>218</v>
      </c>
      <c r="D53" s="72" t="str">
        <f t="shared" si="7"/>
        <v>WESTMINSTER HS</v>
      </c>
      <c r="E53" s="169">
        <v>18</v>
      </c>
      <c r="F53" s="71" t="str">
        <f>B11</f>
        <v>8-CIU SENIORS A</v>
      </c>
      <c r="G53" s="73">
        <v>24</v>
      </c>
      <c r="H53" s="71" t="str">
        <f>B14</f>
        <v>41-NIPC</v>
      </c>
      <c r="I53" s="73">
        <v>3</v>
      </c>
      <c r="J53" s="71">
        <v>43</v>
      </c>
      <c r="K53" s="71">
        <v>47</v>
      </c>
      <c r="L53" s="71" t="str">
        <f t="shared" si="8"/>
        <v>18B-018</v>
      </c>
    </row>
    <row r="54" spans="1:12" ht="14.1" customHeight="1">
      <c r="A54" s="69">
        <f t="shared" si="6"/>
        <v>46226</v>
      </c>
      <c r="B54" s="70">
        <f>'CHICLETS MASTER S2'!BA32</f>
        <v>0.45833333333333298</v>
      </c>
      <c r="C54" s="94" t="s">
        <v>218</v>
      </c>
      <c r="D54" s="72" t="str">
        <f t="shared" si="7"/>
        <v>WESTMINSTER HS</v>
      </c>
      <c r="E54" s="169">
        <v>23</v>
      </c>
      <c r="F54" s="71" t="str">
        <f>B12</f>
        <v>17-IMPERIAL BLUE</v>
      </c>
      <c r="G54" s="73">
        <v>15</v>
      </c>
      <c r="H54" s="71" t="str">
        <f>B13</f>
        <v>32-PRAETORIAN</v>
      </c>
      <c r="I54" s="73">
        <v>4</v>
      </c>
      <c r="J54" s="71">
        <v>43</v>
      </c>
      <c r="K54" s="71">
        <v>47</v>
      </c>
      <c r="L54" s="71" t="str">
        <f t="shared" si="8"/>
        <v>18B-023</v>
      </c>
    </row>
    <row r="55" spans="1:12" ht="14.1" customHeight="1">
      <c r="A55" s="69">
        <f t="shared" ref="A55:A75" si="9">$A$2</f>
        <v>46226</v>
      </c>
      <c r="B55" s="70">
        <f>'CHICLETS MASTER S2'!BA33</f>
        <v>0.5</v>
      </c>
      <c r="C55" s="71" t="s">
        <v>218</v>
      </c>
      <c r="D55" s="72" t="str">
        <f t="shared" si="7"/>
        <v>WESTMINSTER HS</v>
      </c>
      <c r="E55" s="71">
        <v>29</v>
      </c>
      <c r="F55" s="66" t="str">
        <f>IF(G66="","L3",IF(G66&lt;I66,_xlfn.CONCAT("L3-",RIGHT(F66,LEN(F66) - FIND("-",F66))), _xlfn.CONCAT("L3-",RIGHT(H66,LEN(H66) - FIND("-",H66)))))</f>
        <v>L3-SLAP</v>
      </c>
      <c r="G55" s="74">
        <v>11.4</v>
      </c>
      <c r="H55" s="71" t="str">
        <f>IF(G50="","L4",IF(G50&lt;I50,_xlfn.CONCAT("L4-",RIGHT(F50,LEN(F50) - FIND("-",F50))), _xlfn.CONCAT("L4-",RIGHT(H50,LEN(H50) - FIND("-",H50)))))</f>
        <v>L4-KEARNS</v>
      </c>
      <c r="I55" s="74">
        <v>11.5</v>
      </c>
      <c r="J55" s="71">
        <v>50</v>
      </c>
      <c r="K55" s="71" t="s">
        <v>386</v>
      </c>
      <c r="L55" s="71" t="str">
        <f>$L$15&amp;"-"&amp;TEXT(E55,"000")</f>
        <v>18B-029</v>
      </c>
    </row>
    <row r="56" spans="1:12" ht="14.1" customHeight="1">
      <c r="A56" s="69">
        <f t="shared" si="6"/>
        <v>46226</v>
      </c>
      <c r="B56" s="70">
        <f>'CHICLETS MASTER S2'!BA34</f>
        <v>0.54166666666666696</v>
      </c>
      <c r="C56" s="94" t="s">
        <v>218</v>
      </c>
      <c r="D56" s="72" t="str">
        <f t="shared" si="7"/>
        <v>WESTMINSTER HS</v>
      </c>
      <c r="E56" s="169">
        <v>33</v>
      </c>
      <c r="F56" s="71" t="str">
        <f>IF(G51="","W8",IF(G51&gt;I51,_xlfn.CONCAT("W8-",RIGHT(F51,LEN(F51) - FIND("-",F51))), _xlfn.CONCAT("W8-",RIGHT(H51,LEN(H51) - FIND("-",H51)))))</f>
        <v>W8-SOCAL</v>
      </c>
      <c r="G56" s="73">
        <v>4</v>
      </c>
      <c r="H56" s="71" t="str">
        <f>IF(G52="","W13",IF(G52&gt;I52,_xlfn.CONCAT("W13-",RIGHT(F52,LEN(F52) - FIND("-",F52))), _xlfn.CONCAT("W13-",RIGHT(H52,LEN(H52) - FIND("-",H52)))))</f>
        <v>W13-NORCAL BLACK</v>
      </c>
      <c r="I56" s="73">
        <v>11</v>
      </c>
      <c r="J56" s="71" t="s">
        <v>397</v>
      </c>
      <c r="K56" s="71">
        <v>58</v>
      </c>
      <c r="L56" s="71" t="str">
        <f t="shared" si="8"/>
        <v>18B-033</v>
      </c>
    </row>
    <row r="57" spans="1:12" ht="14.1" customHeight="1">
      <c r="A57" s="69">
        <f t="shared" si="6"/>
        <v>46226</v>
      </c>
      <c r="B57" s="70">
        <f>'CHICLETS MASTER S2'!BA35</f>
        <v>0.58333333333333304</v>
      </c>
      <c r="C57" s="94" t="s">
        <v>218</v>
      </c>
      <c r="D57" s="72" t="str">
        <f t="shared" si="7"/>
        <v>WESTMINSTER HS</v>
      </c>
      <c r="E57" s="169">
        <v>38</v>
      </c>
      <c r="F57" s="71" t="str">
        <f>IF(G51="","L8",IF(G51&lt;I51,_xlfn.CONCAT("L8-",RIGHT(F51,LEN(F51) - FIND("-",F51))), _xlfn.CONCAT("L8-",RIGHT(H51,LEN(H51) - FIND("-",H51)))))</f>
        <v>L8-TEXAS THUNDER SOUTH BLUE</v>
      </c>
      <c r="G57" s="73">
        <v>5</v>
      </c>
      <c r="H57" s="71" t="str">
        <f>IF(G52="","L13",IF(G52&lt;I52,_xlfn.CONCAT("L13-",RIGHT(F52,LEN(F52) - FIND("-",F52))), _xlfn.CONCAT("L13-",RIGHT(H52,LEN(H52) - FIND("-",H52)))))</f>
        <v>L13-CLOVIS A</v>
      </c>
      <c r="I57" s="73">
        <v>19</v>
      </c>
      <c r="J57" s="71">
        <v>53</v>
      </c>
      <c r="K57" s="71" t="s">
        <v>398</v>
      </c>
      <c r="L57" s="71" t="str">
        <f t="shared" si="8"/>
        <v>18B-038</v>
      </c>
    </row>
    <row r="58" spans="1:12" ht="14.1" customHeight="1">
      <c r="A58" s="69">
        <f t="shared" si="6"/>
        <v>46226</v>
      </c>
      <c r="B58" s="70">
        <f>'CHICLETS MASTER S2'!BA36</f>
        <v>0.625</v>
      </c>
      <c r="C58" s="94" t="s">
        <v>218</v>
      </c>
      <c r="D58" s="72" t="str">
        <f t="shared" si="7"/>
        <v>WESTMINSTER HS</v>
      </c>
      <c r="E58" s="169">
        <v>43</v>
      </c>
      <c r="F58" s="71" t="str">
        <f>IF(G53="","W18",IF(G53&gt;I53,_xlfn.CONCAT("W18-",RIGHT(F53,LEN(F53) - FIND("-",F53))), _xlfn.CONCAT("W18-",RIGHT(H53,LEN(H53) - FIND("-",H53)))))</f>
        <v>W18-CIU SENIORS A</v>
      </c>
      <c r="G58" s="73">
        <v>15</v>
      </c>
      <c r="H58" s="71" t="str">
        <f>IF(G54="","W23",IF(G54&gt;I54,_xlfn.CONCAT("W23-",RIGHT(F54,LEN(F54) - FIND("-",F54))), _xlfn.CONCAT("W23-",RIGHT(H54,LEN(H54) - FIND("-",H54)))))</f>
        <v>W23-IMPERIAL BLUE</v>
      </c>
      <c r="I58" s="73">
        <v>9</v>
      </c>
      <c r="J58" s="71" t="s">
        <v>399</v>
      </c>
      <c r="K58" s="71">
        <v>53</v>
      </c>
      <c r="L58" s="71" t="str">
        <f t="shared" si="8"/>
        <v>18B-043</v>
      </c>
    </row>
    <row r="59" spans="1:12" ht="14.1" customHeight="1">
      <c r="A59" s="69">
        <f t="shared" si="6"/>
        <v>46226</v>
      </c>
      <c r="B59" s="70">
        <f>'CHICLETS MASTER S2'!BA37</f>
        <v>0.66666666666666696</v>
      </c>
      <c r="C59" s="94" t="s">
        <v>218</v>
      </c>
      <c r="D59" s="72" t="str">
        <f t="shared" si="7"/>
        <v>WESTMINSTER HS</v>
      </c>
      <c r="E59" s="169">
        <v>47</v>
      </c>
      <c r="F59" s="71" t="str">
        <f>IF(G53="","L18",IF(G53&lt;I53,_xlfn.CONCAT("L18-",RIGHT(F53,LEN(F53) - FIND("-",F53))), _xlfn.CONCAT("L18-",RIGHT(H53,LEN(H53) - FIND("-",H53)))))</f>
        <v>L18-NIPC</v>
      </c>
      <c r="G59" s="73">
        <v>11</v>
      </c>
      <c r="H59" s="71" t="str">
        <f>IF(G54="","L23",IF(G54&lt;I54,_xlfn.CONCAT("L23-",RIGHT(F54,LEN(F54) - FIND("-",F54))), _xlfn.CONCAT("L23-",RIGHT(H54,LEN(H54) - FIND("-",H54)))))</f>
        <v>L23-PRAETORIAN</v>
      </c>
      <c r="I59" s="73">
        <v>20</v>
      </c>
      <c r="J59" s="71">
        <v>58</v>
      </c>
      <c r="K59" s="71" t="s">
        <v>400</v>
      </c>
      <c r="L59" s="71" t="str">
        <f t="shared" si="8"/>
        <v>18B-047</v>
      </c>
    </row>
    <row r="60" spans="1:12" s="62" customFormat="1" ht="14.1" customHeight="1">
      <c r="A60" s="75"/>
      <c r="B60" s="60" t="s">
        <v>139</v>
      </c>
      <c r="C60" s="60"/>
      <c r="D60" s="60"/>
      <c r="E60" s="60"/>
      <c r="F60" s="60"/>
      <c r="G60" s="64"/>
      <c r="H60" s="60"/>
      <c r="I60" s="60"/>
      <c r="J60" s="60"/>
      <c r="K60" s="60"/>
      <c r="L60" s="60"/>
    </row>
    <row r="61" spans="1:12" ht="14.1" customHeight="1">
      <c r="A61" s="69">
        <f>$A$2</f>
        <v>46226</v>
      </c>
      <c r="B61" s="70">
        <f>'CHICLETS MASTER S2'!BA39</f>
        <v>0.75</v>
      </c>
      <c r="C61" s="94" t="s">
        <v>140</v>
      </c>
      <c r="D61" s="72" t="str">
        <f>$D$48</f>
        <v>WESTMINSTER HS</v>
      </c>
      <c r="E61" s="169">
        <v>53</v>
      </c>
      <c r="F61" s="71" t="str">
        <f>IF(G58="","L43",IF(G58&lt;I58,_xlfn.CONCAT("L43-",RIGHT(F58,LEN(F58) - FIND("-",F58))), _xlfn.CONCAT("L43-",RIGHT(H58,LEN(H58) - FIND("-",H58)))))</f>
        <v>L43-IMPERIAL BLUE</v>
      </c>
      <c r="G61" s="73">
        <v>15</v>
      </c>
      <c r="H61" s="71" t="str">
        <f>IF(G57="","W38",IF(G57&gt;I57,_xlfn.CONCAT("W38-",RIGHT(F57,LEN(F57) - FIND("-",F57))), _xlfn.CONCAT("W38-",RIGHT(H57,LEN(H57) - FIND("-",H57)))))</f>
        <v>W38-CLOVIS A</v>
      </c>
      <c r="I61" s="73">
        <v>11</v>
      </c>
      <c r="J61" s="71" t="s">
        <v>163</v>
      </c>
      <c r="K61" s="71" t="s">
        <v>164</v>
      </c>
      <c r="L61" s="71" t="str">
        <f>$L$15&amp;"-"&amp;TEXT(E61,"000")</f>
        <v>18B-053</v>
      </c>
    </row>
    <row r="62" spans="1:12" ht="14.1" customHeight="1">
      <c r="A62" s="69">
        <f>$A$2</f>
        <v>46226</v>
      </c>
      <c r="B62" s="70">
        <f>'CHICLETS MASTER S2'!BA40</f>
        <v>0.79166666666666696</v>
      </c>
      <c r="C62" s="94" t="s">
        <v>140</v>
      </c>
      <c r="D62" s="72" t="str">
        <f>$D$48</f>
        <v>WESTMINSTER HS</v>
      </c>
      <c r="E62" s="169">
        <v>58</v>
      </c>
      <c r="F62" s="71" t="str">
        <f>IF(G56="","L33",IF(G56&lt;I56,_xlfn.CONCAT("L33-",RIGHT(F56,LEN(F56) - FIND("-",F56))), _xlfn.CONCAT("L33-",RIGHT(H56,LEN(H56) - FIND("-",H56)))))</f>
        <v>L33-SOCAL</v>
      </c>
      <c r="G62" s="73">
        <v>12</v>
      </c>
      <c r="H62" s="71" t="str">
        <f>IF(G59="","W47",IF(G59&gt;I59,_xlfn.CONCAT("W47-",RIGHT(F59,LEN(F59) - FIND("-",F59))), _xlfn.CONCAT("W47-",RIGHT(H59,LEN(H59) - FIND("-",H59)))))</f>
        <v>W47-PRAETORIAN</v>
      </c>
      <c r="I62" s="73">
        <v>10</v>
      </c>
      <c r="J62" s="71" t="s">
        <v>167</v>
      </c>
      <c r="K62" s="71" t="s">
        <v>168</v>
      </c>
      <c r="L62" s="71" t="str">
        <f>$L$15&amp;"-"&amp;TEXT(E62,"000")</f>
        <v>18B-058</v>
      </c>
    </row>
    <row r="63" spans="1:12" ht="14.1" customHeight="1" thickBot="1">
      <c r="A63" s="69"/>
      <c r="G63" s="60"/>
      <c r="I63" s="60"/>
    </row>
    <row r="64" spans="1:12" ht="14.1" customHeight="1" thickBot="1">
      <c r="D64" s="65" t="str">
        <f>'CHICLETS MASTER S2'!$BC$3</f>
        <v>JSERRA CHS</v>
      </c>
    </row>
    <row r="65" spans="1:14" ht="14.1" customHeight="1">
      <c r="A65" s="174" t="s">
        <v>124</v>
      </c>
      <c r="B65" s="174" t="s">
        <v>125</v>
      </c>
      <c r="C65" s="174" t="s">
        <v>126</v>
      </c>
      <c r="D65" s="174" t="s">
        <v>127</v>
      </c>
      <c r="E65" s="174" t="s">
        <v>128</v>
      </c>
      <c r="F65" s="174" t="s">
        <v>129</v>
      </c>
      <c r="G65" s="175" t="s">
        <v>130</v>
      </c>
      <c r="H65" s="174" t="s">
        <v>131</v>
      </c>
      <c r="I65" s="175" t="s">
        <v>130</v>
      </c>
      <c r="J65" s="174" t="s">
        <v>132</v>
      </c>
      <c r="K65" s="174" t="s">
        <v>133</v>
      </c>
      <c r="L65" s="174" t="s">
        <v>134</v>
      </c>
    </row>
    <row r="66" spans="1:14" ht="14.1" customHeight="1">
      <c r="A66" s="69">
        <f t="shared" si="9"/>
        <v>46226</v>
      </c>
      <c r="B66" s="70">
        <f>'CHICLETS MASTER S2'!BA28</f>
        <v>0.29166666666666669</v>
      </c>
      <c r="C66" s="94" t="s">
        <v>218</v>
      </c>
      <c r="D66" s="72" t="str">
        <f t="shared" ref="D66:D75" si="10">$D$64</f>
        <v>JSERRA CHS</v>
      </c>
      <c r="E66" s="169">
        <v>3</v>
      </c>
      <c r="F66" s="71" t="str">
        <f>B5</f>
        <v>2-MISSION</v>
      </c>
      <c r="G66" s="73">
        <v>15</v>
      </c>
      <c r="H66" s="71" t="str">
        <f>B8</f>
        <v>47-SLAP</v>
      </c>
      <c r="I66" s="73">
        <v>6</v>
      </c>
      <c r="J66" s="71">
        <v>28</v>
      </c>
      <c r="K66" s="71">
        <v>29</v>
      </c>
      <c r="L66" s="71" t="str">
        <f t="shared" ref="L66:L75" si="11">$L$15&amp;"-"&amp;TEXT(E66,"000")</f>
        <v>18B-003</v>
      </c>
    </row>
    <row r="67" spans="1:14" ht="14.1" customHeight="1">
      <c r="A67" s="69">
        <f t="shared" si="9"/>
        <v>46226</v>
      </c>
      <c r="B67" s="70">
        <f>'CHICLETS MASTER S2'!BA29</f>
        <v>0.33333333333333298</v>
      </c>
      <c r="C67" s="71" t="s">
        <v>218</v>
      </c>
      <c r="D67" s="72" t="str">
        <f t="shared" si="10"/>
        <v>JSERRA CHS</v>
      </c>
      <c r="E67" s="71">
        <v>9</v>
      </c>
      <c r="F67" s="71" t="str">
        <f>C11</f>
        <v>9-STANFORD RED</v>
      </c>
      <c r="G67" s="73">
        <v>26</v>
      </c>
      <c r="H67" s="71" t="str">
        <f>C14</f>
        <v>40-PUGET SOUND</v>
      </c>
      <c r="I67" s="73">
        <v>7</v>
      </c>
      <c r="J67" s="71">
        <v>34</v>
      </c>
      <c r="K67" s="71">
        <v>39</v>
      </c>
      <c r="L67" s="71" t="str">
        <f t="shared" si="11"/>
        <v>18B-009</v>
      </c>
    </row>
    <row r="68" spans="1:14" ht="14.1" customHeight="1">
      <c r="A68" s="69">
        <f t="shared" si="9"/>
        <v>46226</v>
      </c>
      <c r="B68" s="70">
        <f>'CHICLETS MASTER S2'!BA30</f>
        <v>0.375</v>
      </c>
      <c r="C68" s="71" t="s">
        <v>218</v>
      </c>
      <c r="D68" s="72" t="str">
        <f t="shared" si="10"/>
        <v>JSERRA CHS</v>
      </c>
      <c r="E68" s="71">
        <v>14</v>
      </c>
      <c r="F68" s="71" t="str">
        <f>C12</f>
        <v>16-DIABLO ALLIANCE A</v>
      </c>
      <c r="G68" s="176">
        <v>17</v>
      </c>
      <c r="H68" s="177" t="str">
        <f>C13</f>
        <v>33-WCAC UNITED</v>
      </c>
      <c r="I68" s="73">
        <v>14</v>
      </c>
      <c r="J68" s="71">
        <v>34</v>
      </c>
      <c r="K68" s="71">
        <v>39</v>
      </c>
      <c r="L68" s="71" t="str">
        <f t="shared" si="11"/>
        <v>18B-014</v>
      </c>
    </row>
    <row r="69" spans="1:14" ht="14.1" customHeight="1">
      <c r="A69" s="69">
        <f t="shared" si="9"/>
        <v>46226</v>
      </c>
      <c r="B69" s="70">
        <f>'CHICLETS MASTER S2'!BA31</f>
        <v>0.41666666666666702</v>
      </c>
      <c r="C69" s="71" t="s">
        <v>218</v>
      </c>
      <c r="D69" s="72" t="str">
        <f t="shared" si="10"/>
        <v>JSERRA CHS</v>
      </c>
      <c r="E69" s="71">
        <v>19</v>
      </c>
      <c r="F69" s="94" t="str">
        <f>D11</f>
        <v>10-TROJAN CARDINAL</v>
      </c>
      <c r="G69" s="178">
        <v>19</v>
      </c>
      <c r="H69" s="179" t="str">
        <f>D14</f>
        <v>39-VNITED</v>
      </c>
      <c r="I69" s="180">
        <v>6</v>
      </c>
      <c r="J69" s="71">
        <v>44</v>
      </c>
      <c r="K69" s="71">
        <v>48</v>
      </c>
      <c r="L69" s="71" t="str">
        <f t="shared" si="11"/>
        <v>18B-019</v>
      </c>
    </row>
    <row r="70" spans="1:14" ht="14.1" customHeight="1">
      <c r="A70" s="69">
        <f t="shared" si="9"/>
        <v>46226</v>
      </c>
      <c r="B70" s="70">
        <f>'CHICLETS MASTER S2'!BA32</f>
        <v>0.45833333333333298</v>
      </c>
      <c r="C70" s="71" t="s">
        <v>218</v>
      </c>
      <c r="D70" s="72" t="str">
        <f t="shared" si="10"/>
        <v>JSERRA CHS</v>
      </c>
      <c r="E70" s="71">
        <v>24</v>
      </c>
      <c r="F70" s="71" t="str">
        <f>D12</f>
        <v>15-SD SHORES BLACK</v>
      </c>
      <c r="G70" s="181">
        <v>24</v>
      </c>
      <c r="H70" s="182" t="str">
        <f>D13</f>
        <v>34-PUNAHOU</v>
      </c>
      <c r="I70" s="73">
        <v>8</v>
      </c>
      <c r="J70" s="71">
        <v>44</v>
      </c>
      <c r="K70" s="71">
        <v>48</v>
      </c>
      <c r="L70" s="71" t="str">
        <f t="shared" si="11"/>
        <v>18B-024</v>
      </c>
    </row>
    <row r="71" spans="1:14" ht="14.1" customHeight="1">
      <c r="A71" s="69">
        <f t="shared" si="6"/>
        <v>46226</v>
      </c>
      <c r="B71" s="70">
        <f>'CHICLETS MASTER S2'!BA33</f>
        <v>0.5</v>
      </c>
      <c r="C71" s="94" t="s">
        <v>218</v>
      </c>
      <c r="D71" s="72" t="str">
        <f t="shared" si="10"/>
        <v>JSERRA CHS</v>
      </c>
      <c r="E71" s="169">
        <v>28</v>
      </c>
      <c r="F71" s="71" t="str">
        <f>IF(G66="","W3",IF(G66&gt;I66,_xlfn.CONCAT("W3-",RIGHT(F66,LEN(F66) - FIND("-",F66))), _xlfn.CONCAT("W3-",RIGHT(H66,LEN(H66) - FIND("-",H66)))))</f>
        <v>W3-MISSION</v>
      </c>
      <c r="G71" s="73">
        <v>14</v>
      </c>
      <c r="H71" s="66" t="str">
        <f>IF(G50="","W4",IF(G50&gt;I50,_xlfn.CONCAT("W4-",RIGHT(F50,LEN(F50) - FIND("-",F50))), _xlfn.CONCAT("W4-",RIGHT(H50,LEN(H50) - FIND("-",H50)))))</f>
        <v>W4-SAND CANYON BLACK</v>
      </c>
      <c r="I71" s="73">
        <v>12</v>
      </c>
      <c r="J71" s="71" t="s">
        <v>385</v>
      </c>
      <c r="K71" s="71">
        <v>49</v>
      </c>
      <c r="L71" s="71" t="str">
        <f>$L$15&amp;"-"&amp;TEXT(E71,"000")</f>
        <v>18B-028</v>
      </c>
      <c r="N71" s="183" t="s">
        <v>739</v>
      </c>
    </row>
    <row r="72" spans="1:14" ht="14.1" customHeight="1">
      <c r="A72" s="69">
        <f t="shared" si="9"/>
        <v>46226</v>
      </c>
      <c r="B72" s="70">
        <f>'CHICLETS MASTER S2'!BA34</f>
        <v>0.54166666666666696</v>
      </c>
      <c r="C72" s="71" t="s">
        <v>218</v>
      </c>
      <c r="D72" s="72" t="str">
        <f t="shared" si="10"/>
        <v>JSERRA CHS</v>
      </c>
      <c r="E72" s="71">
        <v>34</v>
      </c>
      <c r="F72" s="71" t="str">
        <f>IF(G67="","W9",IF(G67&gt;I67,_xlfn.CONCAT("W9-",RIGHT(F67,LEN(F67) - FIND("-",F67))), _xlfn.CONCAT("W9-",RIGHT(H67,LEN(H67) - FIND("-",H67)))))</f>
        <v>W9-STANFORD RED</v>
      </c>
      <c r="G72" s="73">
        <v>13</v>
      </c>
      <c r="H72" s="71" t="str">
        <f>IF(G68="","W14",IF(G68&gt;I68,_xlfn.CONCAT("W14-",RIGHT(F68,LEN(F68) - FIND("-",F68))), _xlfn.CONCAT("W14-",RIGHT(H68,LEN(H68) - FIND("-",H68)))))</f>
        <v>W14-DIABLO ALLIANCE A</v>
      </c>
      <c r="I72" s="73">
        <v>7</v>
      </c>
      <c r="J72" s="71" t="s">
        <v>395</v>
      </c>
      <c r="K72" s="71">
        <v>59</v>
      </c>
      <c r="L72" s="71" t="str">
        <f t="shared" si="11"/>
        <v>18B-034</v>
      </c>
    </row>
    <row r="73" spans="1:14" ht="14.1" customHeight="1">
      <c r="A73" s="69">
        <f t="shared" si="9"/>
        <v>46226</v>
      </c>
      <c r="B73" s="70">
        <f>'CHICLETS MASTER S2'!BA35</f>
        <v>0.58333333333333304</v>
      </c>
      <c r="C73" s="71" t="s">
        <v>218</v>
      </c>
      <c r="D73" s="72" t="str">
        <f t="shared" si="10"/>
        <v>JSERRA CHS</v>
      </c>
      <c r="E73" s="71">
        <v>39</v>
      </c>
      <c r="F73" s="71" t="str">
        <f>IF(G67="","L9",IF(G67&lt;I67,_xlfn.CONCAT("L9-",RIGHT(F67,LEN(F67) - FIND("-",F67))), _xlfn.CONCAT("L9-",RIGHT(H67,LEN(H67) - FIND("-",H67)))))</f>
        <v>L9-PUGET SOUND</v>
      </c>
      <c r="G73" s="73">
        <v>16</v>
      </c>
      <c r="H73" s="71" t="str">
        <f>IF(G68="","L14",IF(G68&lt;I68,_xlfn.CONCAT("L14-",RIGHT(F68,LEN(F68) - FIND("-",F68))), _xlfn.CONCAT("L14-",RIGHT(H68,LEN(H68) - FIND("-",H68)))))</f>
        <v>L14-WCAC UNITED</v>
      </c>
      <c r="I73" s="73">
        <v>18</v>
      </c>
      <c r="J73" s="71">
        <v>54</v>
      </c>
      <c r="K73" s="71" t="s">
        <v>396</v>
      </c>
      <c r="L73" s="71" t="str">
        <f t="shared" si="11"/>
        <v>18B-039</v>
      </c>
    </row>
    <row r="74" spans="1:14" ht="14.1" customHeight="1">
      <c r="A74" s="69">
        <f t="shared" si="9"/>
        <v>46226</v>
      </c>
      <c r="B74" s="70">
        <f>'CHICLETS MASTER S2'!BA36</f>
        <v>0.625</v>
      </c>
      <c r="C74" s="71" t="s">
        <v>218</v>
      </c>
      <c r="D74" s="72" t="str">
        <f t="shared" si="10"/>
        <v>JSERRA CHS</v>
      </c>
      <c r="E74" s="71">
        <v>44</v>
      </c>
      <c r="F74" s="71" t="str">
        <f>IF(G69="","W19",IF(G69&gt;I69,_xlfn.CONCAT("W19-",RIGHT(F69,LEN(F69) - FIND("-",F69))), _xlfn.CONCAT("W19-",RIGHT(H69,LEN(H69) - FIND("-",H69)))))</f>
        <v>W19-TROJAN CARDINAL</v>
      </c>
      <c r="G74" s="73">
        <v>7</v>
      </c>
      <c r="H74" s="71" t="str">
        <f>IF(G70="","W24",IF(G70&gt;I70,_xlfn.CONCAT("W24-",RIGHT(F70,LEN(F70) - FIND("-",F70))), _xlfn.CONCAT("W24-",RIGHT(H70,LEN(H70) - FIND("-",H70)))))</f>
        <v>W24-SD SHORES BLACK</v>
      </c>
      <c r="I74" s="73">
        <v>13</v>
      </c>
      <c r="J74" s="71" t="s">
        <v>401</v>
      </c>
      <c r="K74" s="71">
        <v>54</v>
      </c>
      <c r="L74" s="71" t="str">
        <f t="shared" si="11"/>
        <v>18B-044</v>
      </c>
    </row>
    <row r="75" spans="1:14" ht="14.1" customHeight="1">
      <c r="A75" s="69">
        <f t="shared" si="9"/>
        <v>46226</v>
      </c>
      <c r="B75" s="70">
        <f>'CHICLETS MASTER S2'!BA37</f>
        <v>0.66666666666666696</v>
      </c>
      <c r="C75" s="71" t="s">
        <v>218</v>
      </c>
      <c r="D75" s="72" t="str">
        <f t="shared" si="10"/>
        <v>JSERRA CHS</v>
      </c>
      <c r="E75" s="71">
        <v>48</v>
      </c>
      <c r="F75" s="71" t="str">
        <f>IF(G69="","L19",IF(G69&lt;I69,_xlfn.CONCAT("L19-",RIGHT(F69,LEN(F69) - FIND("-",F69))), _xlfn.CONCAT("L19-",RIGHT(H69,LEN(H69) - FIND("-",H69)))))</f>
        <v>L19-VNITED</v>
      </c>
      <c r="G75" s="73">
        <v>13</v>
      </c>
      <c r="H75" s="71" t="str">
        <f>IF(G70="","L24",IF(G70&lt;I70,_xlfn.CONCAT("L24-",RIGHT(F70,LEN(F70) - FIND("-",F70))), _xlfn.CONCAT("L24-",RIGHT(H70,LEN(H70) - FIND("-",H70)))))</f>
        <v>L24-PUNAHOU</v>
      </c>
      <c r="I75" s="73">
        <v>9</v>
      </c>
      <c r="J75" s="71">
        <v>59</v>
      </c>
      <c r="K75" s="71" t="s">
        <v>402</v>
      </c>
      <c r="L75" s="71" t="str">
        <f t="shared" si="11"/>
        <v>18B-048</v>
      </c>
    </row>
    <row r="76" spans="1:14" ht="14.1" customHeight="1">
      <c r="A76" s="69"/>
      <c r="B76" s="60" t="s">
        <v>139</v>
      </c>
      <c r="C76" s="71"/>
      <c r="D76" s="72"/>
      <c r="E76" s="71"/>
      <c r="F76" s="71"/>
      <c r="G76" s="73"/>
      <c r="H76" s="71"/>
      <c r="I76" s="73"/>
      <c r="J76" s="71"/>
      <c r="K76" s="71"/>
      <c r="L76" s="71"/>
    </row>
    <row r="77" spans="1:14" ht="14.1" customHeight="1">
      <c r="A77" s="69">
        <f>$A$2</f>
        <v>46226</v>
      </c>
      <c r="B77" s="70">
        <f>'CHICLETS MASTER S2'!BA39</f>
        <v>0.75</v>
      </c>
      <c r="C77" s="71" t="s">
        <v>140</v>
      </c>
      <c r="D77" s="72" t="str">
        <f>$D$64</f>
        <v>JSERRA CHS</v>
      </c>
      <c r="E77" s="71">
        <v>54</v>
      </c>
      <c r="F77" s="71" t="str">
        <f>IF(G74="","L44",IF(G74&lt;I74,_xlfn.CONCAT("L44-",RIGHT(F74,LEN(F74) - FIND("-",F74))), _xlfn.CONCAT("L44-",RIGHT(H74,LEN(H74) - FIND("-",H74)))))</f>
        <v>L44-TROJAN CARDINAL</v>
      </c>
      <c r="G77" s="73">
        <v>17</v>
      </c>
      <c r="H77" s="71" t="str">
        <f>IF(G73="","W39",IF(G73&gt;I73,_xlfn.CONCAT("W39-",RIGHT(F73,LEN(F73) - FIND("-",F73))), _xlfn.CONCAT("W39-",RIGHT(H73,LEN(H73) - FIND("-",H73)))))</f>
        <v>W39-WCAC UNITED</v>
      </c>
      <c r="I77" s="73">
        <v>5</v>
      </c>
      <c r="J77" s="71" t="s">
        <v>190</v>
      </c>
      <c r="K77" s="71" t="s">
        <v>191</v>
      </c>
      <c r="L77" s="71" t="str">
        <f>$L$15&amp;"-"&amp;TEXT(E77,"000")</f>
        <v>18B-054</v>
      </c>
    </row>
    <row r="78" spans="1:14" ht="14.1" customHeight="1">
      <c r="A78" s="69">
        <f>$A$2</f>
        <v>46226</v>
      </c>
      <c r="B78" s="70">
        <f>'CHICLETS MASTER S2'!BA40</f>
        <v>0.79166666666666696</v>
      </c>
      <c r="C78" s="71" t="s">
        <v>140</v>
      </c>
      <c r="D78" s="72" t="str">
        <f>$D$64</f>
        <v>JSERRA CHS</v>
      </c>
      <c r="E78" s="71">
        <v>59</v>
      </c>
      <c r="F78" s="71" t="str">
        <f>IF(G72="","L34",IF(G72&lt;I72,_xlfn.CONCAT("L34-",RIGHT(F72,LEN(F72) - FIND("-",F72))), _xlfn.CONCAT("L34-",RIGHT(H72,LEN(H72) - FIND("-",H72)))))</f>
        <v>L34-DIABLO ALLIANCE A</v>
      </c>
      <c r="G78" s="73">
        <v>16</v>
      </c>
      <c r="H78" s="71" t="str">
        <f>IF(G75="","W48",IF(G75&gt;I75,_xlfn.CONCAT("W48-",RIGHT(F75,LEN(F75) - FIND("-",F75))), _xlfn.CONCAT("W48-",RIGHT(H75,LEN(H75) - FIND("-",H75)))))</f>
        <v>W48-VNITED</v>
      </c>
      <c r="I78" s="73">
        <v>8</v>
      </c>
      <c r="J78" s="71" t="s">
        <v>186</v>
      </c>
      <c r="K78" s="71" t="s">
        <v>187</v>
      </c>
      <c r="L78" s="71" t="str">
        <f>$L$15&amp;"-"&amp;TEXT(E78,"000")</f>
        <v>18B-059</v>
      </c>
    </row>
    <row r="79" spans="1:14" ht="14.1" customHeight="1" thickBot="1">
      <c r="A79" s="98"/>
    </row>
    <row r="80" spans="1:14" ht="14.1" customHeight="1" thickBot="1">
      <c r="D80" s="65" t="str">
        <f>'CHICLETS MASTER S2'!$BF$3</f>
        <v>MARINA HS</v>
      </c>
    </row>
    <row r="81" spans="1:12" ht="14.1" customHeight="1">
      <c r="A81" s="174" t="s">
        <v>124</v>
      </c>
      <c r="B81" s="174" t="s">
        <v>125</v>
      </c>
      <c r="C81" s="174" t="s">
        <v>126</v>
      </c>
      <c r="D81" s="174" t="s">
        <v>127</v>
      </c>
      <c r="E81" s="174" t="s">
        <v>128</v>
      </c>
      <c r="F81" s="174" t="s">
        <v>129</v>
      </c>
      <c r="G81" s="175" t="s">
        <v>130</v>
      </c>
      <c r="H81" s="174" t="s">
        <v>131</v>
      </c>
      <c r="I81" s="175" t="s">
        <v>130</v>
      </c>
      <c r="J81" s="174" t="s">
        <v>132</v>
      </c>
      <c r="K81" s="174" t="s">
        <v>133</v>
      </c>
      <c r="L81" s="174" t="s">
        <v>134</v>
      </c>
    </row>
    <row r="82" spans="1:12" ht="14.1" customHeight="1">
      <c r="A82" s="69">
        <f t="shared" ref="A82:A89" si="12">$A$2</f>
        <v>46226</v>
      </c>
      <c r="B82" s="70">
        <f>'CHICLETS MASTER S2'!BA28</f>
        <v>0.29166666666666669</v>
      </c>
      <c r="C82" s="71" t="s">
        <v>218</v>
      </c>
      <c r="D82" s="119" t="str">
        <f t="shared" ref="D82:D89" si="13">$D$80</f>
        <v>MARINA HS</v>
      </c>
      <c r="E82" s="71">
        <v>5</v>
      </c>
      <c r="F82" s="71" t="str">
        <f>E11</f>
        <v>11-GREENWICH</v>
      </c>
      <c r="G82" s="73">
        <v>20</v>
      </c>
      <c r="H82" s="71" t="str">
        <f>E14</f>
        <v>38-TEXAS THUNDER NORTH BLACK</v>
      </c>
      <c r="I82" s="73">
        <v>6</v>
      </c>
      <c r="J82" s="71">
        <v>25</v>
      </c>
      <c r="K82" s="71">
        <v>30</v>
      </c>
      <c r="L82" s="71" t="str">
        <f t="shared" ref="L82:L89" si="14">$L$15&amp;"-"&amp;TEXT(E82,"000")</f>
        <v>18B-005</v>
      </c>
    </row>
    <row r="83" spans="1:12" ht="14.1" customHeight="1">
      <c r="A83" s="69">
        <f t="shared" si="12"/>
        <v>46226</v>
      </c>
      <c r="B83" s="70">
        <f>'CHICLETS MASTER S2'!BA29</f>
        <v>0.33333333333333298</v>
      </c>
      <c r="C83" s="71" t="s">
        <v>218</v>
      </c>
      <c r="D83" s="119" t="str">
        <f t="shared" si="13"/>
        <v>MARINA HS</v>
      </c>
      <c r="E83" s="71">
        <v>10</v>
      </c>
      <c r="F83" s="71" t="str">
        <f>E12</f>
        <v>14-ATHERTON</v>
      </c>
      <c r="G83" s="73">
        <v>13</v>
      </c>
      <c r="H83" s="71" t="str">
        <f>E13</f>
        <v>35-VEGAS NORTH IRVINE RED</v>
      </c>
      <c r="I83" s="73">
        <v>7</v>
      </c>
      <c r="J83" s="71">
        <v>25</v>
      </c>
      <c r="K83" s="71">
        <v>30</v>
      </c>
      <c r="L83" s="71" t="str">
        <f t="shared" si="14"/>
        <v>18B-010</v>
      </c>
    </row>
    <row r="84" spans="1:12" ht="14.1" customHeight="1">
      <c r="A84" s="69">
        <f t="shared" si="12"/>
        <v>46226</v>
      </c>
      <c r="B84" s="70">
        <f>'CHICLETS MASTER S2'!BA30</f>
        <v>0.375</v>
      </c>
      <c r="C84" s="71" t="s">
        <v>218</v>
      </c>
      <c r="D84" s="119" t="str">
        <f t="shared" si="13"/>
        <v>MARINA HS</v>
      </c>
      <c r="E84" s="71">
        <v>15</v>
      </c>
      <c r="F84" s="71" t="str">
        <f>F11</f>
        <v>12-AETOS</v>
      </c>
      <c r="G84" s="73">
        <v>13</v>
      </c>
      <c r="H84" s="71" t="str">
        <f>F14</f>
        <v>37-VANGUARD BLUE</v>
      </c>
      <c r="I84" s="73">
        <v>6</v>
      </c>
      <c r="J84" s="71">
        <v>35</v>
      </c>
      <c r="K84" s="71">
        <v>40</v>
      </c>
      <c r="L84" s="71" t="str">
        <f t="shared" si="14"/>
        <v>18B-015</v>
      </c>
    </row>
    <row r="85" spans="1:12" ht="14.1" customHeight="1">
      <c r="A85" s="69">
        <f t="shared" si="12"/>
        <v>46226</v>
      </c>
      <c r="B85" s="70">
        <f>'CHICLETS MASTER S2'!BA31</f>
        <v>0.41666666666666702</v>
      </c>
      <c r="C85" s="71" t="s">
        <v>218</v>
      </c>
      <c r="D85" s="119" t="str">
        <f t="shared" si="13"/>
        <v>MARINA HS</v>
      </c>
      <c r="E85" s="71">
        <v>20</v>
      </c>
      <c r="F85" s="71" t="str">
        <f>F12</f>
        <v>13-PRIDE A</v>
      </c>
      <c r="G85" s="73">
        <v>14</v>
      </c>
      <c r="H85" s="71" t="str">
        <f>F13</f>
        <v>36-LOWPO</v>
      </c>
      <c r="I85" s="73">
        <v>11</v>
      </c>
      <c r="J85" s="71">
        <v>35</v>
      </c>
      <c r="K85" s="71">
        <v>40</v>
      </c>
      <c r="L85" s="71" t="str">
        <f t="shared" si="14"/>
        <v>18B-020</v>
      </c>
    </row>
    <row r="86" spans="1:12" ht="14.1" customHeight="1">
      <c r="A86" s="69">
        <f t="shared" si="12"/>
        <v>46226</v>
      </c>
      <c r="B86" s="70">
        <f>'CHICLETS MASTER S2'!BA32</f>
        <v>0.45833333333333298</v>
      </c>
      <c r="C86" s="71" t="s">
        <v>218</v>
      </c>
      <c r="D86" s="119" t="str">
        <f t="shared" si="13"/>
        <v>MARINA HS</v>
      </c>
      <c r="E86" s="71">
        <v>25</v>
      </c>
      <c r="F86" s="71" t="str">
        <f>IF(G82="","W5",IF(G82&gt;I82,_xlfn.CONCAT("W5-",RIGHT(F82,LEN(F82) - FIND("-",F82))), _xlfn.CONCAT("W5-",RIGHT(H82,LEN(H82) - FIND("-",H82)))))</f>
        <v>W5-GREENWICH</v>
      </c>
      <c r="G86" s="73">
        <v>15</v>
      </c>
      <c r="H86" s="71" t="str">
        <f>IF(G83="","W10",IF(G83&gt;I83,_xlfn.CONCAT("W10-",RIGHT(F83,LEN(F83) - FIND("-",F83))), _xlfn.CONCAT("W10-",RIGHT(H83,LEN(H83) - FIND("-",H83)))))</f>
        <v>W10-ATHERTON</v>
      </c>
      <c r="I86" s="73">
        <v>17</v>
      </c>
      <c r="J86" s="71" t="s">
        <v>182</v>
      </c>
      <c r="K86" s="71">
        <v>60</v>
      </c>
      <c r="L86" s="71" t="str">
        <f t="shared" si="14"/>
        <v>18B-025</v>
      </c>
    </row>
    <row r="87" spans="1:12" ht="14.1" customHeight="1">
      <c r="A87" s="69">
        <f t="shared" si="12"/>
        <v>46226</v>
      </c>
      <c r="B87" s="70">
        <f>'CHICLETS MASTER S2'!BA33</f>
        <v>0.5</v>
      </c>
      <c r="C87" s="71" t="s">
        <v>218</v>
      </c>
      <c r="D87" s="119" t="str">
        <f t="shared" si="13"/>
        <v>MARINA HS</v>
      </c>
      <c r="E87" s="71">
        <v>30</v>
      </c>
      <c r="F87" s="71" t="str">
        <f>IF(G82="","L5",IF(G82&lt;I82,_xlfn.CONCAT("L5-",RIGHT(F82,LEN(F82) - FIND("-",F82))), _xlfn.CONCAT("L5-",RIGHT(H82,LEN(H82) - FIND("-",H82)))))</f>
        <v>L5-TEXAS THUNDER NORTH BLACK</v>
      </c>
      <c r="G87" s="73">
        <v>15</v>
      </c>
      <c r="H87" s="71" t="str">
        <f>IF(G83="","L10",IF(G83&lt;I83,_xlfn.CONCAT("L10-",RIGHT(F83,LEN(F83) - FIND("-",F83))), _xlfn.CONCAT("L10-",RIGHT(H83,LEN(H83) - FIND("-",H83)))))</f>
        <v>L10-VEGAS NORTH IRVINE RED</v>
      </c>
      <c r="I87" s="73">
        <v>8</v>
      </c>
      <c r="J87" s="71">
        <v>55</v>
      </c>
      <c r="K87" s="71" t="s">
        <v>403</v>
      </c>
      <c r="L87" s="71" t="str">
        <f t="shared" si="14"/>
        <v>18B-030</v>
      </c>
    </row>
    <row r="88" spans="1:12" ht="14.1" customHeight="1">
      <c r="A88" s="69">
        <f t="shared" si="12"/>
        <v>46226</v>
      </c>
      <c r="B88" s="70">
        <f>'CHICLETS MASTER S2'!BA34</f>
        <v>0.54166666666666696</v>
      </c>
      <c r="C88" s="71" t="s">
        <v>218</v>
      </c>
      <c r="D88" s="119" t="str">
        <f t="shared" si="13"/>
        <v>MARINA HS</v>
      </c>
      <c r="E88" s="71">
        <v>35</v>
      </c>
      <c r="F88" s="71" t="str">
        <f>IF(G84="","W15",IF(G84&gt;I84,_xlfn.CONCAT("W15-",RIGHT(F84,LEN(F84) - FIND("-",F84))), _xlfn.CONCAT("W15-",RIGHT(H84,LEN(H84) - FIND("-",H84)))))</f>
        <v>W15-AETOS</v>
      </c>
      <c r="G88" s="73">
        <v>10</v>
      </c>
      <c r="H88" s="71" t="str">
        <f>IF(G85="","W20",IF(G85&gt;I85,_xlfn.CONCAT("W20-",RIGHT(F85,LEN(F85) - FIND("-",F85))), _xlfn.CONCAT("W20-",RIGHT(H85,LEN(H85) - FIND("-",H85)))))</f>
        <v>W20-PRIDE A</v>
      </c>
      <c r="I88" s="73">
        <v>9</v>
      </c>
      <c r="J88" s="71" t="s">
        <v>404</v>
      </c>
      <c r="K88" s="71">
        <v>55</v>
      </c>
      <c r="L88" s="71" t="str">
        <f t="shared" si="14"/>
        <v>18B-035</v>
      </c>
    </row>
    <row r="89" spans="1:12" ht="14.1" customHeight="1">
      <c r="A89" s="69">
        <f t="shared" si="12"/>
        <v>46226</v>
      </c>
      <c r="B89" s="70">
        <f>'CHICLETS MASTER S2'!BA35</f>
        <v>0.58333333333333304</v>
      </c>
      <c r="C89" s="71" t="s">
        <v>218</v>
      </c>
      <c r="D89" s="119" t="str">
        <f t="shared" si="13"/>
        <v>MARINA HS</v>
      </c>
      <c r="E89" s="71">
        <v>40</v>
      </c>
      <c r="F89" s="71" t="str">
        <f>IF(G84="","L15",IF(G84&lt;I84,_xlfn.CONCAT("L15-",RIGHT(F84,LEN(F84) - FIND("-",F84))), _xlfn.CONCAT("L15-",RIGHT(H84,LEN(H84) - FIND("-",H84)))))</f>
        <v>L15-VANGUARD BLUE</v>
      </c>
      <c r="G89" s="73">
        <v>14</v>
      </c>
      <c r="H89" s="71" t="str">
        <f>IF(G85="","L20",IF(G85&lt;I85,_xlfn.CONCAT("L20-",RIGHT(F85,LEN(F85) - FIND("-",F85))), _xlfn.CONCAT("L20-",RIGHT(H85,LEN(H85) - FIND("-",H85)))))</f>
        <v>L20-LOWPO</v>
      </c>
      <c r="I89" s="73">
        <v>9</v>
      </c>
      <c r="J89" s="71">
        <v>60</v>
      </c>
      <c r="K89" s="71" t="s">
        <v>405</v>
      </c>
      <c r="L89" s="71" t="str">
        <f t="shared" si="14"/>
        <v>18B-040</v>
      </c>
    </row>
    <row r="90" spans="1:12" s="62" customFormat="1" ht="14.1" customHeight="1">
      <c r="A90" s="75"/>
      <c r="B90" s="60" t="s">
        <v>139</v>
      </c>
      <c r="C90" s="60"/>
      <c r="D90" s="60"/>
      <c r="E90" s="60"/>
      <c r="F90" s="60"/>
      <c r="G90" s="64"/>
      <c r="H90" s="60"/>
      <c r="I90" s="60"/>
      <c r="J90" s="60"/>
      <c r="K90" s="60"/>
      <c r="L90" s="60"/>
    </row>
    <row r="91" spans="1:12" ht="14.1" customHeight="1">
      <c r="A91" s="69">
        <f>$A$2</f>
        <v>46226</v>
      </c>
      <c r="B91" s="70">
        <f>'CHICLETS MASTER S2'!BA37</f>
        <v>0.66666666666666696</v>
      </c>
      <c r="C91" s="71" t="s">
        <v>140</v>
      </c>
      <c r="D91" s="119" t="str">
        <f>$D$80</f>
        <v>MARINA HS</v>
      </c>
      <c r="E91" s="71">
        <v>49</v>
      </c>
      <c r="F91" s="66" t="str">
        <f>IF(G71="","L28",IF(G71&lt;I71,_xlfn.CONCAT("L28-",RIGHT(F71,LEN(F71) - FIND("-",F71))), _xlfn.CONCAT("L28-",RIGHT(H71,LEN(H71) - FIND("-",H71)))))</f>
        <v>L28-SAND CANYON BLACK</v>
      </c>
      <c r="G91" s="73">
        <v>8</v>
      </c>
      <c r="H91" s="66" t="str">
        <f>IF(G39="","W27",IF(G39&gt;I39,_xlfn.CONCAT("W27-",RIGHT(F39,LEN(F39) - FIND("-",F39))), _xlfn.CONCAT("W27-",RIGHT(H39,LEN(H39) - FIND("-",H39)))))</f>
        <v>W27-CIU GOLD</v>
      </c>
      <c r="I91" s="73">
        <v>12</v>
      </c>
      <c r="J91" s="71" t="s">
        <v>147</v>
      </c>
      <c r="K91" s="71" t="s">
        <v>148</v>
      </c>
      <c r="L91" s="71" t="str">
        <f>$L$15&amp;"-"&amp;TEXT(E91,"000")</f>
        <v>18B-049</v>
      </c>
    </row>
    <row r="92" spans="1:12" ht="14.1" customHeight="1">
      <c r="A92" s="69">
        <f>$A$2</f>
        <v>46226</v>
      </c>
      <c r="B92" s="70">
        <f>'CHICLETS MASTER S2'!BA38</f>
        <v>0.70833333333333304</v>
      </c>
      <c r="C92" s="71" t="s">
        <v>140</v>
      </c>
      <c r="D92" s="119" t="str">
        <f>$D$80</f>
        <v>MARINA HS</v>
      </c>
      <c r="E92" s="71">
        <v>50</v>
      </c>
      <c r="F92" s="66" t="str">
        <f>IF(G23="","L26",IF(G23&lt;I23,_xlfn.CONCAT("L26-",RIGHT(F23,LEN(F23) - FIND("-",F23))), _xlfn.CONCAT("L26-",RIGHT(H23,LEN(H23) - FIND("-",H23)))))</f>
        <v>L26-LA PREMIER A</v>
      </c>
      <c r="G92" s="73">
        <v>21</v>
      </c>
      <c r="H92" s="66" t="str">
        <f>IF(G55="","W29",IF(G55&gt;I55,_xlfn.CONCAT("W29-",RIGHT(F55,LEN(F55) - FIND("-",F55))), _xlfn.CONCAT("W29-",RIGHT(H55,LEN(H55) - FIND("-",H55)))))</f>
        <v>W29-KEARNS</v>
      </c>
      <c r="I92" s="73">
        <v>13</v>
      </c>
      <c r="J92" s="71" t="s">
        <v>143</v>
      </c>
      <c r="K92" s="71" t="s">
        <v>144</v>
      </c>
      <c r="L92" s="71" t="str">
        <f>$L$15&amp;"-"&amp;TEXT(E92,"000")</f>
        <v>18B-050</v>
      </c>
    </row>
    <row r="93" spans="1:12" ht="14.1" customHeight="1">
      <c r="A93" s="69">
        <f>$A$2</f>
        <v>46226</v>
      </c>
      <c r="B93" s="70">
        <f>'CHICLETS MASTER S2'!BA39</f>
        <v>0.75</v>
      </c>
      <c r="C93" s="71" t="s">
        <v>140</v>
      </c>
      <c r="D93" s="119" t="str">
        <f>$D$80</f>
        <v>MARINA HS</v>
      </c>
      <c r="E93" s="71">
        <v>55</v>
      </c>
      <c r="F93" s="71" t="str">
        <f>IF(G88="","L35",IF(G88&lt;I88,_xlfn.CONCAT("L35-",RIGHT(F88,LEN(F88) - FIND("-",F88))), _xlfn.CONCAT("L35-",RIGHT(H88,LEN(H88) - FIND("-",H88)))))</f>
        <v>L35-PRIDE A</v>
      </c>
      <c r="G93" s="73">
        <v>9</v>
      </c>
      <c r="H93" s="71" t="str">
        <f>IF(G87="","W30",IF(G87&gt;I87,_xlfn.CONCAT("W30-",RIGHT(F87,LEN(F87) - FIND("-",F87))), _xlfn.CONCAT("W30-",RIGHT(H87,LEN(H87) - FIND("-",H87)))))</f>
        <v>W30-TEXAS THUNDER NORTH BLACK</v>
      </c>
      <c r="I93" s="73">
        <v>4</v>
      </c>
      <c r="J93" s="71" t="s">
        <v>406</v>
      </c>
      <c r="K93" s="71" t="s">
        <v>194</v>
      </c>
      <c r="L93" s="71" t="str">
        <f>$L$15&amp;"-"&amp;TEXT(E93,"000")</f>
        <v>18B-055</v>
      </c>
    </row>
    <row r="94" spans="1:12" ht="14.1" customHeight="1">
      <c r="A94" s="69">
        <f>$A$2</f>
        <v>46226</v>
      </c>
      <c r="B94" s="70">
        <f>'CHICLETS MASTER S2'!BA40</f>
        <v>0.79166666666666696</v>
      </c>
      <c r="C94" s="71" t="s">
        <v>140</v>
      </c>
      <c r="D94" s="119" t="str">
        <f>$D$80</f>
        <v>MARINA HS</v>
      </c>
      <c r="E94" s="71">
        <v>60</v>
      </c>
      <c r="F94" s="71" t="str">
        <f>IF(G86="","L25",IF(G86&lt;I86,_xlfn.CONCAT("L25-",RIGHT(F86,LEN(F86) - FIND("-",F86))), _xlfn.CONCAT("L25-",RIGHT(H86,LEN(H86) - FIND("-",H86)))))</f>
        <v>L25-GREENWICH</v>
      </c>
      <c r="G94" s="73">
        <v>19</v>
      </c>
      <c r="H94" s="71" t="str">
        <f>IF(G89="","W40",IF(G89&gt;I89,_xlfn.CONCAT("W40-",RIGHT(F89,LEN(F89) - FIND("-",F89))), _xlfn.CONCAT("W40-",RIGHT(H89,LEN(H89) - FIND("-",H89)))))</f>
        <v>W40-VANGUARD BLUE</v>
      </c>
      <c r="I94" s="73">
        <v>12</v>
      </c>
      <c r="J94" s="71" t="s">
        <v>193</v>
      </c>
      <c r="K94" s="71" t="s">
        <v>407</v>
      </c>
      <c r="L94" s="71" t="str">
        <f>$L$15&amp;"-"&amp;TEXT(E94,"000")</f>
        <v>18B-060</v>
      </c>
    </row>
    <row r="95" spans="1:12" ht="14.1" customHeight="1" thickBot="1"/>
    <row r="96" spans="1:12" ht="14.1" customHeight="1" thickTop="1" thickBot="1">
      <c r="A96" s="57" t="s">
        <v>196</v>
      </c>
      <c r="B96" s="59"/>
      <c r="C96" s="59"/>
      <c r="D96" s="59"/>
      <c r="E96" s="59"/>
      <c r="F96" s="59"/>
      <c r="G96" s="171"/>
      <c r="H96" s="59"/>
      <c r="I96" s="171"/>
      <c r="J96" s="59"/>
      <c r="K96" s="59"/>
      <c r="L96" s="59"/>
    </row>
    <row r="97" spans="1:9" ht="14.1" customHeight="1">
      <c r="A97" s="61">
        <v>46227</v>
      </c>
      <c r="G97" s="60"/>
      <c r="I97" s="60"/>
    </row>
    <row r="98" spans="1:9" ht="14.1" customHeight="1">
      <c r="B98" s="60" t="s">
        <v>197</v>
      </c>
      <c r="G98" s="60"/>
      <c r="I98" s="60"/>
    </row>
    <row r="99" spans="1:9" ht="14.1" customHeight="1">
      <c r="B99" s="85" t="s">
        <v>198</v>
      </c>
      <c r="C99" s="85" t="s">
        <v>199</v>
      </c>
      <c r="D99" s="85" t="s">
        <v>200</v>
      </c>
      <c r="E99" s="85" t="s">
        <v>201</v>
      </c>
      <c r="G99" s="60"/>
      <c r="I99" s="60"/>
    </row>
    <row r="100" spans="1:9" ht="14.1" customHeight="1">
      <c r="A100" s="60">
        <v>1</v>
      </c>
      <c r="B100" s="67" t="str">
        <f>IF(G23="","pt_M1(W26)",IF(G23&gt;I23,_xlfn.CONCAT("pt_M1(W26)-",RIGHT(F23,LEN(F23) - FIND("-",F23))), _xlfn.CONCAT("pt_M1(W26)-",RIGHT(H23,LEN(H23) - FIND("-",H23)))))</f>
        <v>pt_M1(W26)-NEWPORT BEACH</v>
      </c>
      <c r="C100" s="67" t="str">
        <f>IF(G71="","pt_N1(W28)",IF(G71&gt;I71,_xlfn.CONCAT("pt_N1(W28)-",RIGHT(F71,LEN(F71) - FIND("-",F71))), _xlfn.CONCAT("pt_N1(W28)-",RIGHT(H71,LEN(H71) - FIND("-",H71)))))</f>
        <v>pt_N1(W28)-MISSION</v>
      </c>
      <c r="D100" s="67" t="str">
        <f>IF(G24="","pt_O1(W31)",IF(G24&gt;I24,_xlfn.CONCAT("pt_O1(W31)-",RIGHT(F24,LEN(F24) - FIND("-",F24))), _xlfn.CONCAT("pt_O1(W31)-",RIGHT(H24,LEN(H24) - FIND("-",H24)))))</f>
        <v>pt_O1(W31)-SD DONS</v>
      </c>
      <c r="E100" s="67" t="str">
        <f>IF(G26="","pt_P1(W41)",IF(G26&gt;I26,_xlfn.CONCAT("pt_P1(W41)-",RIGHT(F26,LEN(F26) - FIND("-",F26))), _xlfn.CONCAT("pt_P1(W41)-",RIGHT(H26,LEN(H26) - FIND("-",H26)))))</f>
        <v>pt_P1(W41)-CC UNITED BLACK</v>
      </c>
      <c r="G100" s="60"/>
      <c r="I100" s="60"/>
    </row>
    <row r="101" spans="1:9" ht="14.1" customHeight="1">
      <c r="A101" s="60">
        <v>2</v>
      </c>
      <c r="B101" s="67" t="str">
        <f>IF(G58="","pt_M2(W43)",IF(G58&gt;I58,_xlfn.CONCAT("pt_M2(W43)-",RIGHT(F58,LEN(F58) - FIND("-",F58))), _xlfn.CONCAT("pt_M2(W43)-",RIGHT(H58,LEN(H58) - FIND("-",H58)))))</f>
        <v>pt_M2(W43)-CIU SENIORS A</v>
      </c>
      <c r="C101" s="67" t="str">
        <f>IF(G56="","pt_N2(W33)",IF(G56&gt;I56,_xlfn.CONCAT("pt_N2(W33)-",RIGHT(F56,LEN(F56) - FIND("-",F56))), _xlfn.CONCAT("pt_N2(W33)-",RIGHT(H56,LEN(H56) - FIND("-",H56)))))</f>
        <v>pt_N2(W33)-NORCAL BLACK</v>
      </c>
      <c r="D101" s="67" t="str">
        <f>IF(G42="","pt_O2(W42)",IF(G42&gt;I42,_xlfn.CONCAT("pt_O2(W42)-",RIGHT(F42,LEN(F42) - FIND("-",F42))), _xlfn.CONCAT("pt_O2(W42)-",RIGHT(H42,LEN(H42) - FIND("-",H42)))))</f>
        <v>pt_O2(W42)-LAMORINDA A</v>
      </c>
      <c r="E101" s="67" t="str">
        <f>IF(G40="","pt_P2(W32)",IF(G40&gt;I40,_xlfn.CONCAT("pt_P2(W32)-",RIGHT(F40,LEN(F40) - FIND("-",F40))), _xlfn.CONCAT("pt_P2(W32)-",RIGHT(H40,LEN(H40) - FIND("-",H40)))))</f>
        <v>pt_P2(W32)-LA JOLLA UNITED A</v>
      </c>
      <c r="G101" s="60"/>
      <c r="I101" s="60"/>
    </row>
    <row r="102" spans="1:9" ht="14.1" customHeight="1">
      <c r="A102" s="60">
        <v>3</v>
      </c>
      <c r="B102" s="67" t="str">
        <f>IF(G72="","pt_M3(W34)",IF(G72&gt;I72,_xlfn.CONCAT("pt_M3(W34)-",RIGHT(F72,LEN(F72) - FIND("-",F72))), _xlfn.CONCAT("pt_M3(W34)-",RIGHT(H72,LEN(H72) - FIND("-",H72)))))</f>
        <v>pt_M3(W34)-STANFORD RED</v>
      </c>
      <c r="C102" s="67" t="str">
        <f>IF(G74="","pt_N3(W44)",IF(G74&gt;I74,_xlfn.CONCAT("pt_N3(W44)-",RIGHT(F74,LEN(F74) - FIND("-",F74))), _xlfn.CONCAT("pt_N3(W44)-",RIGHT(H74,LEN(H74) - FIND("-",H74)))))</f>
        <v>pt_N3(W44)-SD SHORES BLACK</v>
      </c>
      <c r="D102" s="67" t="str">
        <f>IF(G86="","pt_O3(W25)",IF(G86&gt;I86,_xlfn.CONCAT("pt_O3(W25)-",RIGHT(F86,LEN(F86) - FIND("-",F86))), _xlfn.CONCAT("pt_O3(W25)-",RIGHT(H86,LEN(H86) - FIND("-",H86)))))</f>
        <v>pt_O3(W25)-ATHERTON</v>
      </c>
      <c r="E102" s="67" t="str">
        <f>IF(G88="","pt_P3(W35)",IF(G88&gt;I88,_xlfn.CONCAT("pt_P3(W35)-",RIGHT(F88,LEN(F88) - FIND("-",F88))), _xlfn.CONCAT("pt_P3(W35)-",RIGHT(H88,LEN(H88) - FIND("-",H88)))))</f>
        <v>pt_P3(W35)-AETOS</v>
      </c>
      <c r="G102" s="60"/>
      <c r="I102" s="60"/>
    </row>
    <row r="103" spans="1:9" ht="14.1" customHeight="1">
      <c r="G103" s="60"/>
      <c r="I103" s="60"/>
    </row>
    <row r="104" spans="1:9" ht="14.1" customHeight="1">
      <c r="B104" s="85" t="s">
        <v>213</v>
      </c>
      <c r="C104" s="85" t="s">
        <v>214</v>
      </c>
      <c r="D104" s="85" t="s">
        <v>215</v>
      </c>
      <c r="E104" s="85" t="s">
        <v>216</v>
      </c>
      <c r="G104" s="60"/>
      <c r="I104" s="60"/>
    </row>
    <row r="105" spans="1:9" ht="14.1" customHeight="1">
      <c r="A105" s="60">
        <v>1</v>
      </c>
      <c r="B105" s="67" t="str">
        <f>IF(G93="","pt_R1(W55)",IF(G93&gt;I93,_xlfn.CONCAT("pt_R1(W55)-",RIGHT(F93,LEN(F93) - FIND("-",F93))), _xlfn.CONCAT("pt_R1(W55)-",RIGHT(H93,LEN(H93) - FIND("-",H93)))))</f>
        <v>pt_R1(W55)-PRIDE A</v>
      </c>
      <c r="C105" s="67" t="str">
        <f>IF(G94="","pt_S1(W60)",IF(G94&gt;I94,_xlfn.CONCAT("pt_S1(W60)-",RIGHT(F94,LEN(F94) - FIND("-",F94))), _xlfn.CONCAT("pt_S1(W60)-",RIGHT(H94,LEN(H94) - FIND("-",H94)))))</f>
        <v>pt_S1(W60)-GREENWICH</v>
      </c>
      <c r="D105" s="67" t="str">
        <f>IF(G77="","pt_T1(W54)",IF(G77&gt;I77,_xlfn.CONCAT("pt_T1(W54)-",RIGHT(F77,LEN(F77) - FIND("-",F77))), _xlfn.CONCAT("pt_T1(W54)-",RIGHT(H77,LEN(H77) - FIND("-",H77)))))</f>
        <v>pt_T1(W54)-TROJAN CARDINAL</v>
      </c>
      <c r="E105" s="67" t="str">
        <f>IF(G78="","pt_U1(W59)",IF(G78&gt;I78,_xlfn.CONCAT("pt_U1(W59)-",RIGHT(F78,LEN(F78) - FIND("-",F78))), _xlfn.CONCAT("pt_U1(W59)-",RIGHT(H78,LEN(H78) - FIND("-",H78)))))</f>
        <v>pt_U1(W59)-DIABLO ALLIANCE A</v>
      </c>
      <c r="G105" s="60"/>
      <c r="I105" s="60"/>
    </row>
    <row r="106" spans="1:9" ht="14.1" customHeight="1">
      <c r="A106" s="60">
        <v>2</v>
      </c>
      <c r="B106" s="67" t="str">
        <f>IF(G46="","pt_R2(W57)",IF(G46&gt;I46,_xlfn.CONCAT("pt_R2(W57)-",RIGHT(F46,LEN(F46) - FIND("-",F46))), _xlfn.CONCAT("pt_R2(W57)-",RIGHT(H46,LEN(H46) - FIND("-",H46)))))</f>
        <v>pt_R2(W57)-CORONA DEL MAR</v>
      </c>
      <c r="C106" s="67" t="str">
        <f>IF(G45="","pt_S2(W52)",IF(G45&gt;I45,_xlfn.CONCAT("pt_S2(W52)-",RIGHT(F45,LEN(F45) - FIND("-",F45))), _xlfn.CONCAT("pt_S2(W52)-",RIGHT(H45,LEN(H45) - FIND("-",H45)))))</f>
        <v>pt_S2(W52)-SHAQ BLUE</v>
      </c>
      <c r="D106" s="67" t="str">
        <f>IF(G62="","pt_T2(W58)",IF(G62&gt;I62,_xlfn.CONCAT("pt_T2(W58)-",RIGHT(F62,LEN(F62) - FIND("-",F62))), _xlfn.CONCAT("pt_T2(W58)-",RIGHT(H62,LEN(H62) - FIND("-",H62)))))</f>
        <v>pt_T2(W58)-SOCAL</v>
      </c>
      <c r="E106" s="67" t="str">
        <f>IF(G61="","pt_U2(W53)",IF(G61&gt;I61,_xlfn.CONCAT("pt_U2(W53)-",RIGHT(F61,LEN(F61) - FIND("-",F61))), _xlfn.CONCAT("pt_U2(W53)-",RIGHT(H61,LEN(H61) - FIND("-",H61)))))</f>
        <v>pt_U2(W53)-IMPERIAL BLUE</v>
      </c>
      <c r="G106" s="60"/>
      <c r="I106" s="60"/>
    </row>
    <row r="107" spans="1:9" ht="14.1" customHeight="1">
      <c r="A107" s="60">
        <v>3</v>
      </c>
      <c r="B107" s="67" t="str">
        <f>IF(G29="","pt_R3(W51)",IF(G29&gt;I29,_xlfn.CONCAT("pt_R3(W51)-",RIGHT(F29,LEN(F29) - FIND("-",F29))), _xlfn.CONCAT("pt_R3(W51)-",RIGHT(H29,LEN(H29) - FIND("-",H29)))))</f>
        <v>pt_R3(W51)-SAN FRANCISCO WARRIORS</v>
      </c>
      <c r="C107" s="67" t="str">
        <f>IF(G30="","pt_S3(W56)",IF(G30&gt;I30,_xlfn.CONCAT("pt_S3(W56)-",RIGHT(F30,LEN(F30) - FIND("-",F30))), _xlfn.CONCAT("pt_S3(W56)-",RIGHT(H30,LEN(H30) - FIND("-",H30)))))</f>
        <v>pt_S3(W56)-VEGAS NORTH IRVINE BLACK</v>
      </c>
      <c r="D107" s="67" t="str">
        <f>IF(G91="","pt_T3(W49)",IF(G91&gt;I91,_xlfn.CONCAT("pt_T3(W49)-",RIGHT(F91,LEN(F91) - FIND("-",F91))), _xlfn.CONCAT("pt_T3(W49)-",RIGHT(H91,LEN(H91) - FIND("-",H91)))))</f>
        <v>pt_T3(W49)-CIU GOLD</v>
      </c>
      <c r="E107" s="67" t="str">
        <f>IF(G92="","pt_U3(W50)",IF(G92&gt;I92,_xlfn.CONCAT("pt_U3(W50)-",RIGHT(F92,LEN(F92) - FIND("-",F92))), _xlfn.CONCAT("pt_U3(W50)-",RIGHT(H92,LEN(H92) - FIND("-",H92)))))</f>
        <v>pt_U3(W50)-LA PREMIER A</v>
      </c>
      <c r="G107" s="60"/>
      <c r="I107" s="60"/>
    </row>
    <row r="108" spans="1:9" ht="14.1" customHeight="1">
      <c r="G108" s="60"/>
      <c r="I108" s="60"/>
    </row>
    <row r="109" spans="1:9" ht="14.1" customHeight="1">
      <c r="B109" s="60" t="s">
        <v>408</v>
      </c>
      <c r="G109" s="60"/>
      <c r="I109" s="60"/>
    </row>
    <row r="110" spans="1:9" ht="14.1" customHeight="1">
      <c r="B110" s="153" t="s">
        <v>229</v>
      </c>
      <c r="C110" s="153" t="s">
        <v>230</v>
      </c>
      <c r="D110" s="153" t="s">
        <v>231</v>
      </c>
      <c r="E110" s="153" t="s">
        <v>409</v>
      </c>
      <c r="G110" s="60"/>
      <c r="I110" s="60"/>
    </row>
    <row r="111" spans="1:9" ht="14.1" customHeight="1">
      <c r="A111" s="60">
        <v>1</v>
      </c>
      <c r="B111" s="67" t="str">
        <f>IF(G91="","au_M1(L49)",IF(G91&lt;I91,_xlfn.CONCAT("au_M1(L49)-",RIGHT(F91,LEN(F91) - FIND("-",F91))), _xlfn.CONCAT("au_M1(L49)-",RIGHT(H91,LEN(H91) - FIND("-",H91)))))</f>
        <v>au_M1(L49)-SAND CANYON BLACK</v>
      </c>
      <c r="C111" s="67" t="str">
        <f>IF(G92="","au_N1(L50)",IF(G92&lt;I92,_xlfn.CONCAT("au_N1(L50)-",RIGHT(F92,LEN(F92) - FIND("-",F92))), _xlfn.CONCAT("au_N1(L50)-",RIGHT(H92,LEN(H92) - FIND("-",H92)))))</f>
        <v>au_N1(L50)-KEARNS</v>
      </c>
      <c r="D111" s="67" t="str">
        <f>IF(G29="","au_O1(L51)",IF(G29&lt;I29,_xlfn.CONCAT("au_O1(L51)-",RIGHT(F29,LEN(F29) - FIND("-",F29))), _xlfn.CONCAT("au_O1(L51)-",RIGHT(H29,LEN(H29) - FIND("-",H29)))))</f>
        <v>au_O1(L51)-CT PREMIER</v>
      </c>
      <c r="E111" s="67" t="str">
        <f>IF(G30="","au_P1(L56)",IF(G30&lt;I30,_xlfn.CONCAT("au_P1(L56)-",RIGHT(F30,LEN(F30) - FIND("-",F30))), _xlfn.CONCAT("au_P1(L56)-",RIGHT(H30,LEN(H30) - FIND("-",H30)))))</f>
        <v>au_P1(L56)-LONGHORN</v>
      </c>
      <c r="G111" s="60"/>
      <c r="I111" s="60"/>
    </row>
    <row r="112" spans="1:9" ht="14.1" customHeight="1">
      <c r="A112" s="60">
        <v>2</v>
      </c>
      <c r="B112" s="67" t="str">
        <f>IF(G62="","au_M2(L58)",IF(G62&lt;I62,_xlfn.CONCAT("au_M2(L58)-",RIGHT(F62,LEN(F62) - FIND("-",F62))), _xlfn.CONCAT("au_M2(L58)-",RIGHT(H62,LEN(H62) - FIND("-",H62)))))</f>
        <v>au_M2(L58)-PRAETORIAN</v>
      </c>
      <c r="C112" s="67" t="str">
        <f>IF(G61="","au_N2(L53)",IF(G61&lt;I61,_xlfn.CONCAT("au_N2(L53)-",RIGHT(F61,LEN(F61) - FIND("-",F61))), _xlfn.CONCAT("au_N2(L53)-",RIGHT(H61,LEN(H61) - FIND("-",H61)))))</f>
        <v>au_N2(L53)-CLOVIS A</v>
      </c>
      <c r="D112" s="67" t="str">
        <f>IF(G46="","au_O2(L57)",IF(G46&lt;I46,_xlfn.CONCAT("au_O2(L57)-",RIGHT(F46,LEN(F46) - FIND("-",F46))), _xlfn.CONCAT("au_O2(L57)-",RIGHT(H46,LEN(H46) - FIND("-",H46)))))</f>
        <v>au_O2(L57)-ELMHURST</v>
      </c>
      <c r="E112" s="67" t="str">
        <f>IF(G45="","au_P2(L52)",IF(G45&lt;I45,_xlfn.CONCAT("au_P2(L52)-",RIGHT(F45,LEN(F45) - FIND("-",F45))), _xlfn.CONCAT("au_P2(L52)-",RIGHT(H45,LEN(H45) - FIND("-",H45)))))</f>
        <v>au_P2(L52)-FOOTHILL RED A</v>
      </c>
      <c r="G112" s="60"/>
      <c r="I112" s="60"/>
    </row>
    <row r="113" spans="1:14" ht="14.1" customHeight="1">
      <c r="A113" s="60">
        <v>3</v>
      </c>
      <c r="B113" s="67" t="str">
        <f>IF(G77="","au_M3(L54)",IF(G77&lt;I77,_xlfn.CONCAT("au_M3(L54)-",RIGHT(F77,LEN(F77) - FIND("-",F77))), _xlfn.CONCAT("au_M3(L54)-",RIGHT(H77,LEN(H77) - FIND("-",H77)))))</f>
        <v>au_M3(L54)-WCAC UNITED</v>
      </c>
      <c r="C113" s="67" t="str">
        <f>IF(G78="","au_N3(L59)",IF(G78&lt;I78,_xlfn.CONCAT("au_N3(L59)-",RIGHT(F78,LEN(F78) - FIND("-",F78))), _xlfn.CONCAT("au_N3(L59)-",RIGHT(H78,LEN(H78) - FIND("-",H78)))))</f>
        <v>au_N3(L59)-VNITED</v>
      </c>
      <c r="D113" s="67" t="str">
        <f>IF(G93="","au_O3(L55)",IF(G93&lt;I93,_xlfn.CONCAT("au_O3(L55)-",RIGHT(F93,LEN(F93) - FIND("-",F93))), _xlfn.CONCAT("au_O3(L55)-",RIGHT(H93,LEN(H93) - FIND("-",H93)))))</f>
        <v>au_O3(L55)-TEXAS THUNDER NORTH BLACK</v>
      </c>
      <c r="E113" s="67" t="str">
        <f>IF(G94="","au_P3(L60)",IF(G94&lt;I94,_xlfn.CONCAT("au_P3(L60)-",RIGHT(F94,LEN(F94) - FIND("-",F94))), _xlfn.CONCAT("au_P3(L60)-",RIGHT(H94,LEN(H94) - FIND("-",H94)))))</f>
        <v>au_P3(L60)-VANGUARD BLUE</v>
      </c>
    </row>
    <row r="115" spans="1:14" ht="14.1" customHeight="1">
      <c r="B115" s="153" t="s">
        <v>410</v>
      </c>
      <c r="C115" s="153" t="s">
        <v>411</v>
      </c>
      <c r="D115" s="153" t="s">
        <v>412</v>
      </c>
      <c r="E115" s="153" t="s">
        <v>413</v>
      </c>
    </row>
    <row r="116" spans="1:14" ht="14.1" customHeight="1">
      <c r="A116" s="60">
        <v>1</v>
      </c>
      <c r="B116" s="67" t="str">
        <f>IF(G89="","au_R1(L40)",IF(G89&lt;I89,_xlfn.CONCAT("au_R1(L40)-",RIGHT(F89,LEN(F89) - FIND("-",F89))), _xlfn.CONCAT("au_R1(L40)-",RIGHT(H89,LEN(H89) - FIND("-",H89)))))</f>
        <v>au_R1(L40)-LOWPO</v>
      </c>
      <c r="C116" s="67" t="str">
        <f>IF(G87="","au_S1(L30)",IF(G87&lt;I87,_xlfn.CONCAT("au_S1(L30)-",RIGHT(F87,LEN(F87) - FIND("-",F87))), _xlfn.CONCAT("au_S1(L30)-",RIGHT(H87,LEN(H87) - FIND("-",H87)))))</f>
        <v>au_S1(L30)-VEGAS NORTH IRVINE RED</v>
      </c>
      <c r="D116" s="67" t="str">
        <f>IF(G75="","au_T1(L48)",IF(G75&lt;I75,_xlfn.CONCAT("au_T1(L48)-",RIGHT(F75,LEN(F75) - FIND("-",F75))), _xlfn.CONCAT("au_T1(L48)-",RIGHT(H75,LEN(H75) - FIND("-",H75)))))</f>
        <v>au_T1(L48)-PUNAHOU</v>
      </c>
      <c r="E116" s="67" t="str">
        <f>IF(G73="","au_U1(L39)",IF(G73&lt;I73,_xlfn.CONCAT("au_U1(L39)-",RIGHT(F73,LEN(F73) - FIND("-",F73))), _xlfn.CONCAT("au_U1(L39)-",RIGHT(H73,LEN(H73) - FIND("-",H73)))))</f>
        <v>au_U1(L39)-PUGET SOUND</v>
      </c>
    </row>
    <row r="117" spans="1:14" ht="14.1" customHeight="1">
      <c r="A117" s="60">
        <v>2</v>
      </c>
      <c r="B117" s="67" t="str">
        <f>IF(G41="","au_R2(L37)",IF(G41&lt;I41,_xlfn.CONCAT("au_R2(L37)-",RIGHT(F41,LEN(F41) - FIND("-",F41))), _xlfn.CONCAT("au_R2(L37)-",RIGHT(H41,LEN(H41) - FIND("-",H41)))))</f>
        <v>au_R2(L37)-PEGASUS BLUE</v>
      </c>
      <c r="C117" s="67" t="str">
        <f>IF(G43="","au_S2(L46)",IF(G43&lt;I43,_xlfn.CONCAT("au_S2(L46)-",RIGHT(F43,LEN(F43) - FIND("-",F43))), _xlfn.CONCAT("au_S2(L46)-",RIGHT(H43,LEN(H43) - FIND("-",H43)))))</f>
        <v>au_S2(L46)-CHICAGO PARK</v>
      </c>
      <c r="D117" s="67" t="str">
        <f>IF(G57="","au_T2(L38)",IF(G57&lt;I57,_xlfn.CONCAT("au_T2(L38)-",RIGHT(F57,LEN(F57) - FIND("-",F57))), _xlfn.CONCAT("au_T2(L38)-",RIGHT(H57,LEN(H57) - FIND("-",H57)))))</f>
        <v>au_T2(L38)-TEXAS THUNDER SOUTH BLUE</v>
      </c>
      <c r="E117" s="67" t="str">
        <f>IF(G59="","au_U2(L47)",IF(G59&lt;I59,_xlfn.CONCAT("au_U2(L47)-",RIGHT(F59,LEN(F59) - FIND("-",F59))), _xlfn.CONCAT("au_U2(L47)-",RIGHT(H59,LEN(H59) - FIND("-",H59)))))</f>
        <v>au_U2(L47)-NIPC</v>
      </c>
    </row>
    <row r="118" spans="1:14" ht="14.1" customHeight="1">
      <c r="A118" s="60">
        <v>3</v>
      </c>
      <c r="B118" s="67" t="str">
        <f>IF(G27="","au_R3(L45)",IF(G27&lt;I27,_xlfn.CONCAT("au_R3(L45)-",RIGHT(F27,LEN(F27) - FIND("-",F27))), _xlfn.CONCAT("au_R3(L45)-",RIGHT(H27,LEN(H27) - FIND("-",H27)))))</f>
        <v>au_R3(L45)-WOLVERINE</v>
      </c>
      <c r="C118" s="67" t="str">
        <f>IF(G25="","au_S3(L36)",IF(G25&lt;I25,_xlfn.CONCAT("au_S3(L36)-",RIGHT(F25,LEN(F25) - FIND("-",F25))), _xlfn.CONCAT("au_S3(L36)-",RIGHT(H25,LEN(H25) - FIND("-",H25)))))</f>
        <v>au_S3(L36)-SWIFT</v>
      </c>
      <c r="D118" s="67" t="str">
        <f>IF(G55="","au_T3(L29)",IF(G55&lt;I55,_xlfn.CONCAT("au_T3(L29)-",RIGHT(F55,LEN(F55) - FIND("-",F55))), _xlfn.CONCAT("au_T3(L29)-",RIGHT(H55,LEN(H55) - FIND("-",H55)))))</f>
        <v>au_T3(L29)-SLAP</v>
      </c>
      <c r="E118" s="67" t="str">
        <f>IF(G39="","au_U3(L27)",IF(G39&lt;I39,_xlfn.CONCAT("au_U3(L27)-",RIGHT(F39,LEN(F39) - FIND("-",F39))), _xlfn.CONCAT("au_U3(L27)-",RIGHT(H39,LEN(H39) - FIND("-",H39)))))</f>
        <v>au_U3(L27)-AMERICAN RIVER BLUE</v>
      </c>
    </row>
    <row r="119" spans="1:14" ht="14.1" customHeight="1" thickBot="1"/>
    <row r="120" spans="1:14" ht="14.1" customHeight="1" thickBot="1">
      <c r="D120" s="65" t="str">
        <f>'CHICLETS MASTER S2'!$BB$27</f>
        <v>NORTHWOOD HS</v>
      </c>
    </row>
    <row r="121" spans="1:14" ht="14.1" customHeight="1">
      <c r="A121" s="174" t="s">
        <v>124</v>
      </c>
      <c r="B121" s="174" t="s">
        <v>125</v>
      </c>
      <c r="C121" s="174" t="s">
        <v>126</v>
      </c>
      <c r="D121" s="174" t="s">
        <v>127</v>
      </c>
      <c r="E121" s="174" t="s">
        <v>128</v>
      </c>
      <c r="F121" s="174" t="s">
        <v>129</v>
      </c>
      <c r="G121" s="175" t="s">
        <v>130</v>
      </c>
      <c r="H121" s="174" t="s">
        <v>131</v>
      </c>
      <c r="I121" s="175" t="s">
        <v>130</v>
      </c>
      <c r="J121" s="174" t="s">
        <v>132</v>
      </c>
      <c r="K121" s="174" t="s">
        <v>133</v>
      </c>
      <c r="L121" s="174" t="s">
        <v>134</v>
      </c>
    </row>
    <row r="122" spans="1:14" ht="14.1" customHeight="1">
      <c r="A122" s="184">
        <f t="shared" ref="A122:A130" si="15">$A$97</f>
        <v>46227</v>
      </c>
      <c r="B122" s="70">
        <f>'CHICLETS MASTER S2'!BA29</f>
        <v>0.33333333333333298</v>
      </c>
      <c r="C122" s="71" t="s">
        <v>218</v>
      </c>
      <c r="D122" s="119" t="str">
        <f t="shared" ref="D122:D130" si="16">$D$120</f>
        <v>NORTHWOOD HS</v>
      </c>
      <c r="E122" s="71">
        <v>64</v>
      </c>
      <c r="F122" s="90" t="str">
        <f>D101</f>
        <v>pt_O2(W42)-LAMORINDA A</v>
      </c>
      <c r="G122" s="93">
        <v>13</v>
      </c>
      <c r="H122" s="90" t="str">
        <f>D102</f>
        <v>pt_O3(W25)-ATHERTON</v>
      </c>
      <c r="I122" s="93">
        <v>11</v>
      </c>
      <c r="J122" s="90"/>
      <c r="K122" s="90"/>
      <c r="L122" s="90" t="str">
        <f t="shared" ref="L122:L130" si="17">$L$15&amp;"-"&amp;TEXT(E122,"000")</f>
        <v>18B-064</v>
      </c>
      <c r="N122" s="60" t="str">
        <f t="shared" ref="N122:N130" si="18">$K$260&amp;C122</f>
        <v>pt_Group</v>
      </c>
    </row>
    <row r="123" spans="1:14" ht="14.1" customHeight="1">
      <c r="A123" s="184">
        <f t="shared" si="15"/>
        <v>46227</v>
      </c>
      <c r="B123" s="70">
        <f>'CHICLETS MASTER S2'!BA30</f>
        <v>0.375</v>
      </c>
      <c r="C123" s="71" t="s">
        <v>218</v>
      </c>
      <c r="D123" s="119" t="str">
        <f t="shared" si="16"/>
        <v>NORTHWOOD HS</v>
      </c>
      <c r="E123" s="71">
        <v>68</v>
      </c>
      <c r="F123" s="90" t="str">
        <f>B100</f>
        <v>pt_M1(W26)-NEWPORT BEACH</v>
      </c>
      <c r="G123" s="93">
        <v>13</v>
      </c>
      <c r="H123" s="90" t="str">
        <f>B101</f>
        <v>pt_M2(W43)-CIU SENIORS A</v>
      </c>
      <c r="I123" s="93">
        <v>6</v>
      </c>
      <c r="J123" s="90"/>
      <c r="K123" s="90"/>
      <c r="L123" s="90" t="str">
        <f t="shared" si="17"/>
        <v>18B-068</v>
      </c>
      <c r="N123" s="60" t="str">
        <f t="shared" si="18"/>
        <v>pt_Group</v>
      </c>
    </row>
    <row r="124" spans="1:14" ht="14.1" customHeight="1">
      <c r="A124" s="184">
        <f t="shared" si="15"/>
        <v>46227</v>
      </c>
      <c r="B124" s="70">
        <f>'CHICLETS MASTER S2'!BA31</f>
        <v>0.41666666666666702</v>
      </c>
      <c r="C124" s="71" t="s">
        <v>218</v>
      </c>
      <c r="D124" s="119" t="str">
        <f t="shared" si="16"/>
        <v>NORTHWOOD HS</v>
      </c>
      <c r="E124" s="71">
        <v>74</v>
      </c>
      <c r="F124" s="90" t="str">
        <f>B105</f>
        <v>pt_R1(W55)-PRIDE A</v>
      </c>
      <c r="G124" s="93">
        <v>13</v>
      </c>
      <c r="H124" s="90" t="str">
        <f>B106</f>
        <v>pt_R2(W57)-CORONA DEL MAR</v>
      </c>
      <c r="I124" s="93">
        <v>9</v>
      </c>
      <c r="J124" s="90"/>
      <c r="K124" s="90"/>
      <c r="L124" s="90" t="str">
        <f t="shared" si="17"/>
        <v>18B-074</v>
      </c>
      <c r="N124" s="60" t="str">
        <f t="shared" si="18"/>
        <v>pt_Group</v>
      </c>
    </row>
    <row r="125" spans="1:14" ht="14.1" customHeight="1">
      <c r="A125" s="184">
        <f t="shared" si="15"/>
        <v>46227</v>
      </c>
      <c r="B125" s="70">
        <f>'CHICLETS MASTER S2'!BA32</f>
        <v>0.45833333333333298</v>
      </c>
      <c r="C125" s="71" t="s">
        <v>218</v>
      </c>
      <c r="D125" s="119" t="str">
        <f t="shared" si="16"/>
        <v>NORTHWOOD HS</v>
      </c>
      <c r="E125" s="71">
        <v>79</v>
      </c>
      <c r="F125" s="90" t="str">
        <f>D100</f>
        <v>pt_O1(W31)-SD DONS</v>
      </c>
      <c r="G125" s="93">
        <v>11</v>
      </c>
      <c r="H125" s="90" t="str">
        <f>D102</f>
        <v>pt_O3(W25)-ATHERTON</v>
      </c>
      <c r="I125" s="93">
        <v>5</v>
      </c>
      <c r="J125" s="90"/>
      <c r="K125" s="90"/>
      <c r="L125" s="90" t="str">
        <f t="shared" si="17"/>
        <v>18B-079</v>
      </c>
      <c r="N125" s="60" t="str">
        <f t="shared" si="18"/>
        <v>pt_Group</v>
      </c>
    </row>
    <row r="126" spans="1:14" ht="14.1" customHeight="1">
      <c r="A126" s="184">
        <f t="shared" si="15"/>
        <v>46227</v>
      </c>
      <c r="B126" s="70">
        <f>'CHICLETS MASTER S2'!BA33</f>
        <v>0.5</v>
      </c>
      <c r="C126" s="71" t="s">
        <v>218</v>
      </c>
      <c r="D126" s="119" t="str">
        <f t="shared" si="16"/>
        <v>NORTHWOOD HS</v>
      </c>
      <c r="E126" s="71">
        <v>88</v>
      </c>
      <c r="F126" s="90" t="str">
        <f>B101</f>
        <v>pt_M2(W43)-CIU SENIORS A</v>
      </c>
      <c r="G126" s="93">
        <v>10</v>
      </c>
      <c r="H126" s="90" t="str">
        <f>B102</f>
        <v>pt_M3(W34)-STANFORD RED</v>
      </c>
      <c r="I126" s="93">
        <v>7</v>
      </c>
      <c r="J126" s="90"/>
      <c r="K126" s="90"/>
      <c r="L126" s="90" t="str">
        <f t="shared" si="17"/>
        <v>18B-088</v>
      </c>
      <c r="N126" s="60" t="str">
        <f t="shared" si="18"/>
        <v>pt_Group</v>
      </c>
    </row>
    <row r="127" spans="1:14" ht="14.1" customHeight="1">
      <c r="A127" s="184">
        <f t="shared" si="15"/>
        <v>46227</v>
      </c>
      <c r="B127" s="70">
        <f>'CHICLETS MASTER S2'!BA34</f>
        <v>0.54166666666666696</v>
      </c>
      <c r="C127" s="71" t="s">
        <v>218</v>
      </c>
      <c r="D127" s="119" t="str">
        <f t="shared" si="16"/>
        <v>NORTHWOOD HS</v>
      </c>
      <c r="E127" s="71">
        <v>89</v>
      </c>
      <c r="F127" s="90" t="str">
        <f>B105</f>
        <v>pt_R1(W55)-PRIDE A</v>
      </c>
      <c r="G127" s="93">
        <v>11</v>
      </c>
      <c r="H127" s="90" t="str">
        <f>B107</f>
        <v>pt_R3(W51)-SAN FRANCISCO WARRIORS</v>
      </c>
      <c r="I127" s="93">
        <v>9</v>
      </c>
      <c r="J127" s="90"/>
      <c r="K127" s="90"/>
      <c r="L127" s="90" t="str">
        <f t="shared" si="17"/>
        <v>18B-089</v>
      </c>
      <c r="N127" s="60" t="str">
        <f t="shared" si="18"/>
        <v>pt_Group</v>
      </c>
    </row>
    <row r="128" spans="1:14" ht="14.1" customHeight="1">
      <c r="A128" s="184">
        <f t="shared" si="15"/>
        <v>46227</v>
      </c>
      <c r="B128" s="70">
        <f>'CHICLETS MASTER S2'!BA35</f>
        <v>0.58333333333333304</v>
      </c>
      <c r="C128" s="71" t="s">
        <v>218</v>
      </c>
      <c r="D128" s="119" t="str">
        <f t="shared" si="16"/>
        <v>NORTHWOOD HS</v>
      </c>
      <c r="E128" s="71">
        <v>94</v>
      </c>
      <c r="F128" s="90" t="str">
        <f>D100</f>
        <v>pt_O1(W31)-SD DONS</v>
      </c>
      <c r="G128" s="93">
        <v>9.4</v>
      </c>
      <c r="H128" s="90" t="str">
        <f>D101</f>
        <v>pt_O2(W42)-LAMORINDA A</v>
      </c>
      <c r="I128" s="93">
        <v>9.5</v>
      </c>
      <c r="J128" s="90"/>
      <c r="K128" s="90"/>
      <c r="L128" s="90" t="str">
        <f t="shared" si="17"/>
        <v>18B-094</v>
      </c>
      <c r="N128" s="60" t="str">
        <f t="shared" si="18"/>
        <v>pt_Group</v>
      </c>
    </row>
    <row r="129" spans="1:14" ht="14.1" customHeight="1">
      <c r="A129" s="184">
        <f t="shared" si="15"/>
        <v>46227</v>
      </c>
      <c r="B129" s="70">
        <f>'CHICLETS MASTER S2'!BA36</f>
        <v>0.625</v>
      </c>
      <c r="C129" s="71" t="s">
        <v>218</v>
      </c>
      <c r="D129" s="119" t="str">
        <f t="shared" si="16"/>
        <v>NORTHWOOD HS</v>
      </c>
      <c r="E129" s="71">
        <v>103</v>
      </c>
      <c r="F129" s="90" t="str">
        <f>B100</f>
        <v>pt_M1(W26)-NEWPORT BEACH</v>
      </c>
      <c r="G129" s="93">
        <v>9</v>
      </c>
      <c r="H129" s="90" t="str">
        <f>B102</f>
        <v>pt_M3(W34)-STANFORD RED</v>
      </c>
      <c r="I129" s="93">
        <v>17</v>
      </c>
      <c r="J129" s="90"/>
      <c r="K129" s="90"/>
      <c r="L129" s="90" t="str">
        <f t="shared" si="17"/>
        <v>18B-103</v>
      </c>
      <c r="N129" s="60" t="str">
        <f t="shared" si="18"/>
        <v>pt_Group</v>
      </c>
    </row>
    <row r="130" spans="1:14" ht="14.1" customHeight="1">
      <c r="A130" s="184">
        <f t="shared" si="15"/>
        <v>46227</v>
      </c>
      <c r="B130" s="70">
        <f>'CHICLETS MASTER S2'!BA37</f>
        <v>0.66666666666666696</v>
      </c>
      <c r="C130" s="71" t="s">
        <v>218</v>
      </c>
      <c r="D130" s="119" t="str">
        <f t="shared" si="16"/>
        <v>NORTHWOOD HS</v>
      </c>
      <c r="E130" s="71">
        <v>104</v>
      </c>
      <c r="F130" s="90" t="str">
        <f>B106</f>
        <v>pt_R2(W57)-CORONA DEL MAR</v>
      </c>
      <c r="G130" s="93">
        <v>10</v>
      </c>
      <c r="H130" s="90" t="str">
        <f>B107</f>
        <v>pt_R3(W51)-SAN FRANCISCO WARRIORS</v>
      </c>
      <c r="I130" s="93">
        <v>13</v>
      </c>
      <c r="J130" s="90"/>
      <c r="K130" s="90"/>
      <c r="L130" s="90" t="str">
        <f t="shared" si="17"/>
        <v>18B-104</v>
      </c>
      <c r="N130" s="60" t="str">
        <f t="shared" si="18"/>
        <v>pt_Group</v>
      </c>
    </row>
    <row r="131" spans="1:14" ht="14.1" customHeight="1" thickBot="1">
      <c r="A131" s="98"/>
      <c r="B131" s="79"/>
    </row>
    <row r="132" spans="1:14" ht="14.1" customHeight="1" thickBot="1">
      <c r="D132" s="65" t="str">
        <f>'CHICLETS MASTER S2'!$BD$27</f>
        <v>CHAPMAN UNIVERSITY</v>
      </c>
    </row>
    <row r="133" spans="1:14" ht="14.1" customHeight="1">
      <c r="A133" s="174" t="s">
        <v>124</v>
      </c>
      <c r="B133" s="174" t="s">
        <v>125</v>
      </c>
      <c r="C133" s="174" t="s">
        <v>126</v>
      </c>
      <c r="D133" s="174" t="s">
        <v>127</v>
      </c>
      <c r="E133" s="174" t="s">
        <v>128</v>
      </c>
      <c r="F133" s="174" t="s">
        <v>129</v>
      </c>
      <c r="G133" s="175" t="s">
        <v>130</v>
      </c>
      <c r="H133" s="174" t="s">
        <v>131</v>
      </c>
      <c r="I133" s="175" t="s">
        <v>130</v>
      </c>
      <c r="J133" s="174" t="s">
        <v>132</v>
      </c>
      <c r="K133" s="174" t="s">
        <v>133</v>
      </c>
      <c r="L133" s="174" t="s">
        <v>134</v>
      </c>
    </row>
    <row r="134" spans="1:14" ht="14.1" customHeight="1">
      <c r="A134" s="184">
        <f t="shared" ref="A134:A142" si="19">$A$97</f>
        <v>46227</v>
      </c>
      <c r="B134" s="70">
        <f>'CHICLETS MASTER S2'!BA28</f>
        <v>0.29166666666666669</v>
      </c>
      <c r="C134" s="71" t="s">
        <v>218</v>
      </c>
      <c r="D134" s="119" t="str">
        <f t="shared" ref="D134:D142" si="20">$D$132</f>
        <v>CHAPMAN UNIVERSITY</v>
      </c>
      <c r="E134" s="71">
        <v>65</v>
      </c>
      <c r="F134" s="90" t="str">
        <f>E101</f>
        <v>pt_P2(W32)-LA JOLLA UNITED A</v>
      </c>
      <c r="G134" s="93">
        <v>14</v>
      </c>
      <c r="H134" s="90" t="str">
        <f>E102</f>
        <v>pt_P3(W35)-AETOS</v>
      </c>
      <c r="I134" s="93">
        <v>8</v>
      </c>
      <c r="J134" s="90"/>
      <c r="K134" s="90"/>
      <c r="L134" s="90" t="str">
        <f t="shared" ref="L134:L142" si="21">$L$15&amp;"-"&amp;TEXT(E134,"000")</f>
        <v>18B-065</v>
      </c>
      <c r="N134" s="60" t="str">
        <f t="shared" ref="N134:N142" si="22">$K$260&amp;C134</f>
        <v>pt_Group</v>
      </c>
    </row>
    <row r="135" spans="1:14" ht="14.1" customHeight="1">
      <c r="A135" s="184">
        <f t="shared" si="19"/>
        <v>46227</v>
      </c>
      <c r="B135" s="70">
        <f>'CHICLETS MASTER S2'!BA29</f>
        <v>0.33333333333333298</v>
      </c>
      <c r="C135" s="71" t="s">
        <v>218</v>
      </c>
      <c r="D135" s="119" t="str">
        <f t="shared" si="20"/>
        <v>CHAPMAN UNIVERSITY</v>
      </c>
      <c r="E135" s="71">
        <v>70</v>
      </c>
      <c r="F135" s="90" t="str">
        <f>D105</f>
        <v>pt_T1(W54)-TROJAN CARDINAL</v>
      </c>
      <c r="G135" s="93">
        <v>15</v>
      </c>
      <c r="H135" s="90" t="str">
        <f>D106</f>
        <v>pt_T2(W58)-SOCAL</v>
      </c>
      <c r="I135" s="93">
        <v>7</v>
      </c>
      <c r="J135" s="90"/>
      <c r="K135" s="90"/>
      <c r="L135" s="90" t="str">
        <f t="shared" si="21"/>
        <v>18B-070</v>
      </c>
      <c r="N135" s="60" t="str">
        <f t="shared" si="22"/>
        <v>pt_Group</v>
      </c>
    </row>
    <row r="136" spans="1:14" ht="14.1" customHeight="1">
      <c r="A136" s="184">
        <f t="shared" si="19"/>
        <v>46227</v>
      </c>
      <c r="B136" s="70">
        <f>'CHICLETS MASTER S2'!BA30</f>
        <v>0.375</v>
      </c>
      <c r="C136" s="71" t="s">
        <v>218</v>
      </c>
      <c r="D136" s="119" t="str">
        <f t="shared" si="20"/>
        <v>CHAPMAN UNIVERSITY</v>
      </c>
      <c r="E136" s="71">
        <v>75</v>
      </c>
      <c r="F136" s="90" t="str">
        <f>E105</f>
        <v>pt_U1(W59)-DIABLO ALLIANCE A</v>
      </c>
      <c r="G136" s="93">
        <v>4</v>
      </c>
      <c r="H136" s="90" t="str">
        <f>E106</f>
        <v>pt_U2(W53)-IMPERIAL BLUE</v>
      </c>
      <c r="I136" s="93">
        <v>11</v>
      </c>
      <c r="J136" s="90"/>
      <c r="K136" s="90"/>
      <c r="L136" s="90" t="str">
        <f t="shared" si="21"/>
        <v>18B-075</v>
      </c>
      <c r="N136" s="60" t="str">
        <f t="shared" si="22"/>
        <v>pt_Group</v>
      </c>
    </row>
    <row r="137" spans="1:14" ht="14.1" customHeight="1">
      <c r="A137" s="184">
        <f t="shared" si="19"/>
        <v>46227</v>
      </c>
      <c r="B137" s="70">
        <f>'CHICLETS MASTER S2'!BA31</f>
        <v>0.41666666666666702</v>
      </c>
      <c r="C137" s="71" t="s">
        <v>218</v>
      </c>
      <c r="D137" s="119" t="str">
        <f t="shared" si="20"/>
        <v>CHAPMAN UNIVERSITY</v>
      </c>
      <c r="E137" s="71">
        <v>80</v>
      </c>
      <c r="F137" s="90" t="str">
        <f>E100</f>
        <v>pt_P1(W41)-CC UNITED BLACK</v>
      </c>
      <c r="G137" s="93">
        <v>17</v>
      </c>
      <c r="H137" s="90" t="str">
        <f>E102</f>
        <v>pt_P3(W35)-AETOS</v>
      </c>
      <c r="I137" s="93">
        <v>10</v>
      </c>
      <c r="J137" s="90"/>
      <c r="K137" s="90"/>
      <c r="L137" s="90" t="str">
        <f t="shared" si="21"/>
        <v>18B-080</v>
      </c>
      <c r="N137" s="60" t="str">
        <f t="shared" si="22"/>
        <v>pt_Group</v>
      </c>
    </row>
    <row r="138" spans="1:14" ht="14.1" customHeight="1">
      <c r="A138" s="184">
        <f t="shared" si="19"/>
        <v>46227</v>
      </c>
      <c r="B138" s="70">
        <f>'CHICLETS MASTER S2'!BA32</f>
        <v>0.45833333333333298</v>
      </c>
      <c r="C138" s="71" t="s">
        <v>218</v>
      </c>
      <c r="D138" s="119" t="str">
        <f t="shared" si="20"/>
        <v>CHAPMAN UNIVERSITY</v>
      </c>
      <c r="E138" s="71">
        <v>85</v>
      </c>
      <c r="F138" s="90" t="str">
        <f>D105</f>
        <v>pt_T1(W54)-TROJAN CARDINAL</v>
      </c>
      <c r="G138" s="97">
        <v>9.3000000000000007</v>
      </c>
      <c r="H138" s="90" t="str">
        <f>D107</f>
        <v>pt_T3(W49)-CIU GOLD</v>
      </c>
      <c r="I138" s="97">
        <v>9.1</v>
      </c>
      <c r="J138" s="90"/>
      <c r="K138" s="90"/>
      <c r="L138" s="90" t="str">
        <f t="shared" si="21"/>
        <v>18B-085</v>
      </c>
      <c r="N138" s="60" t="str">
        <f t="shared" si="22"/>
        <v>pt_Group</v>
      </c>
    </row>
    <row r="139" spans="1:14" ht="14.1" customHeight="1">
      <c r="A139" s="184">
        <f t="shared" si="19"/>
        <v>46227</v>
      </c>
      <c r="B139" s="70">
        <f>'CHICLETS MASTER S2'!BA33</f>
        <v>0.5</v>
      </c>
      <c r="C139" s="71" t="s">
        <v>218</v>
      </c>
      <c r="D139" s="119" t="str">
        <f t="shared" si="20"/>
        <v>CHAPMAN UNIVERSITY</v>
      </c>
      <c r="E139" s="71">
        <v>90</v>
      </c>
      <c r="F139" s="90" t="str">
        <f>E105</f>
        <v>pt_U1(W59)-DIABLO ALLIANCE A</v>
      </c>
      <c r="G139" s="93">
        <v>14</v>
      </c>
      <c r="H139" s="90" t="str">
        <f>E107</f>
        <v>pt_U3(W50)-LA PREMIER A</v>
      </c>
      <c r="I139" s="93">
        <v>13</v>
      </c>
      <c r="J139" s="90"/>
      <c r="K139" s="90"/>
      <c r="L139" s="90" t="str">
        <f t="shared" si="21"/>
        <v>18B-090</v>
      </c>
      <c r="N139" s="60" t="str">
        <f t="shared" si="22"/>
        <v>pt_Group</v>
      </c>
    </row>
    <row r="140" spans="1:14" ht="14.1" customHeight="1">
      <c r="A140" s="184">
        <f t="shared" si="19"/>
        <v>46227</v>
      </c>
      <c r="B140" s="70">
        <f>'CHICLETS MASTER S2'!BA34</f>
        <v>0.54166666666666696</v>
      </c>
      <c r="C140" s="71" t="s">
        <v>218</v>
      </c>
      <c r="D140" s="119" t="str">
        <f t="shared" si="20"/>
        <v>CHAPMAN UNIVERSITY</v>
      </c>
      <c r="E140" s="71">
        <v>95</v>
      </c>
      <c r="F140" s="90" t="str">
        <f>E100</f>
        <v>pt_P1(W41)-CC UNITED BLACK</v>
      </c>
      <c r="G140" s="93">
        <v>15</v>
      </c>
      <c r="H140" s="90" t="str">
        <f>E101</f>
        <v>pt_P2(W32)-LA JOLLA UNITED A</v>
      </c>
      <c r="I140" s="93">
        <v>14</v>
      </c>
      <c r="J140" s="90"/>
      <c r="K140" s="90"/>
      <c r="L140" s="90" t="str">
        <f t="shared" si="21"/>
        <v>18B-095</v>
      </c>
      <c r="N140" s="60" t="str">
        <f t="shared" si="22"/>
        <v>pt_Group</v>
      </c>
    </row>
    <row r="141" spans="1:14" ht="14.1" customHeight="1">
      <c r="A141" s="184">
        <f t="shared" si="19"/>
        <v>46227</v>
      </c>
      <c r="B141" s="70">
        <f>'CHICLETS MASTER S2'!BA35</f>
        <v>0.58333333333333304</v>
      </c>
      <c r="C141" s="71" t="s">
        <v>218</v>
      </c>
      <c r="D141" s="119" t="str">
        <f t="shared" si="20"/>
        <v>CHAPMAN UNIVERSITY</v>
      </c>
      <c r="E141" s="71">
        <v>100</v>
      </c>
      <c r="F141" s="90" t="str">
        <f>D106</f>
        <v>pt_T2(W58)-SOCAL</v>
      </c>
      <c r="G141" s="93">
        <v>13</v>
      </c>
      <c r="H141" s="90" t="str">
        <f>D107</f>
        <v>pt_T3(W49)-CIU GOLD</v>
      </c>
      <c r="I141" s="93">
        <v>11</v>
      </c>
      <c r="J141" s="90"/>
      <c r="K141" s="90"/>
      <c r="L141" s="90" t="str">
        <f t="shared" si="21"/>
        <v>18B-100</v>
      </c>
      <c r="N141" s="60" t="str">
        <f t="shared" si="22"/>
        <v>pt_Group</v>
      </c>
    </row>
    <row r="142" spans="1:14" ht="14.1" customHeight="1">
      <c r="A142" s="184">
        <f t="shared" si="19"/>
        <v>46227</v>
      </c>
      <c r="B142" s="70">
        <f>'CHICLETS MASTER S2'!BA36</f>
        <v>0.625</v>
      </c>
      <c r="C142" s="71" t="s">
        <v>218</v>
      </c>
      <c r="D142" s="185" t="str">
        <f t="shared" si="20"/>
        <v>CHAPMAN UNIVERSITY</v>
      </c>
      <c r="E142" s="71">
        <v>105</v>
      </c>
      <c r="F142" s="90" t="str">
        <f>E106</f>
        <v>pt_U2(W53)-IMPERIAL BLUE</v>
      </c>
      <c r="G142" s="93">
        <v>8</v>
      </c>
      <c r="H142" s="90" t="str">
        <f>E107</f>
        <v>pt_U3(W50)-LA PREMIER A</v>
      </c>
      <c r="I142" s="93">
        <v>13</v>
      </c>
      <c r="J142" s="90"/>
      <c r="K142" s="90"/>
      <c r="L142" s="90" t="str">
        <f t="shared" si="21"/>
        <v>18B-105</v>
      </c>
      <c r="N142" s="60" t="str">
        <f t="shared" si="22"/>
        <v>pt_Group</v>
      </c>
    </row>
    <row r="143" spans="1:14" ht="14.1" customHeight="1">
      <c r="B143" s="60" t="s">
        <v>139</v>
      </c>
      <c r="D143" s="186"/>
      <c r="G143" s="60"/>
      <c r="I143" s="60"/>
    </row>
    <row r="144" spans="1:14" ht="14.1" customHeight="1">
      <c r="B144" s="60" t="s">
        <v>139</v>
      </c>
      <c r="D144" s="187"/>
      <c r="G144" s="60"/>
      <c r="I144" s="60"/>
    </row>
    <row r="145" spans="1:14" ht="14.1" customHeight="1">
      <c r="A145" s="184">
        <f>$A$97</f>
        <v>46227</v>
      </c>
      <c r="B145" s="70">
        <f>'CHICLETS MASTER S2'!BA39</f>
        <v>0.75</v>
      </c>
      <c r="C145" s="71" t="s">
        <v>219</v>
      </c>
      <c r="D145" s="188" t="str">
        <f>$D$132</f>
        <v>CHAPMAN UNIVERSITY</v>
      </c>
      <c r="E145" s="71">
        <v>109</v>
      </c>
      <c r="F145" s="90" t="s">
        <v>740</v>
      </c>
      <c r="G145" s="97">
        <v>13.8</v>
      </c>
      <c r="H145" s="90" t="s">
        <v>741</v>
      </c>
      <c r="I145" s="97">
        <v>13.7</v>
      </c>
      <c r="J145" s="90">
        <v>117</v>
      </c>
      <c r="K145" s="90">
        <v>130</v>
      </c>
      <c r="L145" s="90" t="str">
        <f>$L$15&amp;"-"&amp;TEXT(E145,"000")</f>
        <v>18B-109</v>
      </c>
      <c r="N145" s="60" t="str">
        <f>$K$260&amp;C145</f>
        <v>pt_Play-in</v>
      </c>
    </row>
    <row r="146" spans="1:14" ht="14.1" customHeight="1">
      <c r="A146" s="184">
        <f>$A$97</f>
        <v>46227</v>
      </c>
      <c r="B146" s="70">
        <f>'CHICLETS MASTER S2'!BA40</f>
        <v>0.79166666666666696</v>
      </c>
      <c r="C146" s="71" t="s">
        <v>219</v>
      </c>
      <c r="D146" s="119" t="str">
        <f>$D$132</f>
        <v>CHAPMAN UNIVERSITY</v>
      </c>
      <c r="E146" s="71">
        <v>113</v>
      </c>
      <c r="F146" s="66" t="s">
        <v>742</v>
      </c>
      <c r="G146" s="93">
        <v>17</v>
      </c>
      <c r="H146" s="90" t="s">
        <v>743</v>
      </c>
      <c r="I146" s="93">
        <v>16</v>
      </c>
      <c r="J146" s="90">
        <v>125</v>
      </c>
      <c r="K146" s="90">
        <v>138</v>
      </c>
      <c r="L146" s="90" t="str">
        <f>$L$15&amp;"-"&amp;TEXT(E146,"000")</f>
        <v>18B-113</v>
      </c>
      <c r="N146" s="60" t="str">
        <f>$K$260&amp;C146</f>
        <v>pt_Play-in</v>
      </c>
    </row>
    <row r="147" spans="1:14" ht="14.1" customHeight="1" thickBot="1">
      <c r="A147" s="98"/>
    </row>
    <row r="148" spans="1:14" ht="14.1" customHeight="1" thickBot="1">
      <c r="D148" s="65" t="str">
        <f>'CHICLETS MASTER S2'!$BE$27</f>
        <v>WESTMINSTER HS</v>
      </c>
    </row>
    <row r="149" spans="1:14" ht="14.1" customHeight="1">
      <c r="A149" s="174" t="s">
        <v>124</v>
      </c>
      <c r="B149" s="174" t="s">
        <v>125</v>
      </c>
      <c r="C149" s="174" t="s">
        <v>126</v>
      </c>
      <c r="D149" s="174" t="s">
        <v>127</v>
      </c>
      <c r="E149" s="174" t="s">
        <v>128</v>
      </c>
      <c r="F149" s="174" t="s">
        <v>129</v>
      </c>
      <c r="G149" s="175" t="s">
        <v>130</v>
      </c>
      <c r="H149" s="174" t="s">
        <v>131</v>
      </c>
      <c r="I149" s="175" t="s">
        <v>130</v>
      </c>
      <c r="J149" s="174" t="s">
        <v>132</v>
      </c>
      <c r="K149" s="174" t="s">
        <v>133</v>
      </c>
      <c r="L149" s="174" t="s">
        <v>134</v>
      </c>
    </row>
    <row r="150" spans="1:14" ht="14.1" customHeight="1">
      <c r="A150" s="184">
        <f t="shared" ref="A150:A159" si="23">$A$97</f>
        <v>46227</v>
      </c>
      <c r="B150" s="70">
        <f>'CHICLETS MASTER S2'!BA28</f>
        <v>0.29166666666666669</v>
      </c>
      <c r="C150" s="71" t="s">
        <v>218</v>
      </c>
      <c r="D150" s="119" t="str">
        <f t="shared" ref="D150:D159" si="24">$D$148</f>
        <v>WESTMINSTER HS</v>
      </c>
      <c r="E150" s="71">
        <v>61</v>
      </c>
      <c r="F150" s="155" t="str">
        <f>E116</f>
        <v>au_U1(L39)-PUGET SOUND</v>
      </c>
      <c r="G150" s="156">
        <v>10</v>
      </c>
      <c r="H150" s="155" t="str">
        <f>E117</f>
        <v>au_U2(L47)-NIPC</v>
      </c>
      <c r="I150" s="156">
        <v>4</v>
      </c>
      <c r="J150" s="155"/>
      <c r="K150" s="155"/>
      <c r="L150" s="155" t="str">
        <f t="shared" ref="L150:L159" si="25">$L$15&amp;"-"&amp;TEXT(E150,"000")</f>
        <v>18B-061</v>
      </c>
      <c r="N150" s="60" t="str">
        <f t="shared" ref="N150:N159" si="26">$L$260&amp;C150</f>
        <v>au_Group</v>
      </c>
    </row>
    <row r="151" spans="1:14" ht="14.1" customHeight="1">
      <c r="A151" s="184">
        <f t="shared" si="23"/>
        <v>46227</v>
      </c>
      <c r="B151" s="70">
        <f>'CHICLETS MASTER S2'!BA29</f>
        <v>0.33333333333333298</v>
      </c>
      <c r="C151" s="71" t="s">
        <v>218</v>
      </c>
      <c r="D151" s="119" t="str">
        <f t="shared" si="24"/>
        <v>WESTMINSTER HS</v>
      </c>
      <c r="E151" s="71">
        <v>66</v>
      </c>
      <c r="F151" s="155" t="str">
        <f>D116</f>
        <v>au_T1(L48)-PUNAHOU</v>
      </c>
      <c r="G151" s="156">
        <v>14</v>
      </c>
      <c r="H151" s="155" t="str">
        <f>D117</f>
        <v>au_T2(L38)-TEXAS THUNDER SOUTH BLUE</v>
      </c>
      <c r="I151" s="156">
        <v>16</v>
      </c>
      <c r="J151" s="155"/>
      <c r="K151" s="155"/>
      <c r="L151" s="155" t="str">
        <f t="shared" si="25"/>
        <v>18B-066</v>
      </c>
      <c r="N151" s="60" t="str">
        <f t="shared" si="26"/>
        <v>au_Group</v>
      </c>
    </row>
    <row r="152" spans="1:14" ht="14.1" customHeight="1">
      <c r="A152" s="184">
        <f t="shared" si="23"/>
        <v>46227</v>
      </c>
      <c r="B152" s="70">
        <f>'CHICLETS MASTER S2'!BA30</f>
        <v>0.375</v>
      </c>
      <c r="C152" s="71" t="s">
        <v>218</v>
      </c>
      <c r="D152" s="119" t="str">
        <f t="shared" si="24"/>
        <v>WESTMINSTER HS</v>
      </c>
      <c r="E152" s="71">
        <v>71</v>
      </c>
      <c r="F152" s="155" t="str">
        <f>C112</f>
        <v>au_N2(L53)-CLOVIS A</v>
      </c>
      <c r="G152" s="156">
        <v>19</v>
      </c>
      <c r="H152" s="155" t="str">
        <f>C113</f>
        <v>au_N3(L59)-VNITED</v>
      </c>
      <c r="I152" s="156">
        <v>5</v>
      </c>
      <c r="J152" s="155"/>
      <c r="K152" s="155"/>
      <c r="L152" s="155" t="str">
        <f t="shared" si="25"/>
        <v>18B-071</v>
      </c>
      <c r="N152" s="60" t="str">
        <f t="shared" si="26"/>
        <v>au_Group</v>
      </c>
    </row>
    <row r="153" spans="1:14" ht="14.1" customHeight="1">
      <c r="A153" s="184">
        <f t="shared" si="23"/>
        <v>46227</v>
      </c>
      <c r="B153" s="70">
        <f>'CHICLETS MASTER S2'!BA31</f>
        <v>0.41666666666666702</v>
      </c>
      <c r="C153" s="71" t="s">
        <v>218</v>
      </c>
      <c r="D153" s="119" t="str">
        <f t="shared" si="24"/>
        <v>WESTMINSTER HS</v>
      </c>
      <c r="E153" s="71">
        <v>76</v>
      </c>
      <c r="F153" s="155" t="str">
        <f>E112</f>
        <v>au_P2(L52)-FOOTHILL RED A</v>
      </c>
      <c r="G153" s="156">
        <v>15</v>
      </c>
      <c r="H153" s="155" t="str">
        <f>E113</f>
        <v>au_P3(L60)-VANGUARD BLUE</v>
      </c>
      <c r="I153" s="156">
        <v>14</v>
      </c>
      <c r="J153" s="155"/>
      <c r="K153" s="155"/>
      <c r="L153" s="155" t="str">
        <f t="shared" si="25"/>
        <v>18B-076</v>
      </c>
      <c r="N153" s="60" t="str">
        <f t="shared" si="26"/>
        <v>au_Group</v>
      </c>
    </row>
    <row r="154" spans="1:14" ht="14.1" customHeight="1">
      <c r="A154" s="184">
        <f t="shared" si="23"/>
        <v>46227</v>
      </c>
      <c r="B154" s="70">
        <f>'CHICLETS MASTER S2'!BA32</f>
        <v>0.45833333333333298</v>
      </c>
      <c r="C154" s="71" t="s">
        <v>218</v>
      </c>
      <c r="D154" s="119" t="str">
        <f t="shared" si="24"/>
        <v>WESTMINSTER HS</v>
      </c>
      <c r="E154" s="71">
        <v>81</v>
      </c>
      <c r="F154" s="155" t="str">
        <f>D116</f>
        <v>au_T1(L48)-PUNAHOU</v>
      </c>
      <c r="G154" s="156">
        <v>11</v>
      </c>
      <c r="H154" s="155" t="str">
        <f>D118</f>
        <v>au_T3(L29)-SLAP</v>
      </c>
      <c r="I154" s="156">
        <v>14</v>
      </c>
      <c r="J154" s="155"/>
      <c r="K154" s="155"/>
      <c r="L154" s="155" t="str">
        <f t="shared" si="25"/>
        <v>18B-081</v>
      </c>
      <c r="N154" s="60" t="str">
        <f t="shared" si="26"/>
        <v>au_Group</v>
      </c>
    </row>
    <row r="155" spans="1:14" ht="14.1" customHeight="1">
      <c r="A155" s="184">
        <f t="shared" si="23"/>
        <v>46227</v>
      </c>
      <c r="B155" s="70">
        <f>'CHICLETS MASTER S2'!BA33</f>
        <v>0.5</v>
      </c>
      <c r="C155" s="71" t="s">
        <v>218</v>
      </c>
      <c r="D155" s="119" t="str">
        <f t="shared" si="24"/>
        <v>WESTMINSTER HS</v>
      </c>
      <c r="E155" s="71">
        <v>86</v>
      </c>
      <c r="F155" s="155" t="str">
        <f>C111</f>
        <v>au_N1(L50)-KEARNS</v>
      </c>
      <c r="G155" s="156">
        <v>12</v>
      </c>
      <c r="H155" s="155" t="str">
        <f>C113</f>
        <v>au_N3(L59)-VNITED</v>
      </c>
      <c r="I155" s="156">
        <v>11</v>
      </c>
      <c r="J155" s="155"/>
      <c r="K155" s="155"/>
      <c r="L155" s="155" t="str">
        <f t="shared" si="25"/>
        <v>18B-086</v>
      </c>
      <c r="N155" s="60" t="str">
        <f t="shared" si="26"/>
        <v>au_Group</v>
      </c>
    </row>
    <row r="156" spans="1:14" ht="14.1" customHeight="1">
      <c r="A156" s="184">
        <f t="shared" si="23"/>
        <v>46227</v>
      </c>
      <c r="B156" s="70">
        <f>'CHICLETS MASTER S2'!BA34</f>
        <v>0.54166666666666696</v>
      </c>
      <c r="C156" s="71" t="s">
        <v>218</v>
      </c>
      <c r="D156" s="119" t="str">
        <f t="shared" si="24"/>
        <v>WESTMINSTER HS</v>
      </c>
      <c r="E156" s="71">
        <v>91</v>
      </c>
      <c r="F156" s="155" t="str">
        <f>E111</f>
        <v>au_P1(L56)-LONGHORN</v>
      </c>
      <c r="G156" s="156">
        <v>8</v>
      </c>
      <c r="H156" s="155" t="str">
        <f>E113</f>
        <v>au_P3(L60)-VANGUARD BLUE</v>
      </c>
      <c r="I156" s="156">
        <v>14</v>
      </c>
      <c r="J156" s="155"/>
      <c r="K156" s="155"/>
      <c r="L156" s="155" t="str">
        <f t="shared" si="25"/>
        <v>18B-091</v>
      </c>
      <c r="N156" s="60" t="str">
        <f t="shared" si="26"/>
        <v>au_Group</v>
      </c>
    </row>
    <row r="157" spans="1:14" ht="14.1" customHeight="1">
      <c r="A157" s="184">
        <f t="shared" si="23"/>
        <v>46227</v>
      </c>
      <c r="B157" s="70">
        <f>'CHICLETS MASTER S2'!BA35</f>
        <v>0.58333333333333304</v>
      </c>
      <c r="C157" s="71" t="s">
        <v>218</v>
      </c>
      <c r="D157" s="119" t="str">
        <f t="shared" si="24"/>
        <v>WESTMINSTER HS</v>
      </c>
      <c r="E157" s="71">
        <v>96</v>
      </c>
      <c r="F157" s="155" t="str">
        <f>D117</f>
        <v>au_T2(L38)-TEXAS THUNDER SOUTH BLUE</v>
      </c>
      <c r="G157" s="156">
        <v>6</v>
      </c>
      <c r="H157" s="155" t="str">
        <f>D118</f>
        <v>au_T3(L29)-SLAP</v>
      </c>
      <c r="I157" s="156">
        <v>8</v>
      </c>
      <c r="J157" s="155"/>
      <c r="K157" s="155"/>
      <c r="L157" s="155" t="str">
        <f t="shared" si="25"/>
        <v>18B-096</v>
      </c>
      <c r="N157" s="60" t="str">
        <f t="shared" si="26"/>
        <v>au_Group</v>
      </c>
    </row>
    <row r="158" spans="1:14" ht="14.1" customHeight="1">
      <c r="A158" s="184">
        <f t="shared" si="23"/>
        <v>46227</v>
      </c>
      <c r="B158" s="70">
        <f>'CHICLETS MASTER S2'!BA36</f>
        <v>0.625</v>
      </c>
      <c r="C158" s="71" t="s">
        <v>218</v>
      </c>
      <c r="D158" s="119" t="str">
        <f t="shared" si="24"/>
        <v>WESTMINSTER HS</v>
      </c>
      <c r="E158" s="71">
        <v>101</v>
      </c>
      <c r="F158" s="155" t="str">
        <f>C111</f>
        <v>au_N1(L50)-KEARNS</v>
      </c>
      <c r="G158" s="156">
        <v>13</v>
      </c>
      <c r="H158" s="155" t="str">
        <f>C112</f>
        <v>au_N2(L53)-CLOVIS A</v>
      </c>
      <c r="I158" s="156">
        <v>19</v>
      </c>
      <c r="J158" s="155"/>
      <c r="K158" s="155"/>
      <c r="L158" s="155" t="str">
        <f t="shared" si="25"/>
        <v>18B-101</v>
      </c>
      <c r="N158" s="60" t="str">
        <f t="shared" si="26"/>
        <v>au_Group</v>
      </c>
    </row>
    <row r="159" spans="1:14" ht="14.1" customHeight="1">
      <c r="A159" s="184">
        <f t="shared" si="23"/>
        <v>46227</v>
      </c>
      <c r="B159" s="70">
        <f>'CHICLETS MASTER S2'!BA37</f>
        <v>0.66666666666666696</v>
      </c>
      <c r="C159" s="71" t="s">
        <v>218</v>
      </c>
      <c r="D159" s="119" t="str">
        <f t="shared" si="24"/>
        <v>WESTMINSTER HS</v>
      </c>
      <c r="E159" s="71">
        <v>106</v>
      </c>
      <c r="F159" s="155" t="str">
        <f>E111</f>
        <v>au_P1(L56)-LONGHORN</v>
      </c>
      <c r="G159" s="156">
        <v>10</v>
      </c>
      <c r="H159" s="155" t="str">
        <f>E112</f>
        <v>au_P2(L52)-FOOTHILL RED A</v>
      </c>
      <c r="I159" s="156">
        <v>13</v>
      </c>
      <c r="J159" s="155"/>
      <c r="K159" s="155"/>
      <c r="L159" s="155" t="str">
        <f t="shared" si="25"/>
        <v>18B-106</v>
      </c>
      <c r="N159" s="60" t="str">
        <f t="shared" si="26"/>
        <v>au_Group</v>
      </c>
    </row>
    <row r="160" spans="1:14" ht="14.1" customHeight="1">
      <c r="A160" s="189"/>
      <c r="B160" s="60" t="s">
        <v>139</v>
      </c>
      <c r="D160" s="190"/>
      <c r="G160" s="60"/>
      <c r="I160" s="60"/>
    </row>
    <row r="161" spans="1:14" ht="14.1" customHeight="1">
      <c r="A161" s="184">
        <f>$A$97</f>
        <v>46227</v>
      </c>
      <c r="B161" s="70">
        <f>'CHICLETS MASTER S2'!BA39</f>
        <v>0.75</v>
      </c>
      <c r="C161" s="71" t="s">
        <v>219</v>
      </c>
      <c r="D161" s="119" t="str">
        <f>$D$148</f>
        <v>WESTMINSTER HS</v>
      </c>
      <c r="E161" s="71">
        <v>110</v>
      </c>
      <c r="F161" s="155" t="s">
        <v>744</v>
      </c>
      <c r="G161" s="156">
        <v>5</v>
      </c>
      <c r="H161" s="66" t="s">
        <v>745</v>
      </c>
      <c r="I161" s="156">
        <v>15</v>
      </c>
      <c r="J161" s="155">
        <v>119</v>
      </c>
      <c r="K161" s="155">
        <v>128</v>
      </c>
      <c r="L161" s="155" t="str">
        <f>$L$15&amp;"-"&amp;TEXT(E161,"000")</f>
        <v>18B-110</v>
      </c>
      <c r="N161" s="60" t="str">
        <f>$L$260&amp;C161</f>
        <v>au_Play-in</v>
      </c>
    </row>
    <row r="162" spans="1:14" ht="14.1" customHeight="1">
      <c r="A162" s="184">
        <f>$A$97</f>
        <v>46227</v>
      </c>
      <c r="B162" s="70">
        <f>'CHICLETS MASTER S2'!BA40</f>
        <v>0.79166666666666696</v>
      </c>
      <c r="C162" s="71" t="s">
        <v>219</v>
      </c>
      <c r="D162" s="119" t="str">
        <f>$D$148</f>
        <v>WESTMINSTER HS</v>
      </c>
      <c r="E162" s="71">
        <v>114</v>
      </c>
      <c r="F162" s="155" t="s">
        <v>746</v>
      </c>
      <c r="G162" s="157">
        <v>13.2</v>
      </c>
      <c r="H162" s="155" t="s">
        <v>747</v>
      </c>
      <c r="I162" s="157">
        <v>13.3</v>
      </c>
      <c r="J162" s="155">
        <v>127</v>
      </c>
      <c r="K162" s="155">
        <v>132</v>
      </c>
      <c r="L162" s="155" t="str">
        <f>$L$15&amp;"-"&amp;TEXT(E162,"000")</f>
        <v>18B-114</v>
      </c>
      <c r="N162" s="60" t="str">
        <f>$L$260&amp;C162</f>
        <v>au_Play-in</v>
      </c>
    </row>
    <row r="163" spans="1:14" ht="14.1" customHeight="1" thickBot="1">
      <c r="A163" s="98"/>
      <c r="B163" s="79"/>
    </row>
    <row r="164" spans="1:14" ht="14.1" customHeight="1" thickBot="1">
      <c r="D164" s="65" t="str">
        <f>'CHICLETS MASTER S2'!$BF$27</f>
        <v>MARINA HS</v>
      </c>
    </row>
    <row r="165" spans="1:14" ht="14.1" customHeight="1">
      <c r="A165" s="174" t="s">
        <v>124</v>
      </c>
      <c r="B165" s="174" t="s">
        <v>125</v>
      </c>
      <c r="C165" s="174" t="s">
        <v>126</v>
      </c>
      <c r="D165" s="174" t="s">
        <v>127</v>
      </c>
      <c r="E165" s="174" t="s">
        <v>128</v>
      </c>
      <c r="F165" s="174" t="s">
        <v>129</v>
      </c>
      <c r="G165" s="175" t="s">
        <v>130</v>
      </c>
      <c r="H165" s="174" t="s">
        <v>131</v>
      </c>
      <c r="I165" s="175" t="s">
        <v>130</v>
      </c>
      <c r="J165" s="174" t="s">
        <v>132</v>
      </c>
      <c r="K165" s="174" t="s">
        <v>133</v>
      </c>
      <c r="L165" s="174" t="s">
        <v>134</v>
      </c>
    </row>
    <row r="166" spans="1:14" ht="14.1" customHeight="1">
      <c r="A166" s="184">
        <f t="shared" ref="A166:A175" si="27">$A$97</f>
        <v>46227</v>
      </c>
      <c r="B166" s="70">
        <f>'CHICLETS MASTER S2'!BA28</f>
        <v>0.29166666666666669</v>
      </c>
      <c r="C166" s="71" t="s">
        <v>218</v>
      </c>
      <c r="D166" s="119" t="str">
        <f t="shared" ref="D166:D175" si="28">$D$164</f>
        <v>MARINA HS</v>
      </c>
      <c r="E166" s="71">
        <v>62</v>
      </c>
      <c r="F166" s="155" t="str">
        <f>C116</f>
        <v>au_S1(L30)-VEGAS NORTH IRVINE RED</v>
      </c>
      <c r="G166" s="156">
        <v>4</v>
      </c>
      <c r="H166" s="155" t="str">
        <f>C117</f>
        <v>au_S2(L46)-CHICAGO PARK</v>
      </c>
      <c r="I166" s="156">
        <v>16</v>
      </c>
      <c r="J166" s="155"/>
      <c r="K166" s="155"/>
      <c r="L166" s="155" t="str">
        <f t="shared" ref="L166:L175" si="29">$L$15&amp;"-"&amp;TEXT(E166,"000")</f>
        <v>18B-062</v>
      </c>
      <c r="N166" s="60" t="str">
        <f t="shared" ref="N166:N175" si="30">$L$260&amp;C166</f>
        <v>au_Group</v>
      </c>
    </row>
    <row r="167" spans="1:14" ht="14.1" customHeight="1">
      <c r="A167" s="184">
        <f t="shared" si="27"/>
        <v>46227</v>
      </c>
      <c r="B167" s="70">
        <f>'CHICLETS MASTER S2'!BA29</f>
        <v>0.33333333333333298</v>
      </c>
      <c r="C167" s="71" t="s">
        <v>218</v>
      </c>
      <c r="D167" s="119" t="str">
        <f t="shared" si="28"/>
        <v>MARINA HS</v>
      </c>
      <c r="E167" s="71">
        <v>67</v>
      </c>
      <c r="F167" s="155" t="str">
        <f>B111</f>
        <v>au_M1(L49)-SAND CANYON BLACK</v>
      </c>
      <c r="G167" s="157">
        <v>14.7</v>
      </c>
      <c r="H167" s="155" t="str">
        <f>B113</f>
        <v>au_M3(L54)-WCAC UNITED</v>
      </c>
      <c r="I167" s="157">
        <v>14.6</v>
      </c>
      <c r="J167" s="155"/>
      <c r="K167" s="155"/>
      <c r="L167" s="155" t="str">
        <f t="shared" si="29"/>
        <v>18B-067</v>
      </c>
      <c r="N167" s="60" t="str">
        <f t="shared" si="30"/>
        <v>au_Group</v>
      </c>
    </row>
    <row r="168" spans="1:14" ht="14.1" customHeight="1">
      <c r="A168" s="184">
        <f t="shared" si="27"/>
        <v>46227</v>
      </c>
      <c r="B168" s="70">
        <f>'CHICLETS MASTER S2'!BA30</f>
        <v>0.375</v>
      </c>
      <c r="C168" s="71" t="s">
        <v>218</v>
      </c>
      <c r="D168" s="119" t="str">
        <f t="shared" si="28"/>
        <v>MARINA HS</v>
      </c>
      <c r="E168" s="71">
        <v>72</v>
      </c>
      <c r="F168" s="155" t="str">
        <f>D112</f>
        <v>au_O2(L57)-ELMHURST</v>
      </c>
      <c r="G168" s="156">
        <v>10</v>
      </c>
      <c r="H168" s="155" t="str">
        <f>D113</f>
        <v>au_O3(L55)-TEXAS THUNDER NORTH BLACK</v>
      </c>
      <c r="I168" s="156">
        <v>14</v>
      </c>
      <c r="J168" s="155"/>
      <c r="K168" s="155"/>
      <c r="L168" s="155" t="str">
        <f t="shared" si="29"/>
        <v>18B-072</v>
      </c>
      <c r="N168" s="60" t="str">
        <f t="shared" si="30"/>
        <v>au_Group</v>
      </c>
    </row>
    <row r="169" spans="1:14" ht="14.1" customHeight="1">
      <c r="A169" s="184">
        <f t="shared" si="27"/>
        <v>46227</v>
      </c>
      <c r="B169" s="70">
        <f>'CHICLETS MASTER S2'!BA31</f>
        <v>0.41666666666666702</v>
      </c>
      <c r="C169" s="71" t="s">
        <v>218</v>
      </c>
      <c r="D169" s="119" t="str">
        <f t="shared" si="28"/>
        <v>MARINA HS</v>
      </c>
      <c r="E169" s="71">
        <v>102</v>
      </c>
      <c r="F169" s="66" t="str">
        <f>E117</f>
        <v>au_U2(L47)-NIPC</v>
      </c>
      <c r="G169" s="156">
        <v>2</v>
      </c>
      <c r="H169" s="66" t="str">
        <f>E118</f>
        <v>au_U3(L27)-AMERICAN RIVER BLUE</v>
      </c>
      <c r="I169" s="156">
        <v>17</v>
      </c>
      <c r="J169" s="155"/>
      <c r="K169" s="155"/>
      <c r="L169" s="155" t="str">
        <f t="shared" si="29"/>
        <v>18B-102</v>
      </c>
      <c r="N169" s="60" t="str">
        <f t="shared" si="30"/>
        <v>au_Group</v>
      </c>
    </row>
    <row r="170" spans="1:14" ht="14.1" customHeight="1">
      <c r="A170" s="184">
        <f t="shared" si="27"/>
        <v>46227</v>
      </c>
      <c r="B170" s="70">
        <f>'CHICLETS MASTER S2'!BA32</f>
        <v>0.45833333333333298</v>
      </c>
      <c r="C170" s="71" t="s">
        <v>218</v>
      </c>
      <c r="D170" s="119" t="str">
        <f t="shared" si="28"/>
        <v>MARINA HS</v>
      </c>
      <c r="E170" s="71">
        <v>77</v>
      </c>
      <c r="F170" s="155" t="str">
        <f>C116</f>
        <v>au_S1(L30)-VEGAS NORTH IRVINE RED</v>
      </c>
      <c r="G170" s="156">
        <v>7</v>
      </c>
      <c r="H170" s="155" t="str">
        <f>C118</f>
        <v>au_S3(L36)-SWIFT</v>
      </c>
      <c r="I170" s="156">
        <v>17</v>
      </c>
      <c r="J170" s="155"/>
      <c r="K170" s="155"/>
      <c r="L170" s="155" t="str">
        <f t="shared" si="29"/>
        <v>18B-077</v>
      </c>
      <c r="N170" s="60" t="str">
        <f t="shared" si="30"/>
        <v>au_Group</v>
      </c>
    </row>
    <row r="171" spans="1:14" ht="14.1" customHeight="1">
      <c r="A171" s="184">
        <f t="shared" si="27"/>
        <v>46227</v>
      </c>
      <c r="B171" s="70">
        <f>'CHICLETS MASTER S2'!BA33</f>
        <v>0.5</v>
      </c>
      <c r="C171" s="71" t="s">
        <v>218</v>
      </c>
      <c r="D171" s="119" t="str">
        <f t="shared" si="28"/>
        <v>MARINA HS</v>
      </c>
      <c r="E171" s="71">
        <v>82</v>
      </c>
      <c r="F171" s="155" t="str">
        <f>B112</f>
        <v>au_M2(L58)-PRAETORIAN</v>
      </c>
      <c r="G171" s="156">
        <v>12</v>
      </c>
      <c r="H171" s="155" t="str">
        <f>B113</f>
        <v>au_M3(L54)-WCAC UNITED</v>
      </c>
      <c r="I171" s="156">
        <v>16</v>
      </c>
      <c r="J171" s="155"/>
      <c r="K171" s="155"/>
      <c r="L171" s="155" t="str">
        <f t="shared" si="29"/>
        <v>18B-082</v>
      </c>
      <c r="N171" s="60" t="str">
        <f t="shared" si="30"/>
        <v>au_Group</v>
      </c>
    </row>
    <row r="172" spans="1:14" ht="14.1" customHeight="1">
      <c r="A172" s="184">
        <f t="shared" si="27"/>
        <v>46227</v>
      </c>
      <c r="B172" s="70">
        <f>'CHICLETS MASTER S2'!BA34</f>
        <v>0.54166666666666696</v>
      </c>
      <c r="C172" s="71" t="s">
        <v>218</v>
      </c>
      <c r="D172" s="119" t="str">
        <f t="shared" si="28"/>
        <v>MARINA HS</v>
      </c>
      <c r="E172" s="71">
        <v>87</v>
      </c>
      <c r="F172" s="155" t="str">
        <f>D111</f>
        <v>au_O1(L51)-CT PREMIER</v>
      </c>
      <c r="G172" s="156">
        <v>15</v>
      </c>
      <c r="H172" s="155" t="str">
        <f>D113</f>
        <v>au_O3(L55)-TEXAS THUNDER NORTH BLACK</v>
      </c>
      <c r="I172" s="156">
        <v>11</v>
      </c>
      <c r="J172" s="155"/>
      <c r="K172" s="155"/>
      <c r="L172" s="155" t="str">
        <f t="shared" si="29"/>
        <v>18B-087</v>
      </c>
      <c r="N172" s="60" t="str">
        <f t="shared" si="30"/>
        <v>au_Group</v>
      </c>
    </row>
    <row r="173" spans="1:14" ht="14.1" customHeight="1">
      <c r="A173" s="184">
        <f t="shared" si="27"/>
        <v>46227</v>
      </c>
      <c r="B173" s="70">
        <f>'CHICLETS MASTER S2'!BA35</f>
        <v>0.58333333333333304</v>
      </c>
      <c r="C173" s="71" t="s">
        <v>218</v>
      </c>
      <c r="D173" s="119" t="str">
        <f t="shared" si="28"/>
        <v>MARINA HS</v>
      </c>
      <c r="E173" s="71">
        <v>92</v>
      </c>
      <c r="F173" s="155" t="str">
        <f>C117</f>
        <v>au_S2(L46)-CHICAGO PARK</v>
      </c>
      <c r="G173" s="156">
        <v>13</v>
      </c>
      <c r="H173" s="155" t="str">
        <f>C118</f>
        <v>au_S3(L36)-SWIFT</v>
      </c>
      <c r="I173" s="156">
        <v>10</v>
      </c>
      <c r="J173" s="155"/>
      <c r="K173" s="155"/>
      <c r="L173" s="155" t="str">
        <f t="shared" si="29"/>
        <v>18B-092</v>
      </c>
      <c r="N173" s="60" t="str">
        <f t="shared" si="30"/>
        <v>au_Group</v>
      </c>
    </row>
    <row r="174" spans="1:14" ht="14.1" customHeight="1">
      <c r="A174" s="184">
        <f t="shared" si="27"/>
        <v>46227</v>
      </c>
      <c r="B174" s="70">
        <f>'CHICLETS MASTER S2'!BA36</f>
        <v>0.625</v>
      </c>
      <c r="C174" s="71" t="s">
        <v>218</v>
      </c>
      <c r="D174" s="119" t="str">
        <f t="shared" si="28"/>
        <v>MARINA HS</v>
      </c>
      <c r="E174" s="71">
        <v>97</v>
      </c>
      <c r="F174" s="155" t="str">
        <f>B111</f>
        <v>au_M1(L49)-SAND CANYON BLACK</v>
      </c>
      <c r="G174" s="156">
        <v>16</v>
      </c>
      <c r="H174" s="155" t="str">
        <f>B112</f>
        <v>au_M2(L58)-PRAETORIAN</v>
      </c>
      <c r="I174" s="156">
        <v>8</v>
      </c>
      <c r="J174" s="155"/>
      <c r="K174" s="155"/>
      <c r="L174" s="155" t="str">
        <f t="shared" si="29"/>
        <v>18B-097</v>
      </c>
      <c r="N174" s="60" t="str">
        <f t="shared" si="30"/>
        <v>au_Group</v>
      </c>
    </row>
    <row r="175" spans="1:14" ht="14.1" customHeight="1">
      <c r="A175" s="184">
        <f t="shared" si="27"/>
        <v>46227</v>
      </c>
      <c r="B175" s="70">
        <f>'CHICLETS MASTER S2'!BA37</f>
        <v>0.66666666666666696</v>
      </c>
      <c r="C175" s="71" t="s">
        <v>218</v>
      </c>
      <c r="D175" s="119" t="str">
        <f t="shared" si="28"/>
        <v>MARINA HS</v>
      </c>
      <c r="E175" s="71">
        <v>107</v>
      </c>
      <c r="F175" s="155" t="str">
        <f>D111</f>
        <v>au_O1(L51)-CT PREMIER</v>
      </c>
      <c r="G175" s="156">
        <v>13</v>
      </c>
      <c r="H175" s="155" t="str">
        <f>D112</f>
        <v>au_O2(L57)-ELMHURST</v>
      </c>
      <c r="I175" s="156">
        <v>10</v>
      </c>
      <c r="J175" s="155"/>
      <c r="K175" s="155"/>
      <c r="L175" s="155" t="str">
        <f t="shared" si="29"/>
        <v>18B-107</v>
      </c>
      <c r="N175" s="60" t="str">
        <f t="shared" si="30"/>
        <v>au_Group</v>
      </c>
    </row>
    <row r="176" spans="1:14" ht="14.1" customHeight="1">
      <c r="A176" s="189"/>
      <c r="B176" s="60" t="s">
        <v>139</v>
      </c>
      <c r="D176" s="190"/>
      <c r="G176" s="60"/>
      <c r="I176" s="60"/>
    </row>
    <row r="177" spans="1:14" ht="14.1" customHeight="1">
      <c r="A177" s="184">
        <f>$A$97</f>
        <v>46227</v>
      </c>
      <c r="B177" s="70">
        <f>'CHICLETS MASTER S2'!BA39</f>
        <v>0.75</v>
      </c>
      <c r="C177" s="71" t="s">
        <v>219</v>
      </c>
      <c r="D177" s="119" t="str">
        <f>$D$164</f>
        <v>MARINA HS</v>
      </c>
      <c r="E177" s="71">
        <v>111</v>
      </c>
      <c r="F177" s="155" t="s">
        <v>748</v>
      </c>
      <c r="G177" s="156">
        <v>10</v>
      </c>
      <c r="H177" s="155" t="s">
        <v>749</v>
      </c>
      <c r="I177" s="156">
        <v>8</v>
      </c>
      <c r="J177" s="155">
        <v>131</v>
      </c>
      <c r="K177" s="155">
        <v>136</v>
      </c>
      <c r="L177" s="155" t="str">
        <f>$L$15&amp;"-"&amp;TEXT(E177,"000")</f>
        <v>18B-111</v>
      </c>
      <c r="N177" s="60" t="str">
        <f>$L$260&amp;C177</f>
        <v>au_Play-in</v>
      </c>
    </row>
    <row r="178" spans="1:14" ht="14.1" customHeight="1">
      <c r="A178" s="184">
        <f>$A$97</f>
        <v>46227</v>
      </c>
      <c r="B178" s="70">
        <f>'CHICLETS MASTER S2'!BA40</f>
        <v>0.79166666666666696</v>
      </c>
      <c r="C178" s="71" t="s">
        <v>219</v>
      </c>
      <c r="D178" s="119" t="str">
        <f>$D$164</f>
        <v>MARINA HS</v>
      </c>
      <c r="E178" s="71">
        <v>115</v>
      </c>
      <c r="F178" s="155" t="s">
        <v>645</v>
      </c>
      <c r="G178" s="156">
        <v>5</v>
      </c>
      <c r="H178" s="66" t="s">
        <v>750</v>
      </c>
      <c r="I178" s="156">
        <v>14</v>
      </c>
      <c r="J178" s="155">
        <v>123</v>
      </c>
      <c r="K178" s="155">
        <v>140</v>
      </c>
      <c r="L178" s="155" t="str">
        <f>$L$15&amp;"-"&amp;TEXT(E178,"000")</f>
        <v>18B-115</v>
      </c>
      <c r="N178" s="60" t="str">
        <f>$L$260&amp;C178</f>
        <v>au_Play-in</v>
      </c>
    </row>
    <row r="179" spans="1:14" ht="14.1" customHeight="1" thickBot="1">
      <c r="A179" s="98"/>
      <c r="B179" s="79"/>
    </row>
    <row r="180" spans="1:14" ht="14.1" customHeight="1" thickBot="1">
      <c r="D180" s="65" t="str">
        <f>'CHICLETS MASTER S2'!$BC$27</f>
        <v>JSERRA CHS</v>
      </c>
    </row>
    <row r="181" spans="1:14" ht="14.1" customHeight="1">
      <c r="A181" s="174" t="s">
        <v>124</v>
      </c>
      <c r="B181" s="174" t="s">
        <v>125</v>
      </c>
      <c r="C181" s="174" t="s">
        <v>126</v>
      </c>
      <c r="D181" s="174" t="s">
        <v>127</v>
      </c>
      <c r="E181" s="174" t="s">
        <v>128</v>
      </c>
      <c r="F181" s="174" t="s">
        <v>129</v>
      </c>
      <c r="G181" s="175" t="s">
        <v>130</v>
      </c>
      <c r="H181" s="174" t="s">
        <v>131</v>
      </c>
      <c r="I181" s="175" t="s">
        <v>130</v>
      </c>
      <c r="J181" s="174" t="s">
        <v>132</v>
      </c>
      <c r="K181" s="174" t="s">
        <v>133</v>
      </c>
      <c r="L181" s="174" t="s">
        <v>134</v>
      </c>
    </row>
    <row r="182" spans="1:14" ht="14.1" customHeight="1">
      <c r="A182" s="184">
        <f t="shared" ref="A182:A191" si="31">$A$97</f>
        <v>46227</v>
      </c>
      <c r="B182" s="70">
        <f>'CHICLETS MASTER S2'!BA28</f>
        <v>0.29166666666666669</v>
      </c>
      <c r="C182" s="71" t="s">
        <v>218</v>
      </c>
      <c r="D182" s="71" t="str">
        <f t="shared" ref="D182:D191" si="32">$D$180</f>
        <v>JSERRA CHS</v>
      </c>
      <c r="E182" s="71">
        <v>63</v>
      </c>
      <c r="F182" s="155" t="str">
        <f>B116</f>
        <v>au_R1(L40)-LOWPO</v>
      </c>
      <c r="G182" s="156">
        <v>17</v>
      </c>
      <c r="H182" s="155" t="str">
        <f>B117</f>
        <v>au_R2(L37)-PEGASUS BLUE</v>
      </c>
      <c r="I182" s="156">
        <v>12</v>
      </c>
      <c r="J182" s="155"/>
      <c r="K182" s="155"/>
      <c r="L182" s="155" t="str">
        <f t="shared" ref="L182:L191" si="33">$L$15&amp;"-"&amp;TEXT(E182,"000")</f>
        <v>18B-063</v>
      </c>
      <c r="N182" s="60" t="str">
        <f>$L$260&amp;C182</f>
        <v>au_Group</v>
      </c>
    </row>
    <row r="183" spans="1:14" ht="14.1" customHeight="1">
      <c r="A183" s="184">
        <f t="shared" si="31"/>
        <v>46227</v>
      </c>
      <c r="B183" s="70">
        <f>'CHICLETS MASTER S2'!BA29</f>
        <v>0.33333333333333298</v>
      </c>
      <c r="C183" s="71" t="s">
        <v>218</v>
      </c>
      <c r="D183" s="71" t="str">
        <f t="shared" si="32"/>
        <v>JSERRA CHS</v>
      </c>
      <c r="E183" s="71">
        <v>69</v>
      </c>
      <c r="F183" s="90" t="str">
        <f>C101</f>
        <v>pt_N2(W33)-NORCAL BLACK</v>
      </c>
      <c r="G183" s="93">
        <v>12</v>
      </c>
      <c r="H183" s="90" t="str">
        <f>C102</f>
        <v>pt_N3(W44)-SD SHORES BLACK</v>
      </c>
      <c r="I183" s="93">
        <v>15</v>
      </c>
      <c r="J183" s="90"/>
      <c r="K183" s="90"/>
      <c r="L183" s="90" t="str">
        <f t="shared" si="33"/>
        <v>18B-069</v>
      </c>
      <c r="N183" s="60" t="str">
        <f>$K$260&amp;C183</f>
        <v>pt_Group</v>
      </c>
    </row>
    <row r="184" spans="1:14" ht="14.1" customHeight="1">
      <c r="A184" s="184">
        <f t="shared" si="31"/>
        <v>46227</v>
      </c>
      <c r="B184" s="70">
        <f>'CHICLETS MASTER S2'!BA30</f>
        <v>0.375</v>
      </c>
      <c r="C184" s="71" t="s">
        <v>218</v>
      </c>
      <c r="D184" s="71" t="str">
        <f t="shared" si="32"/>
        <v>JSERRA CHS</v>
      </c>
      <c r="E184" s="71">
        <v>73</v>
      </c>
      <c r="F184" s="90" t="str">
        <f>C105</f>
        <v>pt_S1(W60)-GREENWICH</v>
      </c>
      <c r="G184" s="93">
        <v>12</v>
      </c>
      <c r="H184" s="90" t="str">
        <f>C106</f>
        <v>pt_S2(W52)-SHAQ BLUE</v>
      </c>
      <c r="I184" s="93">
        <v>7</v>
      </c>
      <c r="J184" s="90"/>
      <c r="K184" s="90"/>
      <c r="L184" s="90" t="str">
        <f t="shared" si="33"/>
        <v>18B-073</v>
      </c>
      <c r="N184" s="60" t="str">
        <f>$K$260&amp;C184</f>
        <v>pt_Group</v>
      </c>
    </row>
    <row r="185" spans="1:14" ht="14.1" customHeight="1">
      <c r="A185" s="184">
        <f t="shared" si="31"/>
        <v>46227</v>
      </c>
      <c r="B185" s="70">
        <f>'CHICLETS MASTER S2'!BA31</f>
        <v>0.41666666666666702</v>
      </c>
      <c r="C185" s="71" t="s">
        <v>218</v>
      </c>
      <c r="D185" s="71" t="str">
        <f t="shared" si="32"/>
        <v>JSERRA CHS</v>
      </c>
      <c r="E185" s="71">
        <v>78</v>
      </c>
      <c r="F185" s="155" t="str">
        <f>B117</f>
        <v>au_R2(L37)-PEGASUS BLUE</v>
      </c>
      <c r="G185" s="156">
        <v>10</v>
      </c>
      <c r="H185" s="155" t="str">
        <f>B118</f>
        <v>au_R3(L45)-WOLVERINE</v>
      </c>
      <c r="I185" s="156">
        <v>11</v>
      </c>
      <c r="J185" s="155"/>
      <c r="K185" s="155"/>
      <c r="L185" s="155" t="str">
        <f t="shared" si="33"/>
        <v>18B-078</v>
      </c>
      <c r="N185" s="60" t="str">
        <f>$L$260&amp;C185</f>
        <v>au_Group</v>
      </c>
    </row>
    <row r="186" spans="1:14" ht="14.1" customHeight="1">
      <c r="A186" s="184">
        <f t="shared" si="31"/>
        <v>46227</v>
      </c>
      <c r="B186" s="70">
        <f>'CHICLETS MASTER S2'!BA32</f>
        <v>0.45833333333333298</v>
      </c>
      <c r="C186" s="71" t="s">
        <v>218</v>
      </c>
      <c r="D186" s="71" t="str">
        <f t="shared" si="32"/>
        <v>JSERRA CHS</v>
      </c>
      <c r="E186" s="71">
        <v>84</v>
      </c>
      <c r="F186" s="90" t="str">
        <f>C100</f>
        <v>pt_N1(W28)-MISSION</v>
      </c>
      <c r="G186" s="93">
        <v>6</v>
      </c>
      <c r="H186" s="90" t="str">
        <f>C102</f>
        <v>pt_N3(W44)-SD SHORES BLACK</v>
      </c>
      <c r="I186" s="93">
        <v>10</v>
      </c>
      <c r="J186" s="90"/>
      <c r="K186" s="90"/>
      <c r="L186" s="90" t="str">
        <f t="shared" si="33"/>
        <v>18B-084</v>
      </c>
      <c r="N186" s="60" t="str">
        <f>$K$260&amp;C186</f>
        <v>pt_Group</v>
      </c>
    </row>
    <row r="187" spans="1:14" ht="14.1" customHeight="1">
      <c r="A187" s="184">
        <f t="shared" si="31"/>
        <v>46227</v>
      </c>
      <c r="B187" s="70">
        <f>'CHICLETS MASTER S2'!BA33</f>
        <v>0.5</v>
      </c>
      <c r="C187" s="71" t="s">
        <v>218</v>
      </c>
      <c r="D187" s="71" t="str">
        <f t="shared" si="32"/>
        <v>JSERRA CHS</v>
      </c>
      <c r="E187" s="71">
        <v>93</v>
      </c>
      <c r="F187" s="90" t="str">
        <f>C105</f>
        <v>pt_S1(W60)-GREENWICH</v>
      </c>
      <c r="G187" s="93">
        <v>16</v>
      </c>
      <c r="H187" s="90" t="str">
        <f>C107</f>
        <v>pt_S3(W56)-VEGAS NORTH IRVINE BLACK</v>
      </c>
      <c r="I187" s="93">
        <v>13</v>
      </c>
      <c r="J187" s="90"/>
      <c r="K187" s="90"/>
      <c r="L187" s="90" t="str">
        <f t="shared" si="33"/>
        <v>18B-093</v>
      </c>
      <c r="N187" s="60" t="str">
        <f>$K$260&amp;C187</f>
        <v>pt_Group</v>
      </c>
    </row>
    <row r="188" spans="1:14" ht="14.1" customHeight="1">
      <c r="A188" s="184">
        <f t="shared" si="31"/>
        <v>46227</v>
      </c>
      <c r="B188" s="70">
        <f>'CHICLETS MASTER S2'!BA34</f>
        <v>0.54166666666666696</v>
      </c>
      <c r="C188" s="71" t="s">
        <v>218</v>
      </c>
      <c r="D188" s="71" t="str">
        <f t="shared" si="32"/>
        <v>JSERRA CHS</v>
      </c>
      <c r="E188" s="71">
        <v>83</v>
      </c>
      <c r="F188" s="66" t="str">
        <f>E116</f>
        <v>au_U1(L39)-PUGET SOUND</v>
      </c>
      <c r="G188" s="156">
        <v>9</v>
      </c>
      <c r="H188" s="66" t="str">
        <f>E118</f>
        <v>au_U3(L27)-AMERICAN RIVER BLUE</v>
      </c>
      <c r="I188" s="156">
        <v>12</v>
      </c>
      <c r="J188" s="155"/>
      <c r="K188" s="155"/>
      <c r="L188" s="155" t="str">
        <f t="shared" si="33"/>
        <v>18B-083</v>
      </c>
      <c r="N188" s="60" t="str">
        <f>$L$260&amp;C188</f>
        <v>au_Group</v>
      </c>
    </row>
    <row r="189" spans="1:14" ht="14.1" customHeight="1">
      <c r="A189" s="184">
        <f t="shared" si="31"/>
        <v>46227</v>
      </c>
      <c r="B189" s="70">
        <f>'CHICLETS MASTER S2'!BA35</f>
        <v>0.58333333333333304</v>
      </c>
      <c r="C189" s="71" t="s">
        <v>218</v>
      </c>
      <c r="D189" s="71" t="str">
        <f t="shared" si="32"/>
        <v>JSERRA CHS</v>
      </c>
      <c r="E189" s="71">
        <v>99</v>
      </c>
      <c r="F189" s="90" t="str">
        <f>C100</f>
        <v>pt_N1(W28)-MISSION</v>
      </c>
      <c r="G189" s="93">
        <v>11</v>
      </c>
      <c r="H189" s="90" t="str">
        <f>C101</f>
        <v>pt_N2(W33)-NORCAL BLACK</v>
      </c>
      <c r="I189" s="93">
        <v>12</v>
      </c>
      <c r="J189" s="90"/>
      <c r="K189" s="90"/>
      <c r="L189" s="90" t="str">
        <f t="shared" si="33"/>
        <v>18B-099</v>
      </c>
      <c r="N189" s="60" t="str">
        <f>$K$260&amp;C189</f>
        <v>pt_Group</v>
      </c>
    </row>
    <row r="190" spans="1:14" ht="14.1" customHeight="1">
      <c r="A190" s="184">
        <f t="shared" si="31"/>
        <v>46227</v>
      </c>
      <c r="B190" s="70">
        <f>'CHICLETS MASTER S2'!BA36</f>
        <v>0.625</v>
      </c>
      <c r="C190" s="71" t="s">
        <v>218</v>
      </c>
      <c r="D190" s="71" t="str">
        <f t="shared" si="32"/>
        <v>JSERRA CHS</v>
      </c>
      <c r="E190" s="71">
        <v>98</v>
      </c>
      <c r="F190" s="155" t="str">
        <f>B116</f>
        <v>au_R1(L40)-LOWPO</v>
      </c>
      <c r="G190" s="156">
        <v>15</v>
      </c>
      <c r="H190" s="155" t="str">
        <f>B118</f>
        <v>au_R3(L45)-WOLVERINE</v>
      </c>
      <c r="I190" s="156">
        <v>9</v>
      </c>
      <c r="J190" s="155"/>
      <c r="K190" s="155"/>
      <c r="L190" s="155" t="str">
        <f t="shared" si="33"/>
        <v>18B-098</v>
      </c>
      <c r="N190" s="60" t="str">
        <f>$L$260&amp;C190</f>
        <v>au_Group</v>
      </c>
    </row>
    <row r="191" spans="1:14" ht="14.1" customHeight="1">
      <c r="A191" s="184">
        <f t="shared" si="31"/>
        <v>46227</v>
      </c>
      <c r="B191" s="70">
        <f>'CHICLETS MASTER S2'!BA37</f>
        <v>0.66666666666666696</v>
      </c>
      <c r="C191" s="71" t="s">
        <v>218</v>
      </c>
      <c r="D191" s="191" t="str">
        <f t="shared" si="32"/>
        <v>JSERRA CHS</v>
      </c>
      <c r="E191" s="71">
        <v>108</v>
      </c>
      <c r="F191" s="90" t="str">
        <f>C106</f>
        <v>pt_S2(W52)-SHAQ BLUE</v>
      </c>
      <c r="G191" s="93">
        <v>13</v>
      </c>
      <c r="H191" s="90" t="str">
        <f>C107</f>
        <v>pt_S3(W56)-VEGAS NORTH IRVINE BLACK</v>
      </c>
      <c r="I191" s="93">
        <v>16</v>
      </c>
      <c r="J191" s="90"/>
      <c r="K191" s="90"/>
      <c r="L191" s="90" t="str">
        <f t="shared" si="33"/>
        <v>18B-108</v>
      </c>
      <c r="N191" s="60" t="str">
        <f>$K$260&amp;C191</f>
        <v>pt_Group</v>
      </c>
    </row>
    <row r="192" spans="1:14" ht="14.1" customHeight="1">
      <c r="B192" s="60" t="s">
        <v>139</v>
      </c>
      <c r="D192" s="186"/>
      <c r="G192" s="60"/>
      <c r="I192" s="60"/>
    </row>
    <row r="193" spans="1:14" ht="14.1" customHeight="1">
      <c r="B193" s="60" t="s">
        <v>139</v>
      </c>
      <c r="D193" s="192"/>
      <c r="G193" s="60"/>
      <c r="I193" s="60"/>
    </row>
    <row r="194" spans="1:14" ht="14.1" customHeight="1">
      <c r="A194" s="184">
        <f>$A$97</f>
        <v>46227</v>
      </c>
      <c r="B194" s="70">
        <f>'CHICLETS MASTER S2'!BA40</f>
        <v>0.79166666666666696</v>
      </c>
      <c r="C194" s="71" t="s">
        <v>219</v>
      </c>
      <c r="D194" s="71" t="str">
        <f>$D$180</f>
        <v>JSERRA CHS</v>
      </c>
      <c r="E194" s="71">
        <v>112</v>
      </c>
      <c r="F194" s="90" t="s">
        <v>751</v>
      </c>
      <c r="G194" s="93">
        <v>13.2</v>
      </c>
      <c r="H194" s="90" t="s">
        <v>752</v>
      </c>
      <c r="I194" s="93">
        <v>13.3</v>
      </c>
      <c r="J194" s="90">
        <v>129</v>
      </c>
      <c r="K194" s="90">
        <v>126</v>
      </c>
      <c r="L194" s="90" t="str">
        <f>$L$15&amp;"-"&amp;TEXT(E194,"000")</f>
        <v>18B-112</v>
      </c>
      <c r="N194" s="60" t="str">
        <f>$K$260&amp;C194</f>
        <v>pt_Play-in</v>
      </c>
    </row>
    <row r="195" spans="1:14" ht="14.1" customHeight="1">
      <c r="A195" s="184">
        <f>$A$97</f>
        <v>46227</v>
      </c>
      <c r="B195" s="70">
        <f>'CHICLETS MASTER S2'!BA41</f>
        <v>0.83333333333333304</v>
      </c>
      <c r="C195" s="71" t="s">
        <v>219</v>
      </c>
      <c r="D195" s="71" t="str">
        <f>$D$180</f>
        <v>JSERRA CHS</v>
      </c>
      <c r="E195" s="71">
        <v>116</v>
      </c>
      <c r="F195" s="193" t="s">
        <v>753</v>
      </c>
      <c r="G195" s="93">
        <v>16</v>
      </c>
      <c r="H195" s="93" t="s">
        <v>754</v>
      </c>
      <c r="I195" s="93">
        <v>19</v>
      </c>
      <c r="J195" s="90">
        <v>121</v>
      </c>
      <c r="K195" s="90">
        <v>134</v>
      </c>
      <c r="L195" s="90" t="str">
        <f>$L$15&amp;"-"&amp;TEXT(E195,"000")</f>
        <v>18B-116</v>
      </c>
      <c r="N195" s="60" t="str">
        <f>$K$260&amp;C195</f>
        <v>pt_Play-in</v>
      </c>
    </row>
    <row r="196" spans="1:14" ht="14.1" customHeight="1" thickBot="1"/>
    <row r="197" spans="1:14" ht="14.1" customHeight="1" thickTop="1" thickBot="1">
      <c r="A197" s="57" t="s">
        <v>236</v>
      </c>
      <c r="B197" s="59"/>
      <c r="C197" s="59"/>
      <c r="D197" s="59"/>
      <c r="E197" s="59"/>
      <c r="F197" s="59"/>
      <c r="G197" s="171"/>
      <c r="H197" s="59"/>
      <c r="I197" s="171"/>
      <c r="J197" s="59"/>
      <c r="K197" s="59"/>
      <c r="L197" s="59"/>
    </row>
    <row r="198" spans="1:14" ht="14.1" customHeight="1" thickBot="1">
      <c r="A198" s="61">
        <v>46228</v>
      </c>
    </row>
    <row r="199" spans="1:14" ht="14.1" customHeight="1" thickBot="1">
      <c r="D199" s="65" t="str">
        <f>'CHICLETS MASTER S2'!$BC$51</f>
        <v>JSERRA CHS</v>
      </c>
    </row>
    <row r="200" spans="1:14" ht="14.1" customHeight="1">
      <c r="A200" s="174" t="s">
        <v>124</v>
      </c>
      <c r="B200" s="174" t="s">
        <v>125</v>
      </c>
      <c r="C200" s="174" t="s">
        <v>126</v>
      </c>
      <c r="D200" s="174" t="s">
        <v>127</v>
      </c>
      <c r="E200" s="174" t="s">
        <v>128</v>
      </c>
      <c r="F200" s="174" t="s">
        <v>129</v>
      </c>
      <c r="G200" s="175" t="s">
        <v>130</v>
      </c>
      <c r="H200" s="174" t="s">
        <v>131</v>
      </c>
      <c r="I200" s="175" t="s">
        <v>130</v>
      </c>
      <c r="J200" s="174" t="s">
        <v>132</v>
      </c>
      <c r="K200" s="174" t="s">
        <v>133</v>
      </c>
      <c r="L200" s="174" t="s">
        <v>134</v>
      </c>
    </row>
    <row r="201" spans="1:14" ht="14.1" customHeight="1">
      <c r="A201" s="69">
        <f t="shared" ref="A201:A212" si="34">$A$198</f>
        <v>46228</v>
      </c>
      <c r="B201" s="70">
        <f>'CHICLETS MASTER S2'!BA53</f>
        <v>0.33333333333333331</v>
      </c>
      <c r="C201" s="71" t="s">
        <v>237</v>
      </c>
      <c r="D201" s="119" t="str">
        <f t="shared" ref="D201:D212" si="35">$D$199</f>
        <v>JSERRA CHS</v>
      </c>
      <c r="E201" s="71">
        <v>117</v>
      </c>
      <c r="F201" s="90" t="s">
        <v>755</v>
      </c>
      <c r="G201" s="93">
        <v>20</v>
      </c>
      <c r="H201" s="90" t="str">
        <f>IF(G145="","W109",IF(G145&gt;I145,_xlfn.CONCAT("W109-",RIGHT(F145,LEN(F145) - FIND("-",F145))), _xlfn.CONCAT("W109-",RIGHT(H145,LEN(H145) - FIND("-",H145)))))</f>
        <v>W109-AETOS</v>
      </c>
      <c r="I201" s="93">
        <v>8</v>
      </c>
      <c r="J201" s="90">
        <v>141</v>
      </c>
      <c r="K201" s="90">
        <v>149</v>
      </c>
      <c r="L201" s="90" t="str">
        <f t="shared" ref="L201:L212" si="36">$L$15&amp;"-"&amp;TEXT(E201,"000")</f>
        <v>18B-117</v>
      </c>
      <c r="N201" s="60" t="str">
        <f t="shared" ref="N201:N212" si="37">$K$260&amp;C201</f>
        <v>pt_5-8 v 9-12</v>
      </c>
    </row>
    <row r="202" spans="1:14" ht="14.1" customHeight="1">
      <c r="A202" s="69">
        <f t="shared" si="34"/>
        <v>46228</v>
      </c>
      <c r="B202" s="70">
        <f>'CHICLETS MASTER S2'!BA54</f>
        <v>0.375</v>
      </c>
      <c r="C202" s="71" t="s">
        <v>237</v>
      </c>
      <c r="D202" s="119" t="str">
        <f t="shared" si="35"/>
        <v>JSERRA CHS</v>
      </c>
      <c r="E202" s="71">
        <v>121</v>
      </c>
      <c r="F202" s="90" t="s">
        <v>756</v>
      </c>
      <c r="G202" s="93">
        <v>14</v>
      </c>
      <c r="H202" s="90" t="str">
        <f>IF(G195="","W116",IF(G195&gt;I195,_xlfn.CONCAT("W116-",RIGHT(F195,LEN(F195) - FIND("-",F195))), _xlfn.CONCAT("W116-",RIGHT(H195,LEN(H195) - FIND("-",H195)))))</f>
        <v>W116-GREENWICH</v>
      </c>
      <c r="I202" s="93">
        <v>13</v>
      </c>
      <c r="J202" s="90">
        <v>141</v>
      </c>
      <c r="K202" s="90">
        <v>149</v>
      </c>
      <c r="L202" s="90" t="str">
        <f t="shared" si="36"/>
        <v>18B-121</v>
      </c>
      <c r="N202" s="60" t="str">
        <f t="shared" si="37"/>
        <v>pt_5-8 v 9-12</v>
      </c>
    </row>
    <row r="203" spans="1:14" ht="14.1" customHeight="1">
      <c r="A203" s="69">
        <f t="shared" si="34"/>
        <v>46228</v>
      </c>
      <c r="B203" s="70">
        <f>'CHICLETS MASTER S2'!BA55</f>
        <v>0.41666666666666702</v>
      </c>
      <c r="C203" s="71" t="s">
        <v>237</v>
      </c>
      <c r="D203" s="119" t="str">
        <f t="shared" si="35"/>
        <v>JSERRA CHS</v>
      </c>
      <c r="E203" s="71">
        <v>125</v>
      </c>
      <c r="F203" s="90" t="s">
        <v>757</v>
      </c>
      <c r="G203" s="93">
        <v>11</v>
      </c>
      <c r="H203" s="90" t="str">
        <f>IF(G146="","W113",IF(G146&gt;I146,_xlfn.CONCAT("W113-",RIGHT(F146,LEN(F146) - FIND("-",F146))), _xlfn.CONCAT("W113-",RIGHT(H146,LEN(H146) - FIND("-",H146)))))</f>
        <v>W113-ATHERTON</v>
      </c>
      <c r="I203" s="93">
        <v>9</v>
      </c>
      <c r="J203" s="90">
        <v>145</v>
      </c>
      <c r="K203" s="90">
        <v>153</v>
      </c>
      <c r="L203" s="90" t="str">
        <f t="shared" si="36"/>
        <v>18B-125</v>
      </c>
      <c r="N203" s="60" t="str">
        <f t="shared" si="37"/>
        <v>pt_5-8 v 9-12</v>
      </c>
    </row>
    <row r="204" spans="1:14" ht="14.1" customHeight="1">
      <c r="A204" s="69">
        <f t="shared" si="34"/>
        <v>46228</v>
      </c>
      <c r="B204" s="70">
        <f>'CHICLETS MASTER S2'!BA56</f>
        <v>0.45833333333333298</v>
      </c>
      <c r="C204" s="71" t="s">
        <v>237</v>
      </c>
      <c r="D204" s="119" t="str">
        <f t="shared" si="35"/>
        <v>JSERRA CHS</v>
      </c>
      <c r="E204" s="71">
        <v>129</v>
      </c>
      <c r="F204" s="90" t="s">
        <v>758</v>
      </c>
      <c r="G204" s="93">
        <v>17</v>
      </c>
      <c r="H204" s="90" t="str">
        <f>IF(G194="","W112",IF(G194&gt;I194,_xlfn.CONCAT("W112-",RIGHT(F194,LEN(F194) - FIND("-",F194))), _xlfn.CONCAT("W112-",RIGHT(H194,LEN(H194) - FIND("-",H194)))))</f>
        <v>W112-PRIDE A</v>
      </c>
      <c r="I204" s="93">
        <v>7</v>
      </c>
      <c r="J204" s="90">
        <v>145</v>
      </c>
      <c r="K204" s="90">
        <v>153</v>
      </c>
      <c r="L204" s="90" t="str">
        <f t="shared" si="36"/>
        <v>18B-129</v>
      </c>
      <c r="N204" s="60" t="str">
        <f t="shared" si="37"/>
        <v>pt_5-8 v 9-12</v>
      </c>
    </row>
    <row r="205" spans="1:14" ht="14.1" customHeight="1">
      <c r="A205" s="69">
        <f t="shared" si="34"/>
        <v>46228</v>
      </c>
      <c r="B205" s="70">
        <f>'CHICLETS MASTER S2'!BA57</f>
        <v>0.5</v>
      </c>
      <c r="C205" s="71" t="s">
        <v>242</v>
      </c>
      <c r="D205" s="119" t="str">
        <f t="shared" si="35"/>
        <v>JSERRA CHS</v>
      </c>
      <c r="E205" s="71">
        <v>133</v>
      </c>
      <c r="F205" s="90" t="s">
        <v>759</v>
      </c>
      <c r="G205" s="93">
        <v>14</v>
      </c>
      <c r="H205" s="90" t="s">
        <v>760</v>
      </c>
      <c r="I205" s="93">
        <v>13</v>
      </c>
      <c r="J205" s="90">
        <v>173</v>
      </c>
      <c r="K205" s="90">
        <v>157</v>
      </c>
      <c r="L205" s="90" t="str">
        <f t="shared" si="36"/>
        <v>18B-133</v>
      </c>
      <c r="N205" s="60" t="str">
        <f t="shared" si="37"/>
        <v>pt_1-2 v 3-4</v>
      </c>
    </row>
    <row r="206" spans="1:14" ht="14.1" customHeight="1">
      <c r="A206" s="69">
        <f t="shared" si="34"/>
        <v>46228</v>
      </c>
      <c r="B206" s="70">
        <f>'CHICLETS MASTER S2'!BA58</f>
        <v>0.54166666666666696</v>
      </c>
      <c r="C206" s="71" t="s">
        <v>242</v>
      </c>
      <c r="D206" s="119" t="str">
        <f t="shared" si="35"/>
        <v>JSERRA CHS</v>
      </c>
      <c r="E206" s="71">
        <v>137</v>
      </c>
      <c r="F206" s="90" t="s">
        <v>761</v>
      </c>
      <c r="G206" s="93">
        <v>7</v>
      </c>
      <c r="H206" s="90" t="s">
        <v>762</v>
      </c>
      <c r="I206" s="93">
        <v>12</v>
      </c>
      <c r="J206" s="90">
        <v>174</v>
      </c>
      <c r="K206" s="90">
        <v>161</v>
      </c>
      <c r="L206" s="90" t="str">
        <f t="shared" si="36"/>
        <v>18B-137</v>
      </c>
      <c r="N206" s="60" t="str">
        <f t="shared" si="37"/>
        <v>pt_1-2 v 3-4</v>
      </c>
    </row>
    <row r="207" spans="1:14" ht="14.1" customHeight="1">
      <c r="A207" s="69">
        <f t="shared" si="34"/>
        <v>46228</v>
      </c>
      <c r="B207" s="70">
        <f>'CHICLETS MASTER S2'!BA59</f>
        <v>0.58333333333333304</v>
      </c>
      <c r="C207" s="71" t="s">
        <v>247</v>
      </c>
      <c r="D207" s="119" t="str">
        <f t="shared" si="35"/>
        <v>JSERRA CHS</v>
      </c>
      <c r="E207" s="71">
        <v>141</v>
      </c>
      <c r="F207" s="90" t="str">
        <f>IF(G201="","W117",IF(G201&gt;I201,_xlfn.CONCAT("W117-",RIGHT(F201,LEN(F201) - FIND("-",F201))), _xlfn.CONCAT("W117-",RIGHT(H201,LEN(H201) - FIND("-",H201)))))</f>
        <v>W117-SD DONS</v>
      </c>
      <c r="G207" s="93">
        <v>18</v>
      </c>
      <c r="H207" s="90" t="str">
        <f>IF(G202="","W121",IF(G202&gt;I202,_xlfn.CONCAT("W121-",RIGHT(F202,LEN(F202) - FIND("-",F202))), _xlfn.CONCAT("W121-",RIGHT(H202,LEN(H202) - FIND("-",H202)))))</f>
        <v>W121-NORCAL BLACK</v>
      </c>
      <c r="I207" s="93">
        <v>13</v>
      </c>
      <c r="J207" s="90">
        <v>157</v>
      </c>
      <c r="K207" s="90">
        <v>185</v>
      </c>
      <c r="L207" s="90" t="str">
        <f t="shared" si="36"/>
        <v>18B-141</v>
      </c>
      <c r="N207" s="60" t="str">
        <f t="shared" si="37"/>
        <v>pt_5-6 v 7-8</v>
      </c>
    </row>
    <row r="208" spans="1:14" ht="14.1" customHeight="1">
      <c r="A208" s="69">
        <f t="shared" si="34"/>
        <v>46228</v>
      </c>
      <c r="B208" s="70">
        <f>'CHICLETS MASTER S2'!BA60</f>
        <v>0.625</v>
      </c>
      <c r="C208" s="71" t="s">
        <v>247</v>
      </c>
      <c r="D208" s="119" t="str">
        <f t="shared" si="35"/>
        <v>JSERRA CHS</v>
      </c>
      <c r="E208" s="71">
        <v>145</v>
      </c>
      <c r="F208" s="90" t="str">
        <f>IF(G203="","W125",IF(G203&gt;I203,_xlfn.CONCAT("W125-",RIGHT(F203,LEN(F203) - FIND("-",F203))), _xlfn.CONCAT("W125-",RIGHT(H203,LEN(H203) - FIND("-",H203)))))</f>
        <v>W125-LA JOLLA UNITED A</v>
      </c>
      <c r="G208" s="93">
        <v>6</v>
      </c>
      <c r="H208" s="90" t="str">
        <f>IF(G204="","W129",IF(G204&gt;I204,_xlfn.CONCAT("W129-",RIGHT(F204,LEN(F204) - FIND("-",F204))), _xlfn.CONCAT("W129-",RIGHT(H204,LEN(H204) - FIND("-",H204)))))</f>
        <v>W129-NEWPORT BEACH</v>
      </c>
      <c r="I208" s="93">
        <v>13</v>
      </c>
      <c r="J208" s="90">
        <v>161</v>
      </c>
      <c r="K208" s="90">
        <v>185</v>
      </c>
      <c r="L208" s="90" t="str">
        <f t="shared" si="36"/>
        <v>18B-145</v>
      </c>
      <c r="N208" s="60" t="str">
        <f t="shared" si="37"/>
        <v>pt_5-6 v 7-8</v>
      </c>
    </row>
    <row r="209" spans="1:14" ht="14.1" customHeight="1">
      <c r="A209" s="69">
        <f t="shared" si="34"/>
        <v>46228</v>
      </c>
      <c r="B209" s="70">
        <f>'CHICLETS MASTER S2'!BA61</f>
        <v>0.66666666666666696</v>
      </c>
      <c r="C209" s="71" t="s">
        <v>248</v>
      </c>
      <c r="D209" s="119" t="str">
        <f t="shared" si="35"/>
        <v>JSERRA CHS</v>
      </c>
      <c r="E209" s="71">
        <v>149</v>
      </c>
      <c r="F209" s="90" t="str">
        <f>IF(G202="","L121",IF(G202&lt;I202,_xlfn.CONCAT("L201-",RIGHT(F202,LEN(F202) - FIND("-",F202))), _xlfn.CONCAT("L121-",RIGHT(H202,LEN(H202) - FIND("-",H202)))))</f>
        <v>L121-GREENWICH</v>
      </c>
      <c r="G209" s="97">
        <v>12.3</v>
      </c>
      <c r="H209" s="90" t="str">
        <f>IF(G201="","L117",IF(G201&lt;I201,_xlfn.CONCAT("L117-",RIGHT(F201,LEN(F201) - FIND("-",F201))), _xlfn.CONCAT("L117-",RIGHT(H201,LEN(H201) - FIND("-",H201)))))</f>
        <v>L117-AETOS</v>
      </c>
      <c r="I209" s="97">
        <v>12.4</v>
      </c>
      <c r="J209" s="90">
        <v>182</v>
      </c>
      <c r="K209" s="90">
        <v>181</v>
      </c>
      <c r="L209" s="90" t="str">
        <f t="shared" si="36"/>
        <v>18B-149</v>
      </c>
      <c r="N209" s="60" t="str">
        <f t="shared" si="37"/>
        <v>pt_9-12 semi</v>
      </c>
    </row>
    <row r="210" spans="1:14" ht="14.1" customHeight="1">
      <c r="A210" s="69">
        <f t="shared" si="34"/>
        <v>46228</v>
      </c>
      <c r="B210" s="70">
        <f>'CHICLETS MASTER S2'!BA62</f>
        <v>0.70833333333333304</v>
      </c>
      <c r="C210" s="71" t="s">
        <v>248</v>
      </c>
      <c r="D210" s="119" t="str">
        <f t="shared" si="35"/>
        <v>JSERRA CHS</v>
      </c>
      <c r="E210" s="71">
        <v>153</v>
      </c>
      <c r="F210" s="90" t="str">
        <f>IF(G204="","L129",IF(G204&lt;I204,_xlfn.CONCAT("L129-",RIGHT(F204,LEN(F204) - FIND("-",F204))), _xlfn.CONCAT("L129-",RIGHT(H204,LEN(H204) - FIND("-",H204)))))</f>
        <v>L129-PRIDE A</v>
      </c>
      <c r="G210" s="93">
        <v>14</v>
      </c>
      <c r="H210" s="90" t="str">
        <f>IF(G203="","L125",IF(G203&lt;I203,_xlfn.CONCAT("L125-",RIGHT(F203,LEN(F203) - FIND("-",F203))), _xlfn.CONCAT("L125-",RIGHT(H203,LEN(H203) - FIND("-",H203)))))</f>
        <v>L125-ATHERTON</v>
      </c>
      <c r="I210" s="93">
        <v>16</v>
      </c>
      <c r="J210" s="90">
        <v>182</v>
      </c>
      <c r="K210" s="90">
        <v>181</v>
      </c>
      <c r="L210" s="90" t="str">
        <f t="shared" si="36"/>
        <v>18B-153</v>
      </c>
      <c r="N210" s="60" t="str">
        <f t="shared" si="37"/>
        <v>pt_9-12 semi</v>
      </c>
    </row>
    <row r="211" spans="1:14" ht="14.1" customHeight="1">
      <c r="A211" s="69">
        <f t="shared" si="34"/>
        <v>46228</v>
      </c>
      <c r="B211" s="70">
        <f>'CHICLETS MASTER S2'!BA63</f>
        <v>0.75</v>
      </c>
      <c r="C211" s="71" t="s">
        <v>266</v>
      </c>
      <c r="D211" s="119" t="str">
        <f t="shared" si="35"/>
        <v>JSERRA CHS</v>
      </c>
      <c r="E211" s="71">
        <v>157</v>
      </c>
      <c r="F211" s="90" t="str">
        <f>IF(G205="","L133",IF(G205&lt;I205,_xlfn.CONCAT("L133-",RIGHT(F205,LEN(F205) - FIND("-",F205))), _xlfn.CONCAT("L133-",RIGHT(H205,LEN(H205) - FIND("-",H205)))))</f>
        <v>L133-CC UNITED BLACK</v>
      </c>
      <c r="G211" s="97">
        <v>9.5</v>
      </c>
      <c r="H211" s="90" t="str">
        <f>IF(G207="","W141",IF(G207&gt;I207,_xlfn.CONCAT("W141-",RIGHT(F207,LEN(F207) - FIND("-",F207))), _xlfn.CONCAT("W141-",RIGHT(H207,LEN(H207) - FIND("-",H207)))))</f>
        <v>W141-SD DONS</v>
      </c>
      <c r="I211" s="97">
        <v>9.6</v>
      </c>
      <c r="J211" s="90">
        <v>174</v>
      </c>
      <c r="K211" s="90">
        <v>186</v>
      </c>
      <c r="L211" s="90" t="str">
        <f t="shared" si="36"/>
        <v>18B-157</v>
      </c>
      <c r="N211" s="60" t="str">
        <f t="shared" si="37"/>
        <v>pt_qtr final</v>
      </c>
    </row>
    <row r="212" spans="1:14" ht="14.1" customHeight="1">
      <c r="A212" s="69">
        <f t="shared" si="34"/>
        <v>46228</v>
      </c>
      <c r="B212" s="70">
        <f>'CHICLETS MASTER S2'!BA64</f>
        <v>0.79166666666666696</v>
      </c>
      <c r="C212" s="71" t="s">
        <v>266</v>
      </c>
      <c r="D212" s="119" t="str">
        <f t="shared" si="35"/>
        <v>JSERRA CHS</v>
      </c>
      <c r="E212" s="71">
        <v>161</v>
      </c>
      <c r="F212" s="90" t="str">
        <f>IF(G206="","L137",IF(G206&lt;I206,_xlfn.CONCAT("L137-",RIGHT(F206,LEN(F206) - FIND("-",F206))), _xlfn.CONCAT("L137-",RIGHT(H206,LEN(H206) - FIND("-",H206)))))</f>
        <v>L137-SD SHORES BLACK</v>
      </c>
      <c r="G212" s="93">
        <v>8</v>
      </c>
      <c r="H212" s="90" t="str">
        <f>IF(G208="","W145",IF(G208&gt;I208,_xlfn.CONCAT("W145-",RIGHT(F208,LEN(F208) - FIND("-",F208))), _xlfn.CONCAT("W145-",RIGHT(H208,LEN(H208) - FIND("-",H208)))))</f>
        <v>W145-NEWPORT BEACH</v>
      </c>
      <c r="I212" s="93">
        <v>13</v>
      </c>
      <c r="J212" s="90">
        <v>173</v>
      </c>
      <c r="K212" s="90">
        <v>186</v>
      </c>
      <c r="L212" s="90" t="str">
        <f t="shared" si="36"/>
        <v>18B-161</v>
      </c>
      <c r="N212" s="60" t="str">
        <f t="shared" si="37"/>
        <v>pt_qtr final</v>
      </c>
    </row>
    <row r="213" spans="1:14" ht="14.1" customHeight="1" thickBot="1">
      <c r="A213" s="98"/>
      <c r="B213" s="79"/>
    </row>
    <row r="214" spans="1:14" ht="14.1" customHeight="1" thickBot="1">
      <c r="D214" s="65" t="str">
        <f>'CHICLETS MASTER S2'!$AD$51</f>
        <v>NEWPORT HARBOR HS</v>
      </c>
    </row>
    <row r="215" spans="1:14" ht="14.1" customHeight="1">
      <c r="A215" s="174" t="s">
        <v>124</v>
      </c>
      <c r="B215" s="174" t="s">
        <v>125</v>
      </c>
      <c r="C215" s="174" t="s">
        <v>126</v>
      </c>
      <c r="D215" s="174" t="s">
        <v>127</v>
      </c>
      <c r="E215" s="174" t="s">
        <v>128</v>
      </c>
      <c r="F215" s="174" t="s">
        <v>129</v>
      </c>
      <c r="G215" s="175" t="s">
        <v>130</v>
      </c>
      <c r="H215" s="174" t="s">
        <v>131</v>
      </c>
      <c r="I215" s="175" t="s">
        <v>130</v>
      </c>
      <c r="J215" s="174" t="s">
        <v>132</v>
      </c>
      <c r="K215" s="174" t="s">
        <v>133</v>
      </c>
      <c r="L215" s="174" t="s">
        <v>134</v>
      </c>
    </row>
    <row r="216" spans="1:14" ht="14.1" customHeight="1">
      <c r="A216" s="69">
        <f t="shared" ref="A216:A227" si="38">$A$198</f>
        <v>46228</v>
      </c>
      <c r="B216" s="70">
        <f>'CHICLETS MASTER S2'!BA53</f>
        <v>0.33333333333333331</v>
      </c>
      <c r="C216" s="71" t="s">
        <v>249</v>
      </c>
      <c r="D216" s="119" t="str">
        <f t="shared" ref="D216:D227" si="39">$D$214</f>
        <v>NEWPORT HARBOR HS</v>
      </c>
      <c r="E216" s="71">
        <v>118</v>
      </c>
      <c r="F216" s="90" t="s">
        <v>763</v>
      </c>
      <c r="G216" s="93">
        <v>8</v>
      </c>
      <c r="H216" s="90" t="s">
        <v>764</v>
      </c>
      <c r="I216" s="93">
        <v>17</v>
      </c>
      <c r="J216" s="90"/>
      <c r="K216" s="90"/>
      <c r="L216" s="90" t="str">
        <f t="shared" ref="L216:L227" si="40">$L$15&amp;"-"&amp;TEXT(E216,"000")</f>
        <v>18B-118</v>
      </c>
      <c r="N216" s="60" t="str">
        <f t="shared" ref="N216:N227" si="41">$K$260&amp;C216</f>
        <v>pt_21-24 RR</v>
      </c>
    </row>
    <row r="217" spans="1:14" ht="14.1" customHeight="1">
      <c r="A217" s="69">
        <f t="shared" si="38"/>
        <v>46228</v>
      </c>
      <c r="B217" s="70">
        <f>'CHICLETS MASTER S2'!BA54</f>
        <v>0.375</v>
      </c>
      <c r="C217" s="71" t="s">
        <v>249</v>
      </c>
      <c r="D217" s="119" t="str">
        <f t="shared" si="39"/>
        <v>NEWPORT HARBOR HS</v>
      </c>
      <c r="E217" s="71">
        <v>122</v>
      </c>
      <c r="F217" s="90" t="s">
        <v>765</v>
      </c>
      <c r="G217" s="97">
        <v>10.7</v>
      </c>
      <c r="H217" s="90" t="s">
        <v>443</v>
      </c>
      <c r="I217" s="97">
        <v>10.8</v>
      </c>
      <c r="J217" s="90"/>
      <c r="K217" s="90"/>
      <c r="L217" s="90" t="str">
        <f t="shared" si="40"/>
        <v>18B-122</v>
      </c>
      <c r="N217" s="60" t="str">
        <f t="shared" si="41"/>
        <v>pt_21-24 RR</v>
      </c>
    </row>
    <row r="218" spans="1:14" ht="14.1" customHeight="1">
      <c r="A218" s="69">
        <f t="shared" si="38"/>
        <v>46228</v>
      </c>
      <c r="B218" s="70">
        <f>'CHICLETS MASTER S2'!BA55</f>
        <v>0.41666666666666702</v>
      </c>
      <c r="C218" s="71" t="s">
        <v>254</v>
      </c>
      <c r="D218" s="119" t="str">
        <f t="shared" si="39"/>
        <v>NEWPORT HARBOR HS</v>
      </c>
      <c r="E218" s="71">
        <v>126</v>
      </c>
      <c r="F218" s="90" t="str">
        <f>IF(G194="","L112",IF(G194&lt;I194,_xlfn.CONCAT("L112-",RIGHT(F194,LEN(F194) - FIND("-",F194))), _xlfn.CONCAT("L112-",RIGHT(H194,LEN(H194) - FIND("-",H194)))))</f>
        <v>L112-MISSION</v>
      </c>
      <c r="G218" s="93">
        <v>7</v>
      </c>
      <c r="H218" s="90" t="s">
        <v>766</v>
      </c>
      <c r="I218" s="93">
        <v>4</v>
      </c>
      <c r="J218" s="90">
        <v>150</v>
      </c>
      <c r="K218" s="90">
        <v>154</v>
      </c>
      <c r="L218" s="90" t="str">
        <f t="shared" si="40"/>
        <v>18B-126</v>
      </c>
      <c r="N218" s="60" t="str">
        <f t="shared" si="41"/>
        <v>pt_13-20 qtr</v>
      </c>
    </row>
    <row r="219" spans="1:14" ht="14.1" customHeight="1">
      <c r="A219" s="69">
        <f t="shared" si="38"/>
        <v>46228</v>
      </c>
      <c r="B219" s="70">
        <f>'CHICLETS MASTER S2'!BA56</f>
        <v>0.45833333333333298</v>
      </c>
      <c r="C219" s="71" t="s">
        <v>254</v>
      </c>
      <c r="D219" s="119" t="str">
        <f t="shared" si="39"/>
        <v>NEWPORT HARBOR HS</v>
      </c>
      <c r="E219" s="71">
        <v>130</v>
      </c>
      <c r="F219" s="90" t="str">
        <f>IF(G145="","L109",IF(G145&lt;I145,_xlfn.CONCAT("L109-",RIGHT(F145,LEN(F145) - FIND("-",F145))), _xlfn.CONCAT("L109-",RIGHT(H145,LEN(H145) - FIND("-",H145)))))</f>
        <v>L109-TROJAN CARDINAL</v>
      </c>
      <c r="G219" s="93">
        <v>11</v>
      </c>
      <c r="H219" s="90" t="s">
        <v>767</v>
      </c>
      <c r="I219" s="93">
        <v>10</v>
      </c>
      <c r="J219" s="90">
        <v>150</v>
      </c>
      <c r="K219" s="90">
        <v>154</v>
      </c>
      <c r="L219" s="90" t="str">
        <f t="shared" si="40"/>
        <v>18B-130</v>
      </c>
      <c r="N219" s="60" t="str">
        <f t="shared" si="41"/>
        <v>pt_13-20 qtr</v>
      </c>
    </row>
    <row r="220" spans="1:14" ht="14.1" customHeight="1">
      <c r="A220" s="69">
        <f t="shared" si="38"/>
        <v>46228</v>
      </c>
      <c r="B220" s="70">
        <f>'CHICLETS MASTER S2'!BA57</f>
        <v>0.5</v>
      </c>
      <c r="C220" s="71" t="s">
        <v>254</v>
      </c>
      <c r="D220" s="119" t="str">
        <f t="shared" si="39"/>
        <v>NEWPORT HARBOR HS</v>
      </c>
      <c r="E220" s="71">
        <v>134</v>
      </c>
      <c r="F220" s="90" t="str">
        <f>IF(G195="","L116",IF(G195&lt;I195,_xlfn.CONCAT("L116-",RIGHT(F195,LEN(F195) - FIND("-",F195))), _xlfn.CONCAT("L116-",RIGHT(H195,LEN(H195) - FIND("-",H195)))))</f>
        <v>L116-CIU SENIORS A</v>
      </c>
      <c r="G220" s="93">
        <v>17</v>
      </c>
      <c r="H220" s="90" t="s">
        <v>768</v>
      </c>
      <c r="I220" s="93">
        <v>11</v>
      </c>
      <c r="J220" s="90">
        <v>158</v>
      </c>
      <c r="K220" s="90">
        <v>162</v>
      </c>
      <c r="L220" s="90" t="str">
        <f t="shared" si="40"/>
        <v>18B-134</v>
      </c>
      <c r="N220" s="60" t="str">
        <f t="shared" si="41"/>
        <v>pt_13-20 qtr</v>
      </c>
    </row>
    <row r="221" spans="1:14" ht="14.1" customHeight="1">
      <c r="A221" s="69">
        <f t="shared" si="38"/>
        <v>46228</v>
      </c>
      <c r="B221" s="70">
        <f>'CHICLETS MASTER S2'!BA58</f>
        <v>0.54166666666666696</v>
      </c>
      <c r="C221" s="71" t="s">
        <v>254</v>
      </c>
      <c r="D221" s="119" t="str">
        <f t="shared" si="39"/>
        <v>NEWPORT HARBOR HS</v>
      </c>
      <c r="E221" s="71">
        <v>138</v>
      </c>
      <c r="F221" s="90" t="str">
        <f>IF(G146="","L113",IF(G146&lt;I146,_xlfn.CONCAT("L113-",RIGHT(F146,LEN(F146) - FIND("-",F146))), _xlfn.CONCAT("L113-",RIGHT(H146,LEN(H146) - FIND("-",H146)))))</f>
        <v>L113-LA PREMIER A</v>
      </c>
      <c r="G221" s="93">
        <v>12</v>
      </c>
      <c r="H221" s="90" t="s">
        <v>769</v>
      </c>
      <c r="I221" s="93">
        <v>13</v>
      </c>
      <c r="J221" s="90">
        <v>158</v>
      </c>
      <c r="K221" s="90">
        <v>162</v>
      </c>
      <c r="L221" s="90" t="str">
        <f t="shared" si="40"/>
        <v>18B-138</v>
      </c>
      <c r="N221" s="60" t="str">
        <f t="shared" si="41"/>
        <v>pt_13-20 qtr</v>
      </c>
    </row>
    <row r="222" spans="1:14" ht="14.1" customHeight="1">
      <c r="A222" s="69">
        <f t="shared" si="38"/>
        <v>46228</v>
      </c>
      <c r="B222" s="70">
        <f>'CHICLETS MASTER S2'!BA59</f>
        <v>0.58333333333333304</v>
      </c>
      <c r="C222" s="71" t="s">
        <v>249</v>
      </c>
      <c r="D222" s="119" t="str">
        <f t="shared" si="39"/>
        <v>NEWPORT HARBOR HS</v>
      </c>
      <c r="E222" s="71">
        <v>142</v>
      </c>
      <c r="F222" s="90" t="s">
        <v>770</v>
      </c>
      <c r="G222" s="93">
        <v>10</v>
      </c>
      <c r="H222" s="90" t="s">
        <v>443</v>
      </c>
      <c r="I222" s="93">
        <v>9</v>
      </c>
      <c r="J222" s="90"/>
      <c r="K222" s="90"/>
      <c r="L222" s="90" t="str">
        <f t="shared" si="40"/>
        <v>18B-142</v>
      </c>
      <c r="N222" s="60" t="str">
        <f t="shared" si="41"/>
        <v>pt_21-24 RR</v>
      </c>
    </row>
    <row r="223" spans="1:14" ht="14.1" customHeight="1">
      <c r="A223" s="69">
        <f t="shared" si="38"/>
        <v>46228</v>
      </c>
      <c r="B223" s="70">
        <f>'CHICLETS MASTER S2'!BA60</f>
        <v>0.625</v>
      </c>
      <c r="C223" s="71" t="s">
        <v>249</v>
      </c>
      <c r="D223" s="119" t="str">
        <f t="shared" si="39"/>
        <v>NEWPORT HARBOR HS</v>
      </c>
      <c r="E223" s="71">
        <v>146</v>
      </c>
      <c r="F223" s="90" t="s">
        <v>771</v>
      </c>
      <c r="G223" s="93">
        <v>11</v>
      </c>
      <c r="H223" s="90" t="s">
        <v>764</v>
      </c>
      <c r="I223" s="93">
        <v>9</v>
      </c>
      <c r="J223" s="90"/>
      <c r="K223" s="90"/>
      <c r="L223" s="90" t="str">
        <f t="shared" si="40"/>
        <v>18B-146</v>
      </c>
      <c r="N223" s="60" t="str">
        <f t="shared" si="41"/>
        <v>pt_21-24 RR</v>
      </c>
    </row>
    <row r="224" spans="1:14" ht="14.1" customHeight="1">
      <c r="A224" s="69">
        <f t="shared" si="38"/>
        <v>46228</v>
      </c>
      <c r="B224" s="70">
        <f>'CHICLETS MASTER S2'!BA61</f>
        <v>0.66666666666666696</v>
      </c>
      <c r="C224" s="71" t="s">
        <v>259</v>
      </c>
      <c r="D224" s="119" t="str">
        <f t="shared" si="39"/>
        <v>NEWPORT HARBOR HS</v>
      </c>
      <c r="E224" s="71">
        <v>150</v>
      </c>
      <c r="F224" s="90" t="str">
        <f>IF(G218="","W126",IF(G218&gt;I218,_xlfn.CONCAT("W126-",RIGHT(F218,LEN(F218) - FIND("-",F218))), _xlfn.CONCAT("W126-",RIGHT(H218,LEN(H218) - FIND("-",H218)))))</f>
        <v>W126-MISSION</v>
      </c>
      <c r="G224" s="90">
        <v>2</v>
      </c>
      <c r="H224" s="90" t="str">
        <f>IF(G219="","W130",IF(G219&gt;I219,_xlfn.CONCAT("W130-",RIGHT(F219,LEN(F219) - FIND("-",F219))), _xlfn.CONCAT("W130-",RIGHT(H219,LEN(H219) - FIND("-",H219)))))</f>
        <v>W130-TROJAN CARDINAL</v>
      </c>
      <c r="I224" s="93">
        <v>12</v>
      </c>
      <c r="J224" s="90">
        <v>178</v>
      </c>
      <c r="K224" s="90">
        <v>177</v>
      </c>
      <c r="L224" s="90" t="str">
        <f t="shared" si="40"/>
        <v>18B-150</v>
      </c>
      <c r="N224" s="60" t="str">
        <f t="shared" si="41"/>
        <v>pt_13-16 semi</v>
      </c>
    </row>
    <row r="225" spans="1:14" ht="14.1" customHeight="1">
      <c r="A225" s="69">
        <f t="shared" si="38"/>
        <v>46228</v>
      </c>
      <c r="B225" s="70">
        <f>'CHICLETS MASTER S2'!BA62</f>
        <v>0.70833333333333304</v>
      </c>
      <c r="C225" s="71" t="s">
        <v>260</v>
      </c>
      <c r="D225" s="119" t="str">
        <f t="shared" si="39"/>
        <v>NEWPORT HARBOR HS</v>
      </c>
      <c r="E225" s="71">
        <v>154</v>
      </c>
      <c r="F225" s="90" t="str">
        <f>IF(G219="","L130",IF(G219&lt;I219,_xlfn.CONCAT("L130-",RIGHT(F219,LEN(F219) - FIND("-",F219))), _xlfn.CONCAT("L130-",RIGHT(H219,LEN(H219) - FIND("-",H219)))))</f>
        <v>L130-VEGAS NORTH IRVINE BLACK</v>
      </c>
      <c r="G225" s="90">
        <v>13</v>
      </c>
      <c r="H225" s="90" t="str">
        <f>IF(G218="","L126",IF(G218&lt;I218,_xlfn.CONCAT("L126-",RIGHT(F218,LEN(F218) - FIND("-",F218))), _xlfn.CONCAT("L126-",RIGHT(H218,LEN(H218) - FIND("-",H218)))))</f>
        <v>L126-IMPERIAL BLUE</v>
      </c>
      <c r="I225" s="93">
        <v>15</v>
      </c>
      <c r="J225" s="90">
        <v>170</v>
      </c>
      <c r="K225" s="90">
        <v>169</v>
      </c>
      <c r="L225" s="90" t="str">
        <f t="shared" si="40"/>
        <v>18B-154</v>
      </c>
      <c r="N225" s="60" t="str">
        <f t="shared" si="41"/>
        <v>pt_17-20 semi</v>
      </c>
    </row>
    <row r="226" spans="1:14" ht="14.1" customHeight="1">
      <c r="A226" s="69">
        <f t="shared" si="38"/>
        <v>46228</v>
      </c>
      <c r="B226" s="70">
        <f>'CHICLETS MASTER S2'!BA63</f>
        <v>0.75</v>
      </c>
      <c r="C226" s="71" t="s">
        <v>259</v>
      </c>
      <c r="D226" s="119" t="str">
        <f t="shared" si="39"/>
        <v>NEWPORT HARBOR HS</v>
      </c>
      <c r="E226" s="71">
        <v>158</v>
      </c>
      <c r="F226" s="90" t="str">
        <f>IF(G220="","W134",IF(G220&gt;I220,_xlfn.CONCAT("W134-",RIGHT(F220,LEN(F220) - FIND("-",F220))), _xlfn.CONCAT("W134-",RIGHT(H220,LEN(H220) - FIND("-",H220)))))</f>
        <v>W134-CIU SENIORS A</v>
      </c>
      <c r="G226" s="90">
        <v>15</v>
      </c>
      <c r="H226" s="90" t="str">
        <f>IF(G221="","W138",IF(G221&gt;I221,_xlfn.CONCAT("W138-",RIGHT(F221,LEN(F221) - FIND("-",F221))), _xlfn.CONCAT("W138-",RIGHT(H221,LEN(H221) - FIND("-",H221)))))</f>
        <v>W138-SAN FRANCISCO WARRIORS</v>
      </c>
      <c r="I226" s="93">
        <v>6</v>
      </c>
      <c r="J226" s="90">
        <v>178</v>
      </c>
      <c r="K226" s="90">
        <v>177</v>
      </c>
      <c r="L226" s="90" t="str">
        <f t="shared" si="40"/>
        <v>18B-158</v>
      </c>
      <c r="N226" s="60" t="str">
        <f t="shared" si="41"/>
        <v>pt_13-16 semi</v>
      </c>
    </row>
    <row r="227" spans="1:14" ht="14.1" customHeight="1">
      <c r="A227" s="69">
        <f t="shared" si="38"/>
        <v>46228</v>
      </c>
      <c r="B227" s="70">
        <f>'CHICLETS MASTER S2'!BA64</f>
        <v>0.79166666666666696</v>
      </c>
      <c r="C227" s="71" t="s">
        <v>260</v>
      </c>
      <c r="D227" s="119" t="str">
        <f t="shared" si="39"/>
        <v>NEWPORT HARBOR HS</v>
      </c>
      <c r="E227" s="71">
        <v>162</v>
      </c>
      <c r="F227" s="90" t="str">
        <f>IF(G221="","L138",IF(G221&lt;I221,_xlfn.CONCAT("L138-",RIGHT(F221,LEN(F221) - FIND("-",F221))), _xlfn.CONCAT("L138-",RIGHT(H221,LEN(H221) - FIND("-",H221)))))</f>
        <v>L138-LA PREMIER A</v>
      </c>
      <c r="G227" s="90">
        <v>18</v>
      </c>
      <c r="H227" s="90" t="str">
        <f>IF(G220="","L134",IF(G220&lt;I220,_xlfn.CONCAT("L134-",RIGHT(F220,LEN(F220) - FIND("-",F220))), _xlfn.CONCAT("L134-",RIGHT(H220,LEN(H220) - FIND("-",H220)))))</f>
        <v>L134-SOCAL</v>
      </c>
      <c r="I227" s="93">
        <v>10</v>
      </c>
      <c r="J227" s="90">
        <v>170</v>
      </c>
      <c r="K227" s="90">
        <v>169</v>
      </c>
      <c r="L227" s="90" t="str">
        <f t="shared" si="40"/>
        <v>18B-162</v>
      </c>
      <c r="N227" s="60" t="str">
        <f t="shared" si="41"/>
        <v>pt_17-20 semi</v>
      </c>
    </row>
    <row r="228" spans="1:14" ht="14.1" customHeight="1" thickBot="1">
      <c r="A228" s="98"/>
      <c r="B228" s="79"/>
    </row>
    <row r="229" spans="1:14" ht="14.1" customHeight="1" thickBot="1">
      <c r="D229" s="65" t="str">
        <f>'CHICLETS MASTER S2'!$BD$51</f>
        <v>CHAPMAN UNIVERSITY</v>
      </c>
    </row>
    <row r="230" spans="1:14" ht="14.1" customHeight="1">
      <c r="A230" s="174" t="s">
        <v>124</v>
      </c>
      <c r="B230" s="174" t="s">
        <v>125</v>
      </c>
      <c r="C230" s="174" t="s">
        <v>126</v>
      </c>
      <c r="D230" s="174" t="s">
        <v>127</v>
      </c>
      <c r="E230" s="174" t="s">
        <v>128</v>
      </c>
      <c r="F230" s="174" t="s">
        <v>129</v>
      </c>
      <c r="G230" s="175" t="s">
        <v>130</v>
      </c>
      <c r="H230" s="174" t="s">
        <v>131</v>
      </c>
      <c r="I230" s="175" t="s">
        <v>130</v>
      </c>
      <c r="J230" s="174" t="s">
        <v>132</v>
      </c>
      <c r="K230" s="174" t="s">
        <v>133</v>
      </c>
      <c r="L230" s="174" t="s">
        <v>134</v>
      </c>
    </row>
    <row r="231" spans="1:14" ht="14.1" customHeight="1">
      <c r="A231" s="69">
        <f t="shared" ref="A231:A242" si="42">$A$198</f>
        <v>46228</v>
      </c>
      <c r="B231" s="70">
        <f>'CHICLETS MASTER S2'!BA53</f>
        <v>0.33333333333333331</v>
      </c>
      <c r="C231" s="71" t="s">
        <v>237</v>
      </c>
      <c r="D231" s="119" t="str">
        <f t="shared" ref="D231:D242" si="43">$D$229</f>
        <v>CHAPMAN UNIVERSITY</v>
      </c>
      <c r="E231" s="71">
        <v>119</v>
      </c>
      <c r="F231" s="155" t="s">
        <v>772</v>
      </c>
      <c r="G231" s="156">
        <v>12</v>
      </c>
      <c r="H231" s="155" t="str">
        <f>IF(G161="","W110",IF(G161&gt;I161,_xlfn.CONCAT("W110-",RIGHT(F161,LEN(F161) - FIND("-",F161))), _xlfn.CONCAT("W110-",RIGHT(H161,LEN(H161) - FIND("-",H161)))))</f>
        <v>W110-LOWPO</v>
      </c>
      <c r="I231" s="156">
        <v>14</v>
      </c>
      <c r="J231" s="155">
        <v>143</v>
      </c>
      <c r="K231" s="155">
        <v>151</v>
      </c>
      <c r="L231" s="155" t="str">
        <f t="shared" ref="L231:L242" si="44">$L$15&amp;"-"&amp;TEXT(E231,"000")</f>
        <v>18B-119</v>
      </c>
      <c r="N231" s="60" t="str">
        <f t="shared" ref="N231:N242" si="45">$L$260&amp;C231</f>
        <v>au_5-8 v 9-12</v>
      </c>
    </row>
    <row r="232" spans="1:14" ht="14.1" customHeight="1">
      <c r="A232" s="69">
        <f t="shared" si="42"/>
        <v>46228</v>
      </c>
      <c r="B232" s="70">
        <f>'CHICLETS MASTER S2'!BA54</f>
        <v>0.375</v>
      </c>
      <c r="C232" s="71" t="s">
        <v>237</v>
      </c>
      <c r="D232" s="119" t="str">
        <f t="shared" si="43"/>
        <v>CHAPMAN UNIVERSITY</v>
      </c>
      <c r="E232" s="71">
        <v>123</v>
      </c>
      <c r="F232" s="155" t="s">
        <v>773</v>
      </c>
      <c r="G232" s="156">
        <v>9</v>
      </c>
      <c r="H232" s="155" t="str">
        <f>IF(G178="","W115",IF(G178&gt;I178,_xlfn.CONCAT("W115-",RIGHT(F178,LEN(F178) - FIND("-",F178))), _xlfn.CONCAT("W115-",RIGHT(H178,LEN(H178) - FIND("-",H178)))))</f>
        <v>W115-AMERICAN RIVER BLUE</v>
      </c>
      <c r="I232" s="156">
        <v>16</v>
      </c>
      <c r="J232" s="155">
        <v>143</v>
      </c>
      <c r="K232" s="155">
        <v>151</v>
      </c>
      <c r="L232" s="155" t="str">
        <f t="shared" si="44"/>
        <v>18B-123</v>
      </c>
      <c r="N232" s="60" t="str">
        <f t="shared" si="45"/>
        <v>au_5-8 v 9-12</v>
      </c>
    </row>
    <row r="233" spans="1:14" ht="14.1" customHeight="1">
      <c r="A233" s="69">
        <f t="shared" si="42"/>
        <v>46228</v>
      </c>
      <c r="B233" s="70">
        <f>'CHICLETS MASTER S2'!BA55</f>
        <v>0.41666666666666702</v>
      </c>
      <c r="C233" s="71" t="s">
        <v>237</v>
      </c>
      <c r="D233" s="119" t="str">
        <f t="shared" si="43"/>
        <v>CHAPMAN UNIVERSITY</v>
      </c>
      <c r="E233" s="71">
        <v>127</v>
      </c>
      <c r="F233" s="155" t="s">
        <v>774</v>
      </c>
      <c r="G233" s="156">
        <v>13</v>
      </c>
      <c r="H233" s="155" t="str">
        <f>IF(G162="","W114",IF(G162&gt;I162,_xlfn.CONCAT("W114-",RIGHT(F162,LEN(F162) - FIND("-",F162))), _xlfn.CONCAT("W114-",RIGHT(H162,LEN(H162) - FIND("-",H162)))))</f>
        <v>W114-SLAP</v>
      </c>
      <c r="I233" s="156">
        <v>8</v>
      </c>
      <c r="J233" s="155">
        <v>147</v>
      </c>
      <c r="K233" s="155">
        <v>155</v>
      </c>
      <c r="L233" s="155" t="str">
        <f t="shared" si="44"/>
        <v>18B-127</v>
      </c>
      <c r="N233" s="60" t="str">
        <f t="shared" si="45"/>
        <v>au_5-8 v 9-12</v>
      </c>
    </row>
    <row r="234" spans="1:14" ht="14.1" customHeight="1">
      <c r="A234" s="69">
        <f t="shared" si="42"/>
        <v>46228</v>
      </c>
      <c r="B234" s="70">
        <f>'CHICLETS MASTER S2'!BA56</f>
        <v>0.45833333333333298</v>
      </c>
      <c r="C234" s="71" t="s">
        <v>237</v>
      </c>
      <c r="D234" s="119" t="str">
        <f t="shared" si="43"/>
        <v>CHAPMAN UNIVERSITY</v>
      </c>
      <c r="E234" s="71">
        <v>131</v>
      </c>
      <c r="F234" s="155" t="s">
        <v>775</v>
      </c>
      <c r="G234" s="156">
        <v>8</v>
      </c>
      <c r="H234" s="155" t="str">
        <f>IF(G177="","W111",IF(G177&gt;I177,_xlfn.CONCAT("W111-",RIGHT(F177,LEN(F177) - FIND("-",F177))), _xlfn.CONCAT("W111-",RIGHT(H177,LEN(H177) - FIND("-",H177)))))</f>
        <v>W111-PRAETORIAN</v>
      </c>
      <c r="I234" s="156">
        <v>12</v>
      </c>
      <c r="J234" s="155">
        <v>147</v>
      </c>
      <c r="K234" s="155">
        <v>155</v>
      </c>
      <c r="L234" s="155" t="str">
        <f t="shared" si="44"/>
        <v>18B-131</v>
      </c>
      <c r="N234" s="60" t="str">
        <f t="shared" si="45"/>
        <v>au_5-8 v 9-12</v>
      </c>
    </row>
    <row r="235" spans="1:14" ht="14.1" customHeight="1">
      <c r="A235" s="69">
        <f t="shared" si="42"/>
        <v>46228</v>
      </c>
      <c r="B235" s="70">
        <f>'CHICLETS MASTER S2'!BA57</f>
        <v>0.5</v>
      </c>
      <c r="C235" s="71" t="s">
        <v>242</v>
      </c>
      <c r="D235" s="119" t="str">
        <f t="shared" si="43"/>
        <v>CHAPMAN UNIVERSITY</v>
      </c>
      <c r="E235" s="71">
        <v>135</v>
      </c>
      <c r="F235" s="155" t="s">
        <v>669</v>
      </c>
      <c r="G235" s="156">
        <v>16</v>
      </c>
      <c r="H235" s="155" t="s">
        <v>776</v>
      </c>
      <c r="I235" s="156">
        <v>13</v>
      </c>
      <c r="J235" s="155">
        <v>172</v>
      </c>
      <c r="K235" s="155">
        <v>159</v>
      </c>
      <c r="L235" s="155" t="str">
        <f t="shared" si="44"/>
        <v>18B-135</v>
      </c>
      <c r="N235" s="60" t="str">
        <f t="shared" si="45"/>
        <v>au_1-2 v 3-4</v>
      </c>
    </row>
    <row r="236" spans="1:14" ht="14.1" customHeight="1">
      <c r="A236" s="69">
        <f t="shared" si="42"/>
        <v>46228</v>
      </c>
      <c r="B236" s="70">
        <f>'CHICLETS MASTER S2'!BA58</f>
        <v>0.54166666666666696</v>
      </c>
      <c r="C236" s="71" t="s">
        <v>242</v>
      </c>
      <c r="D236" s="119" t="str">
        <f t="shared" si="43"/>
        <v>CHAPMAN UNIVERSITY</v>
      </c>
      <c r="E236" s="71">
        <v>139</v>
      </c>
      <c r="F236" s="155" t="s">
        <v>777</v>
      </c>
      <c r="G236" s="156">
        <v>14</v>
      </c>
      <c r="H236" s="155" t="s">
        <v>778</v>
      </c>
      <c r="I236" s="156">
        <v>6</v>
      </c>
      <c r="J236" s="155">
        <v>171</v>
      </c>
      <c r="K236" s="155">
        <v>163</v>
      </c>
      <c r="L236" s="155" t="str">
        <f t="shared" si="44"/>
        <v>18B-139</v>
      </c>
      <c r="N236" s="60" t="str">
        <f t="shared" si="45"/>
        <v>au_1-2 v 3-4</v>
      </c>
    </row>
    <row r="237" spans="1:14" ht="14.1" customHeight="1">
      <c r="A237" s="69">
        <f t="shared" si="42"/>
        <v>46228</v>
      </c>
      <c r="B237" s="70">
        <f>'CHICLETS MASTER S2'!BA59</f>
        <v>0.58333333333333304</v>
      </c>
      <c r="C237" s="71" t="s">
        <v>247</v>
      </c>
      <c r="D237" s="119" t="str">
        <f t="shared" si="43"/>
        <v>CHAPMAN UNIVERSITY</v>
      </c>
      <c r="E237" s="71">
        <v>143</v>
      </c>
      <c r="F237" s="155" t="str">
        <f>IF(G232="","W123",IF(G232&gt;I232,_xlfn.CONCAT("W123-",RIGHT(F232,LEN(F232) - FIND("-",F232))), _xlfn.CONCAT("W123-",RIGHT(H232,LEN(H232) - FIND("-",H232)))))</f>
        <v>W123-AMERICAN RIVER BLUE</v>
      </c>
      <c r="G237" s="156">
        <v>11</v>
      </c>
      <c r="H237" s="155" t="str">
        <f>IF(G231="","W119",IF(G231&gt;I231,_xlfn.CONCAT("W119-",RIGHT(F231,LEN(F231) - FIND("-",F231))), _xlfn.CONCAT("W119-",RIGHT(H231,LEN(H231) - FIND("-",H231)))))</f>
        <v>W119-LOWPO</v>
      </c>
      <c r="I237" s="156">
        <v>8</v>
      </c>
      <c r="J237" s="155">
        <v>159</v>
      </c>
      <c r="K237" s="155">
        <v>188</v>
      </c>
      <c r="L237" s="155" t="str">
        <f t="shared" si="44"/>
        <v>18B-143</v>
      </c>
      <c r="N237" s="60" t="str">
        <f t="shared" si="45"/>
        <v>au_5-6 v 7-8</v>
      </c>
    </row>
    <row r="238" spans="1:14" ht="14.1" customHeight="1">
      <c r="A238" s="69">
        <f t="shared" si="42"/>
        <v>46228</v>
      </c>
      <c r="B238" s="70">
        <f>'CHICLETS MASTER S2'!BA60</f>
        <v>0.625</v>
      </c>
      <c r="C238" s="71" t="s">
        <v>247</v>
      </c>
      <c r="D238" s="119" t="str">
        <f t="shared" si="43"/>
        <v>CHAPMAN UNIVERSITY</v>
      </c>
      <c r="E238" s="71">
        <v>147</v>
      </c>
      <c r="F238" s="165" t="str">
        <f>IF(G233="","W127",IF(G233&gt;I233,_xlfn.CONCAT("W127-",RIGHT(F233,LEN(F233) - FIND("-",F233))), _xlfn.CONCAT("W127-",RIGHT(H233,LEN(H233) - FIND("-",H233)))))</f>
        <v>W127-TEXAS THUNDER NORTH BLACK</v>
      </c>
      <c r="G238" s="155">
        <v>14</v>
      </c>
      <c r="H238" s="155" t="str">
        <f>IF(G234="","W131",IF(G234&gt;I234,_xlfn.CONCAT("W131-",RIGHT(F234,LEN(F234) - FIND("-",F234))), _xlfn.CONCAT("W131-",RIGHT(H234,LEN(H234) - FIND("-",H234)))))</f>
        <v>W131-PRAETORIAN</v>
      </c>
      <c r="I238" s="156">
        <v>9</v>
      </c>
      <c r="J238" s="155">
        <v>163</v>
      </c>
      <c r="K238" s="155">
        <v>188</v>
      </c>
      <c r="L238" s="155" t="str">
        <f t="shared" si="44"/>
        <v>18B-147</v>
      </c>
      <c r="N238" s="60" t="str">
        <f t="shared" si="45"/>
        <v>au_5-6 v 7-8</v>
      </c>
    </row>
    <row r="239" spans="1:14" ht="14.1" customHeight="1">
      <c r="A239" s="69">
        <f t="shared" si="42"/>
        <v>46228</v>
      </c>
      <c r="B239" s="70">
        <f>'CHICLETS MASTER S2'!BA61</f>
        <v>0.66666666666666696</v>
      </c>
      <c r="C239" s="71" t="s">
        <v>248</v>
      </c>
      <c r="D239" s="119" t="str">
        <f t="shared" si="43"/>
        <v>CHAPMAN UNIVERSITY</v>
      </c>
      <c r="E239" s="94">
        <v>151</v>
      </c>
      <c r="F239" s="158" t="str">
        <f>IF(G231="","L119",IF(G231&lt;I231,_xlfn.CONCAT("L119-",RIGHT(F231,LEN(F231) - FIND("-",F231))), _xlfn.CONCAT("L119-",RIGHT(H231,LEN(H231) - FIND("-",H231)))))</f>
        <v>L119-WCAC UNITED</v>
      </c>
      <c r="G239" s="164">
        <v>11</v>
      </c>
      <c r="H239" s="155" t="str">
        <f>IF(G232="","L123",IF(G232&lt;I232,_xlfn.CONCAT("L123-",RIGHT(F232,LEN(F232) - FIND("-",F232))), _xlfn.CONCAT("L123-",RIGHT(H232,LEN(H232) - FIND("-",H232)))))</f>
        <v>L123-VANGUARD BLUE</v>
      </c>
      <c r="I239" s="156">
        <v>14</v>
      </c>
      <c r="J239" s="155">
        <v>183</v>
      </c>
      <c r="K239" s="155">
        <v>184</v>
      </c>
      <c r="L239" s="155" t="str">
        <f t="shared" si="44"/>
        <v>18B-151</v>
      </c>
      <c r="N239" s="60" t="str">
        <f t="shared" si="45"/>
        <v>au_9-12 semi</v>
      </c>
    </row>
    <row r="240" spans="1:14" ht="14.1" customHeight="1">
      <c r="A240" s="69">
        <f t="shared" si="42"/>
        <v>46228</v>
      </c>
      <c r="B240" s="70">
        <f>'CHICLETS MASTER S2'!BA62</f>
        <v>0.70833333333333304</v>
      </c>
      <c r="C240" s="71" t="s">
        <v>248</v>
      </c>
      <c r="D240" s="119" t="str">
        <f t="shared" si="43"/>
        <v>CHAPMAN UNIVERSITY</v>
      </c>
      <c r="E240" s="71">
        <v>155</v>
      </c>
      <c r="F240" s="155" t="str">
        <f>IF(G234="","L131",IF(G234&lt;I234,_xlfn.CONCAT("L131-",RIGHT(F234,LEN(F234) - FIND("-",F234))), _xlfn.CONCAT("L131-",RIGHT(H234,LEN(H234) - FIND("-",H234)))))</f>
        <v>L131-KEARNS</v>
      </c>
      <c r="G240" s="155">
        <v>9</v>
      </c>
      <c r="H240" s="155" t="str">
        <f>IF(G233="","L127",IF(G233&lt;I233,_xlfn.CONCAT("L127-",RIGHT(F233,LEN(F233) - FIND("-",F233))), _xlfn.CONCAT("L127-",RIGHT(H233,LEN(H233) - FIND("-",H233)))))</f>
        <v>L127-SLAP</v>
      </c>
      <c r="I240" s="156">
        <v>10</v>
      </c>
      <c r="J240" s="155">
        <v>183</v>
      </c>
      <c r="K240" s="155">
        <v>184</v>
      </c>
      <c r="L240" s="155" t="str">
        <f t="shared" si="44"/>
        <v>18B-155</v>
      </c>
      <c r="N240" s="60" t="str">
        <f t="shared" si="45"/>
        <v>au_9-12 semi</v>
      </c>
    </row>
    <row r="241" spans="1:14" ht="14.1" customHeight="1">
      <c r="A241" s="69">
        <f t="shared" si="42"/>
        <v>46228</v>
      </c>
      <c r="B241" s="70">
        <f>'CHICLETS MASTER S2'!BA63</f>
        <v>0.75</v>
      </c>
      <c r="C241" s="71" t="s">
        <v>266</v>
      </c>
      <c r="D241" s="119" t="str">
        <f t="shared" si="43"/>
        <v>CHAPMAN UNIVERSITY</v>
      </c>
      <c r="E241" s="71">
        <v>159</v>
      </c>
      <c r="F241" s="155" t="str">
        <f>IF(G235="","L135",IF(G235&lt;I235,_xlfn.CONCAT("L135-",RIGHT(F235,LEN(F235) - FIND("-",F235))), _xlfn.CONCAT("L135-",RIGHT(H235,LEN(H235) - FIND("-",H235)))))</f>
        <v>L135-CT PREMIER</v>
      </c>
      <c r="G241" s="155">
        <v>8</v>
      </c>
      <c r="H241" s="155" t="str">
        <f>IF(G237="","W143",IF(G237&gt;I237,_xlfn.CONCAT("W143-",RIGHT(F237,LEN(F237) - FIND("-",F237))), _xlfn.CONCAT("W143-",RIGHT(H237,LEN(H237) - FIND("-",H237)))))</f>
        <v>W143-AMERICAN RIVER BLUE</v>
      </c>
      <c r="I241" s="156">
        <v>10</v>
      </c>
      <c r="J241" s="155">
        <v>171</v>
      </c>
      <c r="K241" s="155">
        <v>187</v>
      </c>
      <c r="L241" s="155" t="str">
        <f t="shared" si="44"/>
        <v>18B-159</v>
      </c>
      <c r="N241" s="60" t="str">
        <f t="shared" si="45"/>
        <v>au_qtr final</v>
      </c>
    </row>
    <row r="242" spans="1:14" ht="14.1" customHeight="1">
      <c r="A242" s="69">
        <f t="shared" si="42"/>
        <v>46228</v>
      </c>
      <c r="B242" s="70">
        <f>'CHICLETS MASTER S2'!BA64</f>
        <v>0.79166666666666696</v>
      </c>
      <c r="C242" s="71" t="s">
        <v>266</v>
      </c>
      <c r="D242" s="119" t="str">
        <f t="shared" si="43"/>
        <v>CHAPMAN UNIVERSITY</v>
      </c>
      <c r="E242" s="71">
        <v>163</v>
      </c>
      <c r="F242" s="155" t="str">
        <f>IF(G236="","L139",IF(G236&lt;I236,_xlfn.CONCAT("L139-",RIGHT(F236,LEN(F236) - FIND("-",F236))), _xlfn.CONCAT("L139-",RIGHT(H236,LEN(H236) - FIND("-",H236)))))</f>
        <v>L139-FOOTHILL RED A</v>
      </c>
      <c r="G242" s="155">
        <v>15</v>
      </c>
      <c r="H242" s="155" t="str">
        <f>IF(G238="","W147",IF(G238&gt;I238,_xlfn.CONCAT("W147-",RIGHT(F238,LEN(F238) - FIND("-",F238))), _xlfn.CONCAT("W147-",RIGHT(H238,LEN(H238) - FIND("-",H238)))))</f>
        <v>W147-TEXAS THUNDER NORTH BLACK</v>
      </c>
      <c r="I242" s="156">
        <v>13</v>
      </c>
      <c r="J242" s="155">
        <v>172</v>
      </c>
      <c r="K242" s="155">
        <v>187</v>
      </c>
      <c r="L242" s="155" t="str">
        <f t="shared" si="44"/>
        <v>18B-163</v>
      </c>
      <c r="N242" s="60" t="str">
        <f t="shared" si="45"/>
        <v>au_qtr final</v>
      </c>
    </row>
    <row r="243" spans="1:14" ht="14.1" customHeight="1" thickBot="1">
      <c r="A243" s="98"/>
      <c r="B243" s="79"/>
    </row>
    <row r="244" spans="1:14" ht="14.1" customHeight="1" thickBot="1">
      <c r="D244" s="65" t="str">
        <f>'CHICLETS MASTER S2'!$BE$51</f>
        <v>WESTMINSTER HS</v>
      </c>
    </row>
    <row r="245" spans="1:14" ht="14.1" customHeight="1">
      <c r="A245" s="174" t="s">
        <v>124</v>
      </c>
      <c r="B245" s="174" t="s">
        <v>125</v>
      </c>
      <c r="C245" s="174" t="s">
        <v>126</v>
      </c>
      <c r="D245" s="174" t="s">
        <v>127</v>
      </c>
      <c r="E245" s="174" t="s">
        <v>128</v>
      </c>
      <c r="F245" s="174" t="s">
        <v>129</v>
      </c>
      <c r="G245" s="175" t="s">
        <v>130</v>
      </c>
      <c r="H245" s="174" t="s">
        <v>131</v>
      </c>
      <c r="I245" s="175" t="s">
        <v>130</v>
      </c>
      <c r="J245" s="174" t="s">
        <v>132</v>
      </c>
      <c r="K245" s="174" t="s">
        <v>133</v>
      </c>
      <c r="L245" s="174" t="s">
        <v>134</v>
      </c>
    </row>
    <row r="246" spans="1:14" ht="14.1" customHeight="1">
      <c r="A246" s="69">
        <f t="shared" ref="A246:A257" si="46">$A$198</f>
        <v>46228</v>
      </c>
      <c r="B246" s="70">
        <f>'CHICLETS MASTER S2'!BA53</f>
        <v>0.33333333333333331</v>
      </c>
      <c r="C246" s="71" t="s">
        <v>249</v>
      </c>
      <c r="D246" s="119" t="str">
        <f t="shared" ref="D246:D257" si="47">$D$244</f>
        <v>WESTMINSTER HS</v>
      </c>
      <c r="E246" s="71">
        <v>120</v>
      </c>
      <c r="F246" s="155" t="s">
        <v>779</v>
      </c>
      <c r="G246" s="156">
        <v>5</v>
      </c>
      <c r="H246" s="155" t="s">
        <v>780</v>
      </c>
      <c r="I246" s="156">
        <v>16</v>
      </c>
      <c r="J246" s="155"/>
      <c r="K246" s="155"/>
      <c r="L246" s="155" t="str">
        <f t="shared" ref="L246:L257" si="48">$L$15&amp;"-"&amp;TEXT(E246,"000")</f>
        <v>18B-120</v>
      </c>
      <c r="N246" s="60" t="str">
        <f t="shared" ref="N246:N257" si="49">$L$260&amp;C246</f>
        <v>au_21-24 RR</v>
      </c>
    </row>
    <row r="247" spans="1:14" ht="14.1" customHeight="1">
      <c r="A247" s="69">
        <f t="shared" si="46"/>
        <v>46228</v>
      </c>
      <c r="B247" s="70">
        <f>'CHICLETS MASTER S2'!BA54</f>
        <v>0.375</v>
      </c>
      <c r="C247" s="71" t="s">
        <v>249</v>
      </c>
      <c r="D247" s="119" t="str">
        <f t="shared" si="47"/>
        <v>WESTMINSTER HS</v>
      </c>
      <c r="E247" s="71">
        <v>124</v>
      </c>
      <c r="F247" s="155" t="s">
        <v>572</v>
      </c>
      <c r="G247" s="156">
        <v>18</v>
      </c>
      <c r="H247" s="155" t="s">
        <v>781</v>
      </c>
      <c r="I247" s="156">
        <v>4</v>
      </c>
      <c r="J247" s="155"/>
      <c r="K247" s="155"/>
      <c r="L247" s="155" t="str">
        <f t="shared" si="48"/>
        <v>18B-124</v>
      </c>
      <c r="N247" s="60" t="str">
        <f t="shared" si="49"/>
        <v>au_21-24 RR</v>
      </c>
    </row>
    <row r="248" spans="1:14" ht="14.1" customHeight="1">
      <c r="A248" s="69">
        <f t="shared" si="46"/>
        <v>46228</v>
      </c>
      <c r="B248" s="70">
        <f>'CHICLETS MASTER S2'!BA55</f>
        <v>0.41666666666666702</v>
      </c>
      <c r="C248" s="71" t="s">
        <v>254</v>
      </c>
      <c r="D248" s="119" t="str">
        <f t="shared" si="47"/>
        <v>WESTMINSTER HS</v>
      </c>
      <c r="E248" s="71">
        <v>128</v>
      </c>
      <c r="F248" s="155" t="str">
        <f>IF(G161="","L110",IF(G161&lt;I161,_xlfn.CONCAT("L110-",RIGHT(F161,LEN(F161) - FIND("-",F161))), _xlfn.CONCAT("L110-",RIGHT(H161,LEN(H161) - FIND("-",H161)))))</f>
        <v>L110-VNITED</v>
      </c>
      <c r="G248" s="156">
        <v>7</v>
      </c>
      <c r="H248" s="155" t="s">
        <v>782</v>
      </c>
      <c r="I248" s="156">
        <v>10</v>
      </c>
      <c r="J248" s="155">
        <v>152</v>
      </c>
      <c r="K248" s="155">
        <v>156</v>
      </c>
      <c r="L248" s="155" t="str">
        <f t="shared" si="48"/>
        <v>18B-128</v>
      </c>
      <c r="N248" s="60" t="str">
        <f t="shared" si="49"/>
        <v>au_13-20 qtr</v>
      </c>
    </row>
    <row r="249" spans="1:14" ht="14.1" customHeight="1">
      <c r="A249" s="69">
        <f t="shared" si="46"/>
        <v>46228</v>
      </c>
      <c r="B249" s="70">
        <f>'CHICLETS MASTER S2'!BA56</f>
        <v>0.45833333333333298</v>
      </c>
      <c r="C249" s="71" t="s">
        <v>254</v>
      </c>
      <c r="D249" s="119" t="str">
        <f t="shared" si="47"/>
        <v>WESTMINSTER HS</v>
      </c>
      <c r="E249" s="71">
        <v>132</v>
      </c>
      <c r="F249" s="155" t="str">
        <f>IF(G162="","L114",IF(G162&lt;I162,_xlfn.CONCAT("L114-",RIGHT(F162,LEN(F162) - FIND("-",F162))), _xlfn.CONCAT("L114-",RIGHT(H162,LEN(H162) - FIND("-",H162)))))</f>
        <v>L114-LONGHORN</v>
      </c>
      <c r="G249" s="156">
        <v>16</v>
      </c>
      <c r="H249" s="155" t="s">
        <v>783</v>
      </c>
      <c r="I249" s="156">
        <v>11</v>
      </c>
      <c r="J249" s="155">
        <v>152</v>
      </c>
      <c r="K249" s="155">
        <v>156</v>
      </c>
      <c r="L249" s="155" t="str">
        <f t="shared" si="48"/>
        <v>18B-132</v>
      </c>
      <c r="N249" s="60" t="str">
        <f t="shared" si="49"/>
        <v>au_13-20 qtr</v>
      </c>
    </row>
    <row r="250" spans="1:14" ht="14.1" customHeight="1">
      <c r="A250" s="69">
        <f>$A$198</f>
        <v>46228</v>
      </c>
      <c r="B250" s="70">
        <f>'CHICLETS MASTER S2'!BA57</f>
        <v>0.5</v>
      </c>
      <c r="C250" s="71" t="s">
        <v>254</v>
      </c>
      <c r="D250" s="119" t="str">
        <f t="shared" si="47"/>
        <v>WESTMINSTER HS</v>
      </c>
      <c r="E250" s="71">
        <v>136</v>
      </c>
      <c r="F250" s="155" t="str">
        <f>IF(G177="","L111",IF(G177&lt;I177,_xlfn.CONCAT("L111-",RIGHT(F177,LEN(F177) - FIND("-",F177))), _xlfn.CONCAT("L111-",RIGHT(H177,LEN(H177) - FIND("-",H177)))))</f>
        <v>L111-CHICAGO PARK</v>
      </c>
      <c r="G250" s="156">
        <v>13</v>
      </c>
      <c r="H250" s="155" t="s">
        <v>784</v>
      </c>
      <c r="I250" s="156">
        <v>12</v>
      </c>
      <c r="J250" s="155">
        <v>160</v>
      </c>
      <c r="K250" s="155">
        <v>164</v>
      </c>
      <c r="L250" s="155" t="str">
        <f t="shared" si="48"/>
        <v>18B-136</v>
      </c>
      <c r="N250" s="60" t="str">
        <f t="shared" si="49"/>
        <v>au_13-20 qtr</v>
      </c>
    </row>
    <row r="251" spans="1:14" ht="14.1" customHeight="1">
      <c r="A251" s="69">
        <f t="shared" si="46"/>
        <v>46228</v>
      </c>
      <c r="B251" s="70">
        <f>'CHICLETS MASTER S2'!BA58</f>
        <v>0.54166666666666696</v>
      </c>
      <c r="C251" s="71" t="s">
        <v>254</v>
      </c>
      <c r="D251" s="119" t="str">
        <f t="shared" si="47"/>
        <v>WESTMINSTER HS</v>
      </c>
      <c r="E251" s="71">
        <v>140</v>
      </c>
      <c r="F251" s="155" t="str">
        <f>IF(G178="","L115",IF(G178&lt;I178,_xlfn.CONCAT("L115-",RIGHT(F178,LEN(F178) - FIND("-",F178))), _xlfn.CONCAT("L115-",RIGHT(H178,LEN(H178) - FIND("-",H178)))))</f>
        <v>L115-ELMHURST</v>
      </c>
      <c r="G251" s="156">
        <v>10</v>
      </c>
      <c r="H251" s="155" t="s">
        <v>785</v>
      </c>
      <c r="I251" s="156">
        <v>8</v>
      </c>
      <c r="J251" s="155">
        <v>160</v>
      </c>
      <c r="K251" s="155">
        <v>164</v>
      </c>
      <c r="L251" s="155" t="str">
        <f t="shared" si="48"/>
        <v>18B-140</v>
      </c>
      <c r="N251" s="60" t="str">
        <f t="shared" si="49"/>
        <v>au_13-20 qtr</v>
      </c>
    </row>
    <row r="252" spans="1:14" ht="14.1" customHeight="1">
      <c r="A252" s="69">
        <f t="shared" si="46"/>
        <v>46228</v>
      </c>
      <c r="B252" s="70">
        <f>'CHICLETS MASTER S2'!BA59</f>
        <v>0.58333333333333304</v>
      </c>
      <c r="C252" s="71" t="s">
        <v>249</v>
      </c>
      <c r="D252" s="119" t="str">
        <f t="shared" si="47"/>
        <v>WESTMINSTER HS</v>
      </c>
      <c r="E252" s="71">
        <v>144</v>
      </c>
      <c r="F252" s="155" t="s">
        <v>779</v>
      </c>
      <c r="G252" s="156">
        <v>19</v>
      </c>
      <c r="H252" s="155" t="s">
        <v>781</v>
      </c>
      <c r="I252" s="156">
        <v>15</v>
      </c>
      <c r="J252" s="155"/>
      <c r="K252" s="155"/>
      <c r="L252" s="155" t="str">
        <f t="shared" si="48"/>
        <v>18B-144</v>
      </c>
      <c r="N252" s="60" t="str">
        <f t="shared" si="49"/>
        <v>au_21-24 RR</v>
      </c>
    </row>
    <row r="253" spans="1:14" ht="14.1" customHeight="1">
      <c r="A253" s="69">
        <f t="shared" si="46"/>
        <v>46228</v>
      </c>
      <c r="B253" s="70">
        <f>'CHICLETS MASTER S2'!BA60</f>
        <v>0.625</v>
      </c>
      <c r="C253" s="71" t="s">
        <v>249</v>
      </c>
      <c r="D253" s="119" t="str">
        <f t="shared" si="47"/>
        <v>WESTMINSTER HS</v>
      </c>
      <c r="E253" s="71">
        <v>148</v>
      </c>
      <c r="F253" s="155" t="s">
        <v>572</v>
      </c>
      <c r="G253" s="156">
        <v>9</v>
      </c>
      <c r="H253" s="155" t="s">
        <v>780</v>
      </c>
      <c r="I253" s="156">
        <v>12</v>
      </c>
      <c r="J253" s="155"/>
      <c r="K253" s="155"/>
      <c r="L253" s="155" t="str">
        <f t="shared" si="48"/>
        <v>18B-148</v>
      </c>
      <c r="N253" s="60" t="str">
        <f t="shared" si="49"/>
        <v>au_21-24 RR</v>
      </c>
    </row>
    <row r="254" spans="1:14" ht="14.1" customHeight="1">
      <c r="A254" s="69">
        <f t="shared" si="46"/>
        <v>46228</v>
      </c>
      <c r="B254" s="70">
        <f>'CHICLETS MASTER S2'!BA61</f>
        <v>0.66666666666666696</v>
      </c>
      <c r="C254" s="71" t="s">
        <v>259</v>
      </c>
      <c r="D254" s="119" t="str">
        <f t="shared" si="47"/>
        <v>WESTMINSTER HS</v>
      </c>
      <c r="E254" s="71">
        <v>152</v>
      </c>
      <c r="F254" s="158" t="str">
        <f>IF(G248="","W128",IF(G248&gt;I248,_xlfn.CONCAT("W128-",RIGHT(F248,LEN(F248) - FIND("-",F248))), _xlfn.CONCAT("W128-",RIGHT(H248,LEN(H248) - FIND("-",H248)))))</f>
        <v>W128-PUGET SOUND</v>
      </c>
      <c r="G254" s="159">
        <v>15</v>
      </c>
      <c r="H254" s="155" t="str">
        <f>IF(G249="","W132",IF(G249&gt;I249,_xlfn.CONCAT("W132-",RIGHT(F249,LEN(F249) - FIND("-",F249))), _xlfn.CONCAT("W132-",RIGHT(H249,LEN(H249) - FIND("-",H249)))))</f>
        <v>W132-LONGHORN</v>
      </c>
      <c r="I254" s="156">
        <v>14</v>
      </c>
      <c r="J254" s="155">
        <v>179</v>
      </c>
      <c r="K254" s="155">
        <v>180</v>
      </c>
      <c r="L254" s="155" t="str">
        <f t="shared" si="48"/>
        <v>18B-152</v>
      </c>
      <c r="N254" s="60" t="str">
        <f t="shared" si="49"/>
        <v>au_13-16 semi</v>
      </c>
    </row>
    <row r="255" spans="1:14" ht="14.1" customHeight="1">
      <c r="A255" s="69">
        <f t="shared" si="46"/>
        <v>46228</v>
      </c>
      <c r="B255" s="70">
        <f>'CHICLETS MASTER S2'!BA62</f>
        <v>0.70833333333333304</v>
      </c>
      <c r="C255" s="71" t="s">
        <v>260</v>
      </c>
      <c r="D255" s="119" t="str">
        <f t="shared" si="47"/>
        <v>WESTMINSTER HS</v>
      </c>
      <c r="E255" s="71">
        <v>156</v>
      </c>
      <c r="F255" s="160" t="str">
        <f>IF(G249="","L132",IF(G249&lt;I249,_xlfn.CONCAT("L132-",RIGHT(F249,LEN(F249) - FIND("-",F249))), _xlfn.CONCAT("L132-",RIGHT(H249,LEN(H249) - FIND("-",H249)))))</f>
        <v>L132-SWIFT</v>
      </c>
      <c r="G255" s="155">
        <v>11</v>
      </c>
      <c r="H255" s="155" t="str">
        <f>IF(G248="","L128",IF(G248&lt;I248,_xlfn.CONCAT("L128-",RIGHT(F248,LEN(F248) - FIND("-",F248))), _xlfn.CONCAT("L128-",RIGHT(H248,LEN(H248) - FIND("-",H248)))))</f>
        <v>L128-VNITED</v>
      </c>
      <c r="I255" s="156">
        <v>7</v>
      </c>
      <c r="J255" s="155">
        <v>175</v>
      </c>
      <c r="K255" s="155">
        <v>176</v>
      </c>
      <c r="L255" s="155" t="str">
        <f t="shared" si="48"/>
        <v>18B-156</v>
      </c>
      <c r="N255" s="60" t="str">
        <f t="shared" si="49"/>
        <v>au_17-20 semi</v>
      </c>
    </row>
    <row r="256" spans="1:14" ht="14.1" customHeight="1">
      <c r="A256" s="69">
        <f t="shared" si="46"/>
        <v>46228</v>
      </c>
      <c r="B256" s="70">
        <f>'CHICLETS MASTER S2'!BA63</f>
        <v>0.75</v>
      </c>
      <c r="C256" s="71" t="s">
        <v>259</v>
      </c>
      <c r="D256" s="119" t="str">
        <f t="shared" si="47"/>
        <v>WESTMINSTER HS</v>
      </c>
      <c r="E256" s="71">
        <v>160</v>
      </c>
      <c r="F256" s="158" t="str">
        <f>IF(G250="","W136",IF(G250&gt;I250,_xlfn.CONCAT("W136-",RIGHT(F250,LEN(F250) - FIND("-",F250))), _xlfn.CONCAT("W136-",RIGHT(H250,LEN(H250) - FIND("-",H250)))))</f>
        <v>W136-CHICAGO PARK</v>
      </c>
      <c r="G256" s="155">
        <v>13</v>
      </c>
      <c r="H256" s="155" t="str">
        <f>IF(G251="","W140",IF(G251&gt;I251,_xlfn.CONCAT("W140-",RIGHT(F251,LEN(F251) - FIND("-",F251))), _xlfn.CONCAT("W140-",RIGHT(H251,LEN(H251) - FIND("-",H251)))))</f>
        <v>W140-ELMHURST</v>
      </c>
      <c r="I256" s="156">
        <v>12</v>
      </c>
      <c r="J256" s="155">
        <v>179</v>
      </c>
      <c r="K256" s="155">
        <v>180</v>
      </c>
      <c r="L256" s="155" t="str">
        <f t="shared" si="48"/>
        <v>18B-160</v>
      </c>
      <c r="N256" s="60" t="str">
        <f t="shared" si="49"/>
        <v>au_13-16 semi</v>
      </c>
    </row>
    <row r="257" spans="1:14" ht="14.1" customHeight="1">
      <c r="A257" s="69">
        <f t="shared" si="46"/>
        <v>46228</v>
      </c>
      <c r="B257" s="70">
        <f>'CHICLETS MASTER S2'!BA64</f>
        <v>0.79166666666666696</v>
      </c>
      <c r="C257" s="71" t="s">
        <v>260</v>
      </c>
      <c r="D257" s="119" t="str">
        <f t="shared" si="47"/>
        <v>WESTMINSTER HS</v>
      </c>
      <c r="E257" s="71">
        <v>164</v>
      </c>
      <c r="F257" s="155" t="str">
        <f>IF(G251="","L140",IF(G251&lt;I251,_xlfn.CONCAT("L140-",RIGHT(F251,LEN(F251) - FIND("-",F251))), _xlfn.CONCAT("L140-",RIGHT(H251,LEN(H251) - FIND("-",H251)))))</f>
        <v>L140-WOLVERINE</v>
      </c>
      <c r="G257" s="155">
        <v>9</v>
      </c>
      <c r="H257" s="155" t="str">
        <f>IF(G250="","L136",IF(G250&lt;I250,_xlfn.CONCAT("L136-",RIGHT(F250,LEN(F250) - FIND("-",F250))), _xlfn.CONCAT("L136-",RIGHT(H250,LEN(H250) - FIND("-",H250)))))</f>
        <v>L136-TEXAS THUNDER SOUTH BLUE</v>
      </c>
      <c r="I257" s="156">
        <v>16</v>
      </c>
      <c r="J257" s="155">
        <v>175</v>
      </c>
      <c r="K257" s="155">
        <v>176</v>
      </c>
      <c r="L257" s="155" t="str">
        <f t="shared" si="48"/>
        <v>18B-164</v>
      </c>
      <c r="N257" s="60" t="str">
        <f t="shared" si="49"/>
        <v>au_17-20 semi</v>
      </c>
    </row>
    <row r="258" spans="1:14" ht="14.1" customHeight="1" thickBot="1">
      <c r="A258" s="98"/>
      <c r="B258" s="79"/>
    </row>
    <row r="259" spans="1:14" ht="14.1" customHeight="1" thickTop="1" thickBot="1">
      <c r="A259" s="57" t="s">
        <v>267</v>
      </c>
      <c r="B259" s="59"/>
      <c r="C259" s="59"/>
      <c r="D259" s="59"/>
      <c r="E259" s="59"/>
      <c r="F259" s="59"/>
      <c r="G259" s="171"/>
      <c r="H259" s="59"/>
      <c r="I259" s="171"/>
      <c r="J259" s="59"/>
      <c r="K259" s="59"/>
      <c r="L259" s="59"/>
    </row>
    <row r="260" spans="1:14" ht="14.1" customHeight="1" thickBot="1">
      <c r="A260" s="61">
        <v>46229</v>
      </c>
      <c r="K260" s="62" t="s">
        <v>232</v>
      </c>
      <c r="L260" s="62" t="s">
        <v>233</v>
      </c>
    </row>
    <row r="261" spans="1:14" ht="14.1" customHeight="1" thickBot="1">
      <c r="D261" s="65" t="str">
        <f>'CHICLETS MASTER S2'!$BD$72</f>
        <v>CHAPMAN UNIVERSITY</v>
      </c>
    </row>
    <row r="262" spans="1:14" ht="14.1" customHeight="1">
      <c r="A262" s="174" t="s">
        <v>124</v>
      </c>
      <c r="B262" s="174" t="s">
        <v>125</v>
      </c>
      <c r="C262" s="174" t="s">
        <v>126</v>
      </c>
      <c r="D262" s="174" t="s">
        <v>127</v>
      </c>
      <c r="E262" s="174" t="s">
        <v>128</v>
      </c>
      <c r="F262" s="174" t="s">
        <v>129</v>
      </c>
      <c r="G262" s="175" t="s">
        <v>130</v>
      </c>
      <c r="H262" s="174" t="s">
        <v>131</v>
      </c>
      <c r="I262" s="175" t="s">
        <v>130</v>
      </c>
      <c r="J262" s="174" t="s">
        <v>132</v>
      </c>
      <c r="K262" s="174" t="s">
        <v>133</v>
      </c>
      <c r="L262" s="174" t="s">
        <v>134</v>
      </c>
    </row>
    <row r="263" spans="1:14" ht="14.1" customHeight="1">
      <c r="A263" s="69">
        <f t="shared" ref="A263:A295" si="50">$A$260</f>
        <v>46229</v>
      </c>
      <c r="B263" s="70">
        <f>'CHICLETS MASTER S2'!BA73</f>
        <v>0.29166666666666669</v>
      </c>
      <c r="C263" s="71" t="s">
        <v>249</v>
      </c>
      <c r="D263" s="119" t="str">
        <f t="shared" ref="D263:D268" si="51">$D$261</f>
        <v>CHAPMAN UNIVERSITY</v>
      </c>
      <c r="E263" s="71">
        <v>165</v>
      </c>
      <c r="F263" s="90" t="s">
        <v>765</v>
      </c>
      <c r="G263" s="93">
        <v>9</v>
      </c>
      <c r="H263" s="90" t="s">
        <v>763</v>
      </c>
      <c r="I263" s="93">
        <v>11</v>
      </c>
      <c r="J263" s="90"/>
      <c r="K263" s="90"/>
      <c r="L263" s="90" t="str">
        <f>$L$15&amp;"-"&amp;TEXT(E263,"000")</f>
        <v>18B-165</v>
      </c>
      <c r="N263" s="60" t="str">
        <f>$K$260&amp;C263</f>
        <v>pt_21-24 RR</v>
      </c>
    </row>
    <row r="264" spans="1:14" ht="14.1" customHeight="1">
      <c r="A264" s="69">
        <f t="shared" si="50"/>
        <v>46229</v>
      </c>
      <c r="B264" s="70">
        <f>'CHICLETS MASTER S2'!BA74</f>
        <v>0.33333333333333298</v>
      </c>
      <c r="C264" s="71" t="s">
        <v>249</v>
      </c>
      <c r="D264" s="119" t="str">
        <f t="shared" si="51"/>
        <v>CHAPMAN UNIVERSITY</v>
      </c>
      <c r="E264" s="71">
        <v>166</v>
      </c>
      <c r="F264" s="90" t="s">
        <v>764</v>
      </c>
      <c r="G264" s="93">
        <v>9</v>
      </c>
      <c r="H264" s="90" t="s">
        <v>443</v>
      </c>
      <c r="I264" s="93">
        <v>8</v>
      </c>
      <c r="J264" s="90"/>
      <c r="K264" s="90"/>
      <c r="L264" s="90" t="str">
        <f>$L$15&amp;"-"&amp;TEXT(E264,"000")</f>
        <v>18B-166</v>
      </c>
      <c r="N264" s="60" t="str">
        <f>$K$260&amp;C264</f>
        <v>pt_21-24 RR</v>
      </c>
    </row>
    <row r="265" spans="1:14" ht="14.1" customHeight="1">
      <c r="A265" s="69">
        <f t="shared" si="50"/>
        <v>46229</v>
      </c>
      <c r="B265" s="70">
        <f>'CHICLETS MASTER S2'!BA75</f>
        <v>0.375</v>
      </c>
      <c r="C265" s="71" t="s">
        <v>296</v>
      </c>
      <c r="D265" s="119" t="str">
        <f t="shared" si="51"/>
        <v>CHAPMAN UNIVERSITY</v>
      </c>
      <c r="E265" s="71">
        <v>169</v>
      </c>
      <c r="F265" s="90" t="str">
        <f>IF(G225="","L154",IF(G225&lt;I225,_xlfn.CONCAT("L154-",RIGHT(F225,LEN(F225) - FIND("-",F225))), _xlfn.CONCAT("L154-",RIGHT(H225,LEN(H225) - FIND("-",H225)))))</f>
        <v>L154-VEGAS NORTH IRVINE BLACK</v>
      </c>
      <c r="G265" s="93">
        <v>15</v>
      </c>
      <c r="H265" s="90" t="str">
        <f>IF(G227="","L162",IF(G227&lt;I227,_xlfn.CONCAT("L162-",RIGHT(F227,LEN(F227) - FIND("-",F227))), _xlfn.CONCAT("L162-",RIGHT(H227,LEN(H227) - FIND("-",H227)))))</f>
        <v>L162-SOCAL</v>
      </c>
      <c r="I265" s="93">
        <v>11</v>
      </c>
      <c r="J265" s="90" t="s">
        <v>297</v>
      </c>
      <c r="K265" s="90" t="s">
        <v>298</v>
      </c>
      <c r="L265" s="90" t="str">
        <f>$L$15&amp;"-"&amp;TEXT(E265,"000")</f>
        <v>18B-169</v>
      </c>
      <c r="N265" s="60" t="str">
        <f>$K$260&amp;C265</f>
        <v>pt_19th</v>
      </c>
    </row>
    <row r="266" spans="1:14" ht="14.1" customHeight="1">
      <c r="A266" s="69">
        <f t="shared" si="50"/>
        <v>46229</v>
      </c>
      <c r="B266" s="70">
        <f>'CHICLETS MASTER S2'!BA76</f>
        <v>0.41666666666666702</v>
      </c>
      <c r="C266" s="71" t="s">
        <v>287</v>
      </c>
      <c r="D266" s="119" t="str">
        <f t="shared" si="51"/>
        <v>CHAPMAN UNIVERSITY</v>
      </c>
      <c r="E266" s="71">
        <v>178</v>
      </c>
      <c r="F266" s="90" t="str">
        <f>IF(G224="","W150",IF(G224&gt;I224,_xlfn.CONCAT("W150-",RIGHT(F224,LEN(F224) - FIND("-",F224))), _xlfn.CONCAT("W150-",RIGHT(H224,LEN(H224) - FIND("-",H224)))))</f>
        <v>W150-TROJAN CARDINAL</v>
      </c>
      <c r="G266" s="93">
        <v>15</v>
      </c>
      <c r="H266" s="90" t="str">
        <f>IF(G226="","W158",IF(G226&gt;I226,_xlfn.CONCAT("W158-",RIGHT(F226,LEN(F226) - FIND("-",F226))), _xlfn.CONCAT("W158-",RIGHT(H226,LEN(H226) - FIND("-",H226)))))</f>
        <v>W158-CIU SENIORS A</v>
      </c>
      <c r="I266" s="93">
        <v>11</v>
      </c>
      <c r="J266" s="90" t="s">
        <v>288</v>
      </c>
      <c r="K266" s="90" t="s">
        <v>289</v>
      </c>
      <c r="L266" s="90" t="str">
        <f t="shared" ref="L266:L268" si="52">$L$15&amp;"-"&amp;TEXT(E266,"000")</f>
        <v>18B-178</v>
      </c>
      <c r="N266" s="60" t="str">
        <f t="shared" ref="N266:N268" si="53">$K$260&amp;C266</f>
        <v>pt_13th</v>
      </c>
    </row>
    <row r="267" spans="1:14" ht="14.1" customHeight="1">
      <c r="A267" s="69">
        <f t="shared" si="50"/>
        <v>46229</v>
      </c>
      <c r="B267" s="70">
        <f>'CHICLETS MASTER S2'!BA77</f>
        <v>0.45833333333333298</v>
      </c>
      <c r="C267" s="71" t="s">
        <v>290</v>
      </c>
      <c r="D267" s="119" t="str">
        <f t="shared" si="51"/>
        <v>CHAPMAN UNIVERSITY</v>
      </c>
      <c r="E267" s="71">
        <v>177</v>
      </c>
      <c r="F267" s="90" t="str">
        <f>IF(G224="","L150",IF(G224&lt;I224,_xlfn.CONCAT("L150-",RIGHT(F224,LEN(F224) - FIND("-",F224))), _xlfn.CONCAT("L150-",RIGHT(H224,LEN(H224) - FIND("-",H224)))))</f>
        <v>L150-MISSION</v>
      </c>
      <c r="G267" s="93">
        <v>10</v>
      </c>
      <c r="H267" s="90" t="str">
        <f>IF(G226="","L158",IF(G226&lt;I226,_xlfn.CONCAT("L158-",RIGHT(F226,LEN(F226) - FIND("-",F226))), _xlfn.CONCAT("L158-",RIGHT(H226,LEN(H226) - FIND("-",H226)))))</f>
        <v>L158-SAN FRANCISCO WARRIORS</v>
      </c>
      <c r="I267" s="93">
        <v>12</v>
      </c>
      <c r="J267" s="90" t="s">
        <v>291</v>
      </c>
      <c r="K267" s="90" t="s">
        <v>292</v>
      </c>
      <c r="L267" s="90" t="str">
        <f t="shared" si="52"/>
        <v>18B-177</v>
      </c>
      <c r="N267" s="60" t="str">
        <f t="shared" si="53"/>
        <v>pt_15th</v>
      </c>
    </row>
    <row r="268" spans="1:14" ht="14.1" customHeight="1">
      <c r="A268" s="69">
        <f t="shared" si="50"/>
        <v>46229</v>
      </c>
      <c r="B268" s="70">
        <f>'CHICLETS MASTER S2'!BA78</f>
        <v>0.5</v>
      </c>
      <c r="C268" s="71" t="s">
        <v>293</v>
      </c>
      <c r="D268" s="119" t="str">
        <f t="shared" si="51"/>
        <v>CHAPMAN UNIVERSITY</v>
      </c>
      <c r="E268" s="71">
        <v>170</v>
      </c>
      <c r="F268" s="90" t="str">
        <f>IF(G225="","W154",IF(G225&gt;I225,_xlfn.CONCAT("W154-",RIGHT(F225,LEN(F225) - FIND("-",F225))), _xlfn.CONCAT("W154-",RIGHT(H225,LEN(H225) - FIND("-",H225)))))</f>
        <v>W154-IMPERIAL BLUE</v>
      </c>
      <c r="G268" s="93">
        <v>9</v>
      </c>
      <c r="H268" s="90" t="str">
        <f>IF(G227="","W162",IF(G227&gt;I227,_xlfn.CONCAT("W162-",RIGHT(F227,LEN(F227) - FIND("-",F227))), _xlfn.CONCAT("W162-",RIGHT(H227,LEN(H227) - FIND("-",H227)))))</f>
        <v>W162-LA PREMIER A</v>
      </c>
      <c r="I268" s="93">
        <v>10</v>
      </c>
      <c r="J268" s="90" t="s">
        <v>294</v>
      </c>
      <c r="K268" s="90" t="s">
        <v>295</v>
      </c>
      <c r="L268" s="90" t="str">
        <f t="shared" si="52"/>
        <v>18B-170</v>
      </c>
      <c r="N268" s="60" t="str">
        <f t="shared" si="53"/>
        <v>pt_17th</v>
      </c>
    </row>
    <row r="269" spans="1:14" ht="14.1" customHeight="1" thickBot="1">
      <c r="A269" s="98"/>
      <c r="B269" s="79"/>
    </row>
    <row r="270" spans="1:14" ht="14.1" customHeight="1" thickBot="1">
      <c r="D270" s="65" t="str">
        <f>'CHICLETS MASTER S2'!$BE$72</f>
        <v>WESTMINSTER HS</v>
      </c>
    </row>
    <row r="271" spans="1:14" ht="14.1" customHeight="1">
      <c r="A271" s="174" t="s">
        <v>124</v>
      </c>
      <c r="B271" s="174" t="s">
        <v>125</v>
      </c>
      <c r="C271" s="174" t="s">
        <v>126</v>
      </c>
      <c r="D271" s="174" t="s">
        <v>127</v>
      </c>
      <c r="E271" s="174" t="s">
        <v>128</v>
      </c>
      <c r="F271" s="194" t="s">
        <v>129</v>
      </c>
      <c r="G271" s="195" t="s">
        <v>130</v>
      </c>
      <c r="H271" s="194" t="s">
        <v>131</v>
      </c>
      <c r="I271" s="175"/>
      <c r="J271" s="174" t="s">
        <v>132</v>
      </c>
      <c r="K271" s="174" t="s">
        <v>133</v>
      </c>
      <c r="L271" s="174" t="s">
        <v>134</v>
      </c>
    </row>
    <row r="272" spans="1:14" ht="14.1" customHeight="1">
      <c r="A272" s="69">
        <f t="shared" ref="A272:A291" si="54">$A$260</f>
        <v>46229</v>
      </c>
      <c r="B272" s="70">
        <f>'CHICLETS MASTER S2'!BA73</f>
        <v>0.29166666666666669</v>
      </c>
      <c r="C272" s="71" t="s">
        <v>249</v>
      </c>
      <c r="D272" s="119" t="str">
        <f t="shared" ref="D272:D277" si="55">$D$270</f>
        <v>WESTMINSTER HS</v>
      </c>
      <c r="E272" s="94">
        <v>167</v>
      </c>
      <c r="F272" s="158" t="s">
        <v>572</v>
      </c>
      <c r="G272" s="196">
        <v>15</v>
      </c>
      <c r="H272" s="158" t="s">
        <v>779</v>
      </c>
      <c r="I272" s="164">
        <v>4</v>
      </c>
      <c r="J272" s="155"/>
      <c r="K272" s="155"/>
      <c r="L272" s="155" t="str">
        <f t="shared" ref="L272:L277" si="56">$L$15&amp;"-"&amp;TEXT(E272,"000")</f>
        <v>18B-167</v>
      </c>
      <c r="N272" s="60" t="str">
        <f t="shared" ref="N272:N277" si="57">$L$260&amp;C272</f>
        <v>au_21-24 RR</v>
      </c>
    </row>
    <row r="273" spans="1:14" ht="14.1" customHeight="1">
      <c r="A273" s="69">
        <f t="shared" si="54"/>
        <v>46229</v>
      </c>
      <c r="B273" s="70">
        <f>'CHICLETS MASTER S2'!BA74</f>
        <v>0.33333333333333298</v>
      </c>
      <c r="C273" s="71" t="s">
        <v>249</v>
      </c>
      <c r="D273" s="119" t="str">
        <f t="shared" si="55"/>
        <v>WESTMINSTER HS</v>
      </c>
      <c r="E273" s="94">
        <v>168</v>
      </c>
      <c r="F273" s="158" t="s">
        <v>780</v>
      </c>
      <c r="G273" s="196">
        <v>13</v>
      </c>
      <c r="H273" s="158" t="s">
        <v>781</v>
      </c>
      <c r="I273" s="164">
        <v>2</v>
      </c>
      <c r="J273" s="155"/>
      <c r="K273" s="155"/>
      <c r="L273" s="155" t="str">
        <f t="shared" si="56"/>
        <v>18B-168</v>
      </c>
      <c r="N273" s="60" t="str">
        <f t="shared" si="57"/>
        <v>au_21-24 RR</v>
      </c>
    </row>
    <row r="274" spans="1:14" ht="14.1" customHeight="1">
      <c r="A274" s="69">
        <f t="shared" si="54"/>
        <v>46229</v>
      </c>
      <c r="B274" s="70">
        <f>'CHICLETS MASTER S2'!BA75</f>
        <v>0.375</v>
      </c>
      <c r="C274" s="71" t="s">
        <v>296</v>
      </c>
      <c r="D274" s="119" t="str">
        <f t="shared" si="55"/>
        <v>WESTMINSTER HS</v>
      </c>
      <c r="E274" s="71">
        <v>176</v>
      </c>
      <c r="F274" s="155" t="str">
        <f>IF(G255="","L156",IF(G255&lt;I255,_xlfn.CONCAT("L156-",RIGHT(F255,LEN(F255) - FIND("-",F255))), _xlfn.CONCAT("L156-",RIGHT(H255,LEN(H255) - FIND("-",H255)))))</f>
        <v>L156-VNITED</v>
      </c>
      <c r="G274" s="156">
        <v>10</v>
      </c>
      <c r="H274" s="155" t="str">
        <f>IF(G257="","L164",IF(G257&lt;I257,_xlfn.CONCAT("L164-",RIGHT(F257,LEN(F257) - FIND("-",F257))), _xlfn.CONCAT("L164-",RIGHT(H257,LEN(H257) - FIND("-",H257)))))</f>
        <v>L164-WOLVERINE</v>
      </c>
      <c r="I274" s="156">
        <v>8</v>
      </c>
      <c r="J274" s="155" t="s">
        <v>472</v>
      </c>
      <c r="K274" s="155" t="s">
        <v>322</v>
      </c>
      <c r="L274" s="155" t="str">
        <f>$L$15&amp;"-"&amp;TEXT(E274,"000")</f>
        <v>18B-176</v>
      </c>
      <c r="N274" s="60" t="str">
        <f>$L$260&amp;C274</f>
        <v>au_19th</v>
      </c>
    </row>
    <row r="275" spans="1:14" ht="14.1" customHeight="1">
      <c r="A275" s="69">
        <f t="shared" si="54"/>
        <v>46229</v>
      </c>
      <c r="B275" s="70">
        <f>'CHICLETS MASTER S2'!BA76</f>
        <v>0.41666666666666702</v>
      </c>
      <c r="C275" s="71" t="s">
        <v>287</v>
      </c>
      <c r="D275" s="119" t="str">
        <f t="shared" si="55"/>
        <v>WESTMINSTER HS</v>
      </c>
      <c r="E275" s="71">
        <v>179</v>
      </c>
      <c r="F275" s="155" t="str">
        <f>IF(G254="","W152",IF(G254&gt;I254,_xlfn.CONCAT("W152-",RIGHT(F254,LEN(F254) - FIND("-",F254))), _xlfn.CONCAT("W152-",RIGHT(H254,LEN(H254) - FIND("-",H254)))))</f>
        <v>W152-PUGET SOUND</v>
      </c>
      <c r="G275" s="156">
        <v>12</v>
      </c>
      <c r="H275" s="155" t="str">
        <f>IF(G256="","W160",IF(G256&gt;I256,_xlfn.CONCAT("W160-",RIGHT(F256,LEN(F256) - FIND("-",F256))), _xlfn.CONCAT("W160-",RIGHT(H256,LEN(H256) - FIND("-",H256)))))</f>
        <v>W160-CHICAGO PARK</v>
      </c>
      <c r="I275" s="156">
        <v>9</v>
      </c>
      <c r="J275" s="155" t="s">
        <v>466</v>
      </c>
      <c r="K275" s="155" t="s">
        <v>319</v>
      </c>
      <c r="L275" s="155" t="str">
        <f t="shared" si="56"/>
        <v>18B-179</v>
      </c>
      <c r="N275" s="60" t="str">
        <f t="shared" si="57"/>
        <v>au_13th</v>
      </c>
    </row>
    <row r="276" spans="1:14" ht="14.1" customHeight="1">
      <c r="A276" s="69">
        <f t="shared" si="54"/>
        <v>46229</v>
      </c>
      <c r="B276" s="70">
        <f>'CHICLETS MASTER S2'!BA77</f>
        <v>0.45833333333333298</v>
      </c>
      <c r="C276" s="71" t="s">
        <v>290</v>
      </c>
      <c r="D276" s="119" t="str">
        <f t="shared" si="55"/>
        <v>WESTMINSTER HS</v>
      </c>
      <c r="E276" s="71">
        <v>180</v>
      </c>
      <c r="F276" s="155" t="str">
        <f>IF(G254="","L152",IF(G254&lt;I254,_xlfn.CONCAT("L152-",RIGHT(F254,LEN(F254) - FIND("-",F254))), _xlfn.CONCAT("L152-",RIGHT(H254,LEN(H254) - FIND("-",H254)))))</f>
        <v>L152-LONGHORN</v>
      </c>
      <c r="G276" s="156">
        <v>8</v>
      </c>
      <c r="H276" s="155" t="str">
        <f>IF(G256="","L160",IF(G256&lt;I256,_xlfn.CONCAT("L160-",RIGHT(F256,LEN(F256) - FIND("-",F256))), _xlfn.CONCAT("L160-",RIGHT(H256,LEN(H256) - FIND("-",H256)))))</f>
        <v>L160-ELMHURST</v>
      </c>
      <c r="I276" s="156">
        <v>4</v>
      </c>
      <c r="J276" s="155" t="s">
        <v>464</v>
      </c>
      <c r="K276" s="155" t="s">
        <v>320</v>
      </c>
      <c r="L276" s="155" t="str">
        <f t="shared" si="56"/>
        <v>18B-180</v>
      </c>
      <c r="N276" s="60" t="str">
        <f t="shared" si="57"/>
        <v>au_15th</v>
      </c>
    </row>
    <row r="277" spans="1:14" ht="14.1" customHeight="1">
      <c r="A277" s="69">
        <f t="shared" si="54"/>
        <v>46229</v>
      </c>
      <c r="B277" s="70">
        <f>'CHICLETS MASTER S2'!BA78</f>
        <v>0.5</v>
      </c>
      <c r="C277" s="71" t="s">
        <v>293</v>
      </c>
      <c r="D277" s="119" t="str">
        <f t="shared" si="55"/>
        <v>WESTMINSTER HS</v>
      </c>
      <c r="E277" s="71">
        <v>175</v>
      </c>
      <c r="F277" s="155" t="str">
        <f>IF(G255="","W156",IF(G255&gt;I255,_xlfn.CONCAT("W156-",RIGHT(F255,LEN(F255) - FIND("-",F255))), _xlfn.CONCAT("W156-",RIGHT(H255,LEN(H255) - FIND("-",H255)))))</f>
        <v>W156-SWIFT</v>
      </c>
      <c r="G277" s="156">
        <v>10</v>
      </c>
      <c r="H277" s="155" t="str">
        <f>IF(G257="","W164",IF(G257&gt;I257,_xlfn.CONCAT("W164-",RIGHT(F257,LEN(F257) - FIND("-",F257))), _xlfn.CONCAT("W164-",RIGHT(H257,LEN(H257) - FIND("-",H257)))))</f>
        <v>W164-TEXAS THUNDER SOUTH BLUE</v>
      </c>
      <c r="I277" s="156">
        <v>12</v>
      </c>
      <c r="J277" s="155" t="s">
        <v>474</v>
      </c>
      <c r="K277" s="155" t="s">
        <v>321</v>
      </c>
      <c r="L277" s="155" t="str">
        <f t="shared" si="56"/>
        <v>18B-175</v>
      </c>
      <c r="N277" s="60" t="str">
        <f t="shared" si="57"/>
        <v>au_17th</v>
      </c>
    </row>
    <row r="278" spans="1:14" ht="14.1" customHeight="1" thickBot="1">
      <c r="A278" s="98"/>
      <c r="B278" s="79"/>
    </row>
    <row r="279" spans="1:14" ht="14.1" customHeight="1">
      <c r="D279" s="65" t="str">
        <f>'CHICLETS MASTER S2'!$AD$72</f>
        <v>NEWPORT HARBOR HS</v>
      </c>
    </row>
    <row r="280" spans="1:14" ht="14.1" customHeight="1">
      <c r="A280" s="174" t="s">
        <v>124</v>
      </c>
      <c r="B280" s="174" t="s">
        <v>125</v>
      </c>
      <c r="C280" s="174" t="s">
        <v>126</v>
      </c>
      <c r="D280" s="174" t="s">
        <v>127</v>
      </c>
      <c r="E280" s="174" t="s">
        <v>128</v>
      </c>
      <c r="F280" s="174" t="s">
        <v>129</v>
      </c>
      <c r="G280" s="195" t="s">
        <v>130</v>
      </c>
      <c r="H280" s="174" t="s">
        <v>131</v>
      </c>
      <c r="I280" s="175" t="s">
        <v>130</v>
      </c>
      <c r="J280" s="174" t="s">
        <v>132</v>
      </c>
      <c r="K280" s="174" t="s">
        <v>133</v>
      </c>
      <c r="L280" s="174" t="s">
        <v>134</v>
      </c>
    </row>
    <row r="281" spans="1:14" ht="14.1" customHeight="1">
      <c r="A281" s="69">
        <f>$A$260</f>
        <v>46229</v>
      </c>
      <c r="B281" s="130">
        <f>'CHICLETS MASTER S2'!BA73</f>
        <v>0.29166666666666669</v>
      </c>
      <c r="C281" s="71" t="s">
        <v>268</v>
      </c>
      <c r="D281" s="99" t="str">
        <f t="shared" ref="D281:D286" si="58">$D$279</f>
        <v>NEWPORT HARBOR HS</v>
      </c>
      <c r="E281" s="71">
        <v>171</v>
      </c>
      <c r="F281" s="155" t="str">
        <f>IF(G236="","W139",IF(G236&gt;I236,_xlfn.CONCAT("W139-",RIGHT(F236,LEN(F236) - FIND("-",F236))), _xlfn.CONCAT("W139-",RIGHT(H236,LEN(H236) - FIND("-",H236)))))</f>
        <v>W139-SAND CANYON BLACK</v>
      </c>
      <c r="G281" s="156">
        <v>9</v>
      </c>
      <c r="H281" s="155" t="str">
        <f>IF(G241="","W159",IF(G241&gt;I241,_xlfn.CONCAT("W159-",RIGHT(F241,LEN(F241) - FIND("-",F241))), _xlfn.CONCAT("W159-",RIGHT(H241,LEN(H241) - FIND("-",H241)))))</f>
        <v>W159-AMERICAN RIVER BLUE</v>
      </c>
      <c r="I281" s="156">
        <v>11</v>
      </c>
      <c r="J281" s="155">
        <v>190</v>
      </c>
      <c r="K281" s="155">
        <v>189</v>
      </c>
      <c r="L281" s="155" t="str">
        <f t="shared" ref="L281:L286" si="59">$L$15&amp;"-"&amp;TEXT(E281,"000")</f>
        <v>18B-171</v>
      </c>
      <c r="N281" s="60" t="str">
        <f t="shared" ref="N281:N286" si="60">$L$260&amp;C281</f>
        <v>au_semi</v>
      </c>
    </row>
    <row r="282" spans="1:14" ht="14.1" customHeight="1">
      <c r="A282" s="69">
        <f>$A$260</f>
        <v>46229</v>
      </c>
      <c r="B282" s="130">
        <f>'CHICLETS MASTER S2'!BA74</f>
        <v>0.33333333333333298</v>
      </c>
      <c r="C282" s="71" t="s">
        <v>268</v>
      </c>
      <c r="D282" s="99" t="str">
        <f t="shared" si="58"/>
        <v>NEWPORT HARBOR HS</v>
      </c>
      <c r="E282" s="71">
        <v>172</v>
      </c>
      <c r="F282" s="155" t="str">
        <f>IF(G235="","W135",IF(G235&gt;I235,_xlfn.CONCAT("W135-",RIGHT(F235,LEN(F235) - FIND("-",F235))), _xlfn.CONCAT("W135-",RIGHT(H235,LEN(H235) - FIND("-",H235)))))</f>
        <v>W135-CLOVIS A</v>
      </c>
      <c r="G282" s="156">
        <v>18</v>
      </c>
      <c r="H282" s="155" t="str">
        <f>IF(G242="","W163",IF(G242&gt;I242,_xlfn.CONCAT("W163-",RIGHT(F242,LEN(F242) - FIND("-",F242))), _xlfn.CONCAT("W163-",RIGHT(H242,LEN(H242) - FIND("-",H242)))))</f>
        <v>W163-FOOTHILL RED A</v>
      </c>
      <c r="I282" s="156">
        <v>14</v>
      </c>
      <c r="J282" s="155">
        <v>190</v>
      </c>
      <c r="K282" s="155">
        <v>189</v>
      </c>
      <c r="L282" s="155" t="str">
        <f t="shared" si="59"/>
        <v>18B-172</v>
      </c>
      <c r="N282" s="60" t="str">
        <f t="shared" si="60"/>
        <v>au_semi</v>
      </c>
    </row>
    <row r="283" spans="1:14" ht="14.1" customHeight="1">
      <c r="A283" s="69">
        <f t="shared" si="54"/>
        <v>46229</v>
      </c>
      <c r="B283" s="130">
        <f>'CHICLETS MASTER S2'!BA75</f>
        <v>0.375</v>
      </c>
      <c r="C283" s="71" t="s">
        <v>269</v>
      </c>
      <c r="D283" s="99" t="str">
        <f t="shared" si="58"/>
        <v>NEWPORT HARBOR HS</v>
      </c>
      <c r="E283" s="71">
        <v>188</v>
      </c>
      <c r="F283" s="155" t="str">
        <f>IF(G237="","L143",IF(G237&lt;I237,_xlfn.CONCAT("L143-",RIGHT(F237,LEN(F237) - FIND("-",F237))), _xlfn.CONCAT("L143-",RIGHT(H237,LEN(H237) - FIND("-",H237)))))</f>
        <v>L143-LOWPO</v>
      </c>
      <c r="G283" s="156">
        <v>13</v>
      </c>
      <c r="H283" s="155" t="str">
        <f>IF(G238="","L147",IF(G238&lt;I238,_xlfn.CONCAT("L147-",RIGHT(F238,LEN(F238) - FIND("-",F238))), _xlfn.CONCAT("L147-",RIGHT(H238,LEN(H238) - FIND("-",H238)))))</f>
        <v>L147-PRAETORIAN</v>
      </c>
      <c r="I283" s="156">
        <v>10</v>
      </c>
      <c r="J283" s="155" t="s">
        <v>302</v>
      </c>
      <c r="K283" s="155" t="s">
        <v>313</v>
      </c>
      <c r="L283" s="155" t="str">
        <f t="shared" si="59"/>
        <v>18B-188</v>
      </c>
      <c r="N283" s="60" t="str">
        <f t="shared" si="60"/>
        <v>au_7th</v>
      </c>
    </row>
    <row r="284" spans="1:14" ht="14.1" customHeight="1">
      <c r="A284" s="69">
        <f>$A$260</f>
        <v>46229</v>
      </c>
      <c r="B284" s="130">
        <f>'CHICLETS MASTER S2'!BA76</f>
        <v>0.41666666666666702</v>
      </c>
      <c r="C284" s="71" t="s">
        <v>272</v>
      </c>
      <c r="D284" s="99" t="str">
        <f t="shared" si="58"/>
        <v>NEWPORT HARBOR HS</v>
      </c>
      <c r="E284" s="71">
        <v>187</v>
      </c>
      <c r="F284" s="197" t="str">
        <f>IF(G241="","L159",IF(G241&lt;I241,_xlfn.CONCAT("L159-",RIGHT(F241,LEN(F241) - FIND("-",F241))), _xlfn.CONCAT("L159-",RIGHT(H241,LEN(H241) - FIND("-",H241)))))</f>
        <v>L159-CT PREMIER</v>
      </c>
      <c r="G284" s="156">
        <v>17</v>
      </c>
      <c r="H284" s="155" t="str">
        <f>IF(G242="","L163",IF(G242&lt;I242,_xlfn.CONCAT("L163-",RIGHT(F242,LEN(F242) - FIND("-",F242))), _xlfn.CONCAT("L163-",RIGHT(H242,LEN(H242) - FIND("-",H242)))))</f>
        <v>L163-TEXAS THUNDER NORTH BLACK</v>
      </c>
      <c r="I284" s="156">
        <v>6</v>
      </c>
      <c r="J284" s="155" t="s">
        <v>300</v>
      </c>
      <c r="K284" s="155" t="s">
        <v>312</v>
      </c>
      <c r="L284" s="155" t="str">
        <f t="shared" si="59"/>
        <v>18B-187</v>
      </c>
      <c r="N284" s="60" t="str">
        <f t="shared" si="60"/>
        <v>au_5th</v>
      </c>
    </row>
    <row r="285" spans="1:14" ht="14.1" customHeight="1">
      <c r="A285" s="69">
        <f>$A$260</f>
        <v>46229</v>
      </c>
      <c r="B285" s="130">
        <f>'CHICLETS MASTER S2'!BA77</f>
        <v>0.45833333333333298</v>
      </c>
      <c r="C285" s="71" t="s">
        <v>275</v>
      </c>
      <c r="D285" s="99" t="str">
        <f t="shared" si="58"/>
        <v>NEWPORT HARBOR HS</v>
      </c>
      <c r="E285" s="71">
        <v>189</v>
      </c>
      <c r="F285" s="155" t="str">
        <f>IF(G281="","L171",IF(G281&lt;I281,_xlfn.CONCAT("L171-",RIGHT(F281,LEN(F281) - FIND("-",F281))), _xlfn.CONCAT("L171-",RIGHT(H281,LEN(H281) - FIND("-",H281)))))</f>
        <v>L171-SAND CANYON BLACK</v>
      </c>
      <c r="G285" s="157">
        <v>12.3</v>
      </c>
      <c r="H285" s="155" t="str">
        <f>IF(G282="","L172",IF(G282&lt;I282,_xlfn.CONCAT("L172-",RIGHT(F282,LEN(F282) - FIND("-",F282))), _xlfn.CONCAT("L172-",RIGHT(H282,LEN(H282) - FIND("-",H282)))))</f>
        <v>L172-FOOTHILL RED A</v>
      </c>
      <c r="I285" s="157">
        <v>12.1</v>
      </c>
      <c r="J285" s="155" t="s">
        <v>276</v>
      </c>
      <c r="K285" s="155" t="s">
        <v>311</v>
      </c>
      <c r="L285" s="155" t="str">
        <f t="shared" si="59"/>
        <v>18B-189</v>
      </c>
      <c r="N285" s="60" t="str">
        <f t="shared" si="60"/>
        <v>au_3rd</v>
      </c>
    </row>
    <row r="286" spans="1:14" ht="14.1" customHeight="1">
      <c r="A286" s="69">
        <f>$A$260</f>
        <v>46229</v>
      </c>
      <c r="B286" s="130">
        <f>'CHICLETS MASTER S2'!BA78</f>
        <v>0.5</v>
      </c>
      <c r="C286" s="71" t="s">
        <v>278</v>
      </c>
      <c r="D286" s="99" t="str">
        <f t="shared" si="58"/>
        <v>NEWPORT HARBOR HS</v>
      </c>
      <c r="E286" s="71">
        <v>190</v>
      </c>
      <c r="F286" s="155" t="str">
        <f>IF(G281="","W171",IF(G281&gt;I281,_xlfn.CONCAT("W171-",RIGHT(F281,LEN(F281) - FIND("-",F281))), _xlfn.CONCAT("W171-",RIGHT(H281,LEN(H281) - FIND("-",H281)))))</f>
        <v>W171-AMERICAN RIVER BLUE</v>
      </c>
      <c r="G286" s="156">
        <v>5</v>
      </c>
      <c r="H286" s="155" t="str">
        <f>IF(G282="","W172",IF(G282&gt;I282,_xlfn.CONCAT("W172-",RIGHT(F282,LEN(F282) - FIND("-",F282))), _xlfn.CONCAT("W172-",RIGHT(H282,LEN(H282) - FIND("-",H282)))))</f>
        <v>W172-CLOVIS A</v>
      </c>
      <c r="I286" s="156">
        <v>10</v>
      </c>
      <c r="J286" s="155" t="s">
        <v>279</v>
      </c>
      <c r="K286" s="155" t="s">
        <v>310</v>
      </c>
      <c r="L286" s="155" t="str">
        <f t="shared" si="59"/>
        <v>18B-190</v>
      </c>
      <c r="N286" s="60" t="str">
        <f t="shared" si="60"/>
        <v>au_1st</v>
      </c>
    </row>
    <row r="287" spans="1:14" ht="14.1" customHeight="1" thickBot="1"/>
    <row r="288" spans="1:14" ht="14.1" customHeight="1">
      <c r="D288" s="65" t="str">
        <f>'CHICLETS MASTER S2'!$AE$72</f>
        <v>ORANGE COAST COLLEGE 1</v>
      </c>
    </row>
    <row r="289" spans="1:14" ht="14.1" customHeight="1">
      <c r="A289" s="174" t="s">
        <v>124</v>
      </c>
      <c r="B289" s="174" t="s">
        <v>125</v>
      </c>
      <c r="C289" s="174" t="s">
        <v>126</v>
      </c>
      <c r="D289" s="174" t="s">
        <v>127</v>
      </c>
      <c r="E289" s="174" t="s">
        <v>128</v>
      </c>
      <c r="F289" s="174" t="s">
        <v>129</v>
      </c>
      <c r="G289" s="175" t="s">
        <v>130</v>
      </c>
      <c r="H289" s="174" t="s">
        <v>131</v>
      </c>
      <c r="I289" s="175" t="s">
        <v>130</v>
      </c>
      <c r="J289" s="174" t="s">
        <v>132</v>
      </c>
      <c r="K289" s="174" t="s">
        <v>133</v>
      </c>
      <c r="L289" s="174" t="s">
        <v>134</v>
      </c>
    </row>
    <row r="290" spans="1:14" ht="14.1" customHeight="1">
      <c r="A290" s="69">
        <f t="shared" si="54"/>
        <v>46229</v>
      </c>
      <c r="B290" s="70">
        <f>'CHICLETS MASTER S2'!BA73</f>
        <v>0.29166666666666669</v>
      </c>
      <c r="C290" s="71" t="s">
        <v>284</v>
      </c>
      <c r="D290" s="119" t="str">
        <f t="shared" ref="D290:D291" si="61">$D$288</f>
        <v>ORANGE COAST COLLEGE 1</v>
      </c>
      <c r="E290" s="94">
        <v>184</v>
      </c>
      <c r="F290" s="158" t="str">
        <f>IF(G239="","L151",IF(G239&lt;I239,_xlfn.CONCAT("L151-",RIGHT(F239,LEN(F239) - FIND("-",F239))), _xlfn.CONCAT("L151-",RIGHT(H239,LEN(H239) - FIND("-",H239)))))</f>
        <v>L151-WCAC UNITED</v>
      </c>
      <c r="G290" s="164">
        <v>18</v>
      </c>
      <c r="H290" s="155" t="str">
        <f>IF(G240="","L155",IF(G240&lt;I240,_xlfn.CONCAT("L155-",RIGHT(F240,LEN(F240) - FIND("-",F240))), _xlfn.CONCAT("L155-",RIGHT(H240,LEN(H240) - FIND("-",H240)))))</f>
        <v>L155-KEARNS</v>
      </c>
      <c r="I290" s="156">
        <v>12</v>
      </c>
      <c r="J290" s="155" t="s">
        <v>470</v>
      </c>
      <c r="K290" s="155" t="s">
        <v>318</v>
      </c>
      <c r="L290" s="155" t="str">
        <f t="shared" ref="L290:L295" si="62">$L$15&amp;"-"&amp;TEXT(E290,"000")</f>
        <v>18B-184</v>
      </c>
      <c r="N290" s="60" t="str">
        <f>$L$260&amp;C290</f>
        <v>au_11th</v>
      </c>
    </row>
    <row r="291" spans="1:14" ht="14.1" customHeight="1">
      <c r="A291" s="69">
        <f t="shared" si="54"/>
        <v>46229</v>
      </c>
      <c r="B291" s="70">
        <f>'CHICLETS MASTER S2'!BA74</f>
        <v>0.33333333333333298</v>
      </c>
      <c r="C291" s="71" t="s">
        <v>281</v>
      </c>
      <c r="D291" s="119" t="str">
        <f t="shared" si="61"/>
        <v>ORANGE COAST COLLEGE 1</v>
      </c>
      <c r="E291" s="71">
        <v>183</v>
      </c>
      <c r="F291" s="160" t="str">
        <f>IF(G239="","W151",IF(G239&gt;I239,_xlfn.CONCAT("W151-",RIGHT(F239,LEN(F239) - FIND("-",F239))), _xlfn.CONCAT("W151-",RIGHT(H239,LEN(H239) - FIND("-",H239)))))</f>
        <v>W151-VANGUARD BLUE</v>
      </c>
      <c r="G291" s="198">
        <v>15</v>
      </c>
      <c r="H291" s="160" t="str">
        <f>IF(G240="","W155",IF(G240&gt;I240,_xlfn.CONCAT("W155-",RIGHT(F240,LEN(F240) - FIND("-",F240))), _xlfn.CONCAT("W155-",RIGHT(H240,LEN(H240) - FIND("-",H240)))))</f>
        <v>W155-SLAP</v>
      </c>
      <c r="I291" s="156">
        <v>9</v>
      </c>
      <c r="J291" s="155" t="s">
        <v>468</v>
      </c>
      <c r="K291" s="155" t="s">
        <v>315</v>
      </c>
      <c r="L291" s="155" t="str">
        <f t="shared" si="62"/>
        <v>18B-183</v>
      </c>
      <c r="N291" s="60" t="str">
        <f>$L$260&amp;C291</f>
        <v>au_9th</v>
      </c>
    </row>
    <row r="292" spans="1:14" ht="14.1" customHeight="1">
      <c r="A292" s="69">
        <f>$A$260</f>
        <v>46229</v>
      </c>
      <c r="B292" s="70">
        <f>'CHICLETS MASTER S2'!BA75</f>
        <v>0.375</v>
      </c>
      <c r="C292" s="119" t="s">
        <v>269</v>
      </c>
      <c r="D292" s="119" t="str">
        <f>$D$288</f>
        <v>ORANGE COAST COLLEGE 1</v>
      </c>
      <c r="E292" s="71">
        <v>185</v>
      </c>
      <c r="F292" s="90" t="str">
        <f>IF(G208="","L145",IF(G208&lt;I208,_xlfn.CONCAT("L145-",RIGHT(F208,LEN(F208) - FIND("-",F208))), _xlfn.CONCAT("L145-",RIGHT(H208,LEN(H208) - FIND("-",H208)))))</f>
        <v>L145-LA JOLLA UNITED A</v>
      </c>
      <c r="G292" s="93">
        <v>14</v>
      </c>
      <c r="H292" s="90" t="str">
        <f>IF(G207="","L141",IF(G207&lt;I207,_xlfn.CONCAT("L141-",RIGHT(F207,LEN(F207) - FIND("-",F207))), _xlfn.CONCAT("L141-",RIGHT(H207,LEN(H207) - FIND("-",H207)))))</f>
        <v>L141-NORCAL BLACK</v>
      </c>
      <c r="I292" s="93">
        <v>10</v>
      </c>
      <c r="J292" s="90" t="s">
        <v>270</v>
      </c>
      <c r="K292" s="90" t="s">
        <v>271</v>
      </c>
      <c r="L292" s="90" t="str">
        <f t="shared" si="62"/>
        <v>18B-185</v>
      </c>
      <c r="N292" s="60" t="str">
        <f>$K$260&amp;C292</f>
        <v>pt_7th</v>
      </c>
    </row>
    <row r="293" spans="1:14" ht="14.1" customHeight="1">
      <c r="A293" s="69">
        <f>$A$260</f>
        <v>46229</v>
      </c>
      <c r="B293" s="70">
        <f>'CHICLETS MASTER S2'!BA76</f>
        <v>0.41666666666666702</v>
      </c>
      <c r="C293" s="71" t="s">
        <v>272</v>
      </c>
      <c r="D293" s="119" t="str">
        <f t="shared" ref="D293:D295" si="63">$D$288</f>
        <v>ORANGE COAST COLLEGE 1</v>
      </c>
      <c r="E293" s="71">
        <v>186</v>
      </c>
      <c r="F293" s="90" t="str">
        <f>IF(G212="","L161",IF(G212&lt;I212,_xlfn.CONCAT("L161-",RIGHT(F212,LEN(F212) - FIND("-",F212))), _xlfn.CONCAT("L161-",RIGHT(H212,LEN(H212) - FIND("-",H212)))))</f>
        <v>L161-SD SHORES BLACK</v>
      </c>
      <c r="G293" s="93">
        <v>16</v>
      </c>
      <c r="H293" s="90" t="str">
        <f>IF(G211="","L157",IF(G211&lt;I211,_xlfn.CONCAT("L157-",RIGHT(F211,LEN(F211) - FIND("-",F211))), _xlfn.CONCAT("L157-",RIGHT(H211,LEN(H211) - FIND("-",H211)))))</f>
        <v>L157-CC UNITED BLACK</v>
      </c>
      <c r="I293" s="93">
        <v>18</v>
      </c>
      <c r="J293" s="90" t="s">
        <v>273</v>
      </c>
      <c r="K293" s="90" t="s">
        <v>274</v>
      </c>
      <c r="L293" s="90" t="str">
        <f t="shared" si="62"/>
        <v>18B-186</v>
      </c>
      <c r="N293" s="60" t="str">
        <f>$K$260&amp;C293</f>
        <v>pt_5th</v>
      </c>
    </row>
    <row r="294" spans="1:14" ht="14.1" customHeight="1">
      <c r="A294" s="69">
        <f t="shared" si="50"/>
        <v>46229</v>
      </c>
      <c r="B294" s="70">
        <f>'CHICLETS MASTER S2'!BA77</f>
        <v>0.45833333333333298</v>
      </c>
      <c r="C294" s="71" t="s">
        <v>281</v>
      </c>
      <c r="D294" s="119" t="str">
        <f t="shared" si="63"/>
        <v>ORANGE COAST COLLEGE 1</v>
      </c>
      <c r="E294" s="71">
        <v>182</v>
      </c>
      <c r="F294" s="90" t="str">
        <f>IF(G210="","W153",IF(G210&gt;I210,_xlfn.CONCAT("W153-",RIGHT(F210,LEN(F210) - FIND("-",F210))), _xlfn.CONCAT("W153-",RIGHT(H210,LEN(H210) - FIND("-",H210)))))</f>
        <v>W153-ATHERTON</v>
      </c>
      <c r="G294" s="93">
        <v>17</v>
      </c>
      <c r="H294" s="90" t="str">
        <f>IF(G209="","W149",IF(G209&gt;I209,_xlfn.CONCAT("W149-",RIGHT(F209,LEN(F209) - FIND("-",F209))), _xlfn.CONCAT("W149-",RIGHT(H209,LEN(H209) - FIND("-",H209)))))</f>
        <v>W149-AETOS</v>
      </c>
      <c r="I294" s="93">
        <v>13</v>
      </c>
      <c r="J294" s="90" t="s">
        <v>282</v>
      </c>
      <c r="K294" s="90" t="s">
        <v>283</v>
      </c>
      <c r="L294" s="90" t="str">
        <f t="shared" si="62"/>
        <v>18B-182</v>
      </c>
      <c r="N294" s="60" t="str">
        <f>$K$260&amp;C294</f>
        <v>pt_9th</v>
      </c>
    </row>
    <row r="295" spans="1:14" ht="14.1" customHeight="1">
      <c r="A295" s="69">
        <f t="shared" si="50"/>
        <v>46229</v>
      </c>
      <c r="B295" s="70">
        <f>'CHICLETS MASTER S2'!BA78</f>
        <v>0.5</v>
      </c>
      <c r="C295" s="71" t="s">
        <v>284</v>
      </c>
      <c r="D295" s="119" t="str">
        <f t="shared" si="63"/>
        <v>ORANGE COAST COLLEGE 1</v>
      </c>
      <c r="E295" s="71">
        <v>181</v>
      </c>
      <c r="F295" s="90" t="str">
        <f>IF(G210="","L153",IF(G210&lt;I210,_xlfn.CONCAT("L153-",RIGHT(F210,LEN(F210) - FIND("-",F210))), _xlfn.CONCAT("L153-",RIGHT(H210,LEN(H210) - FIND("-",H210)))))</f>
        <v>L153-PRIDE A</v>
      </c>
      <c r="G295" s="97">
        <v>17.600000000000001</v>
      </c>
      <c r="H295" s="90" t="str">
        <f>IF(G209="","L149",IF(G209&lt;I209,_xlfn.CONCAT("L149-",RIGHT(F209,LEN(F209) - FIND("-",F209))), _xlfn.CONCAT("L149-",RIGHT(H209,LEN(H209) - FIND("-",H209)))))</f>
        <v>L149-GREENWICH</v>
      </c>
      <c r="I295" s="97">
        <v>17.5</v>
      </c>
      <c r="J295" s="90" t="s">
        <v>285</v>
      </c>
      <c r="K295" s="90" t="s">
        <v>286</v>
      </c>
      <c r="L295" s="90" t="str">
        <f t="shared" si="62"/>
        <v>18B-181</v>
      </c>
      <c r="N295" s="60" t="str">
        <f>$K$260&amp;C295</f>
        <v>pt_11th</v>
      </c>
    </row>
    <row r="296" spans="1:14" ht="14.1" customHeight="1" thickBot="1">
      <c r="A296" s="98"/>
      <c r="B296" s="79"/>
    </row>
    <row r="297" spans="1:14" ht="14.1" customHeight="1" thickBot="1">
      <c r="D297" s="65" t="str">
        <f>'CHICLETS MASTER S2'!$B$84</f>
        <v>WOOLLETT LEFT</v>
      </c>
    </row>
    <row r="298" spans="1:14" ht="14.1" customHeight="1">
      <c r="A298" s="174" t="s">
        <v>124</v>
      </c>
      <c r="B298" s="174" t="s">
        <v>125</v>
      </c>
      <c r="C298" s="174" t="s">
        <v>126</v>
      </c>
      <c r="D298" s="174" t="s">
        <v>127</v>
      </c>
      <c r="E298" s="174" t="s">
        <v>128</v>
      </c>
      <c r="F298" s="174" t="s">
        <v>129</v>
      </c>
      <c r="G298" s="175" t="s">
        <v>130</v>
      </c>
      <c r="H298" s="174" t="s">
        <v>131</v>
      </c>
      <c r="I298" s="175" t="s">
        <v>130</v>
      </c>
      <c r="J298" s="174" t="s">
        <v>132</v>
      </c>
      <c r="K298" s="174" t="s">
        <v>133</v>
      </c>
      <c r="L298" s="174" t="s">
        <v>134</v>
      </c>
    </row>
    <row r="299" spans="1:14" ht="14.1" customHeight="1">
      <c r="A299" s="69">
        <f>$A$260</f>
        <v>46229</v>
      </c>
      <c r="B299" s="130">
        <f>'CHICLETS MASTER S2'!A89</f>
        <v>0.45833333333333331</v>
      </c>
      <c r="C299" s="71" t="s">
        <v>268</v>
      </c>
      <c r="D299" s="119" t="str">
        <f>D297</f>
        <v>WOOLLETT LEFT</v>
      </c>
      <c r="E299" s="71">
        <v>173</v>
      </c>
      <c r="F299" s="90" t="str">
        <f>IF(G205="","W133",IF(G205&gt;I205,_xlfn.CONCAT("W133-",RIGHT(F205,LEN(F205) - FIND("-",F205))), _xlfn.CONCAT("W133-",RIGHT(H205,LEN(H205) - FIND("-",H205)))))</f>
        <v>W133-STANFORD RED</v>
      </c>
      <c r="G299" s="93">
        <v>6</v>
      </c>
      <c r="H299" s="90" t="str">
        <f>IF(G212="","W161",IF(G212&gt;I212,_xlfn.CONCAT("W161-",RIGHT(F212,LEN(F212) - FIND("-",F212))), _xlfn.CONCAT("W161-",RIGHT(H212,LEN(H212) - FIND("-",H212)))))</f>
        <v>W161-NEWPORT BEACH</v>
      </c>
      <c r="I299" s="93">
        <v>14</v>
      </c>
      <c r="J299" s="90">
        <v>192</v>
      </c>
      <c r="K299" s="90">
        <v>191</v>
      </c>
      <c r="L299" s="90" t="str">
        <f>$L$15&amp;"-"&amp;TEXT(E299,"000")</f>
        <v>18B-173</v>
      </c>
      <c r="N299" s="60" t="str">
        <f>$K$260&amp;C299</f>
        <v>pt_semi</v>
      </c>
    </row>
    <row r="300" spans="1:14" ht="14.1" customHeight="1">
      <c r="A300" s="98"/>
      <c r="B300" s="79"/>
    </row>
    <row r="301" spans="1:14" ht="14.1" customHeight="1">
      <c r="A301" s="69">
        <f>$A$260</f>
        <v>46229</v>
      </c>
      <c r="B301" s="167">
        <f>'CHICLETS MASTER S2'!A94</f>
        <v>0.69791666666666663</v>
      </c>
      <c r="C301" s="71" t="s">
        <v>275</v>
      </c>
      <c r="D301" s="119" t="str">
        <f>D299</f>
        <v>WOOLLETT LEFT</v>
      </c>
      <c r="E301" s="71">
        <v>191</v>
      </c>
      <c r="F301" s="90" t="str">
        <f>IF(G299="","L173",IF(G299&lt;I299,_xlfn.CONCAT("L173-",RIGHT(F299,LEN(F299) - FIND("-",F299))), _xlfn.CONCAT("L173-",RIGHT(H299,LEN(H299) - FIND("-",H299)))))</f>
        <v>L173-STANFORD RED</v>
      </c>
      <c r="G301" s="93">
        <v>8</v>
      </c>
      <c r="H301" s="90" t="str">
        <f>IF(G305="","L174",IF(G305&lt;I305,_xlfn.CONCAT("L174-",RIGHT(F305,LEN(F305) - FIND("-",F305))), _xlfn.CONCAT("L174-",RIGHT(H305,LEN(H305) - FIND("-",H305)))))</f>
        <v>L174-LAMORINDA A</v>
      </c>
      <c r="I301" s="93">
        <v>10</v>
      </c>
      <c r="J301" s="90" t="s">
        <v>304</v>
      </c>
      <c r="K301" s="90" t="s">
        <v>305</v>
      </c>
      <c r="L301" s="90" t="str">
        <f>$L$15&amp;"-"&amp;TEXT(E301,"000")</f>
        <v>18B-191</v>
      </c>
      <c r="N301" s="60" t="str">
        <f>$K$260&amp;C301</f>
        <v>pt_3rd</v>
      </c>
    </row>
    <row r="302" spans="1:14" ht="14.1" customHeight="1" thickBot="1">
      <c r="A302" s="98"/>
      <c r="B302" s="79"/>
    </row>
    <row r="303" spans="1:14" ht="14.1" customHeight="1" thickBot="1">
      <c r="D303" s="65" t="str">
        <f>'CHICLETS MASTER S2'!$C$84</f>
        <v>WOOLLETT RIGHT</v>
      </c>
    </row>
    <row r="304" spans="1:14" ht="14.1" customHeight="1">
      <c r="A304" s="174" t="s">
        <v>124</v>
      </c>
      <c r="B304" s="174" t="s">
        <v>125</v>
      </c>
      <c r="C304" s="174" t="s">
        <v>126</v>
      </c>
      <c r="D304" s="174" t="s">
        <v>127</v>
      </c>
      <c r="E304" s="174" t="s">
        <v>128</v>
      </c>
      <c r="F304" s="174" t="s">
        <v>129</v>
      </c>
      <c r="G304" s="175" t="s">
        <v>130</v>
      </c>
      <c r="H304" s="174" t="s">
        <v>131</v>
      </c>
      <c r="I304" s="175" t="s">
        <v>130</v>
      </c>
      <c r="J304" s="174" t="s">
        <v>132</v>
      </c>
      <c r="K304" s="174" t="s">
        <v>133</v>
      </c>
      <c r="L304" s="174" t="s">
        <v>134</v>
      </c>
    </row>
    <row r="305" spans="1:14" ht="14.1" customHeight="1">
      <c r="A305" s="69">
        <f>$A$260</f>
        <v>46229</v>
      </c>
      <c r="B305" s="96">
        <f>'CHICLETS MASTER S2'!A89</f>
        <v>0.45833333333333331</v>
      </c>
      <c r="C305" s="71" t="s">
        <v>268</v>
      </c>
      <c r="D305" s="119" t="str">
        <f>$D$303</f>
        <v>WOOLLETT RIGHT</v>
      </c>
      <c r="E305" s="71">
        <v>174</v>
      </c>
      <c r="F305" s="90" t="str">
        <f>IF(G206="","W137",IF(G206&gt;I206,_xlfn.CONCAT("W137-",RIGHT(F206,LEN(F206) - FIND("-",F206))), _xlfn.CONCAT("W137-",RIGHT(H206,LEN(H206) - FIND("-",H206)))))</f>
        <v>W137-LAMORINDA A</v>
      </c>
      <c r="G305" s="93">
        <v>10</v>
      </c>
      <c r="H305" s="90" t="str">
        <f>IF(G211="","W157",IF(G211&gt;I211,_xlfn.CONCAT("W157-",RIGHT(F211,LEN(F211) - FIND("-",F211))), _xlfn.CONCAT("W157-",RIGHT(H211,LEN(H211) - FIND("-",H211)))))</f>
        <v>W157-SD DONS</v>
      </c>
      <c r="I305" s="93">
        <v>12</v>
      </c>
      <c r="J305" s="90">
        <v>192</v>
      </c>
      <c r="K305" s="90">
        <v>191</v>
      </c>
      <c r="L305" s="90" t="str">
        <f>$L$15&amp;"-"&amp;TEXT(E305,"000")</f>
        <v>18B-174</v>
      </c>
      <c r="N305" s="60" t="str">
        <f>$K$260&amp;C305</f>
        <v>pt_semi</v>
      </c>
    </row>
    <row r="307" spans="1:14" ht="14.1" customHeight="1">
      <c r="A307" s="69">
        <f>$A$260</f>
        <v>46229</v>
      </c>
      <c r="B307" s="167">
        <f>'CHICLETS MASTER S2'!A94</f>
        <v>0.69791666666666663</v>
      </c>
      <c r="C307" s="71" t="s">
        <v>278</v>
      </c>
      <c r="D307" s="119" t="str">
        <f>$D$303</f>
        <v>WOOLLETT RIGHT</v>
      </c>
      <c r="E307" s="71">
        <v>192</v>
      </c>
      <c r="F307" s="90" t="str">
        <f>IF(G299="","W173",IF(G299&gt;I299,_xlfn.CONCAT("W173-",RIGHT(F299,LEN(F299) - FIND("-",F299))), _xlfn.CONCAT("W173-",RIGHT(H299,LEN(H299) - FIND("-",H299)))))</f>
        <v>W173-NEWPORT BEACH</v>
      </c>
      <c r="G307" s="93">
        <v>15</v>
      </c>
      <c r="H307" s="90" t="str">
        <f>IF(G305="","W174",IF(G305&gt;I305,_xlfn.CONCAT("W174-",RIGHT(F305,LEN(F305) - FIND("-",F305))), _xlfn.CONCAT("W174-",RIGHT(H305,LEN(H305) - FIND("-",H305)))))</f>
        <v>W174-SD DONS</v>
      </c>
      <c r="I307" s="93">
        <v>17</v>
      </c>
      <c r="J307" s="90" t="s">
        <v>306</v>
      </c>
      <c r="K307" s="90" t="s">
        <v>307</v>
      </c>
      <c r="L307" s="90" t="str">
        <f>$L$15&amp;"-"&amp;TEXT(E307,"000")</f>
        <v>18B-192</v>
      </c>
      <c r="N307" s="60" t="str">
        <f>$K$260&amp;C307</f>
        <v>pt_1st</v>
      </c>
    </row>
    <row r="309" spans="1:14" ht="14.1" customHeight="1">
      <c r="A309" s="90" t="s">
        <v>308</v>
      </c>
      <c r="B309" s="62"/>
      <c r="C309" s="155" t="s">
        <v>309</v>
      </c>
      <c r="D309" s="62"/>
    </row>
    <row r="310" spans="1:14" ht="14.1" customHeight="1">
      <c r="A310" s="90" t="s">
        <v>278</v>
      </c>
      <c r="B310" s="131" t="str">
        <f>IF(G307="","W192",IF(G307&gt;I307,_xlfn.CONCAT("W192-",RIGHT(F307,LEN(F307) - FIND("-",F307))), _xlfn.CONCAT("W192-",RIGHT(H307,LEN(H307) - FIND("-",H307)))))</f>
        <v>W192-SD DONS</v>
      </c>
      <c r="C310" s="155" t="s">
        <v>278</v>
      </c>
      <c r="D310" s="132" t="str">
        <f>IF(G286="","W190",IF(G286&gt;I286,_xlfn.CONCAT("W190-",RIGHT(F286,LEN(F286) - FIND("-",F286))), _xlfn.CONCAT("W190-",RIGHT(H286,LEN(H286) - FIND("-",H286)))))</f>
        <v>W190-CLOVIS A</v>
      </c>
    </row>
    <row r="311" spans="1:14" ht="14.1" customHeight="1">
      <c r="A311" s="90" t="s">
        <v>310</v>
      </c>
      <c r="B311" s="133" t="str">
        <f>IF(G307="","L192",IF(G307&lt;I307,_xlfn.CONCAT("L192-",RIGHT(F307,LEN(F307) - FIND("-",F307))), _xlfn.CONCAT("L192-",RIGHT(H307,LEN(H307) - FIND("-",H307)))))</f>
        <v>L192-NEWPORT BEACH</v>
      </c>
      <c r="C311" s="155" t="s">
        <v>310</v>
      </c>
      <c r="D311" s="131" t="str">
        <f>IF(G286="","L190",IF(G286&lt;I286,_xlfn.CONCAT("L190-",RIGHT(F286,LEN(F286) - FIND("-",F286))), _xlfn.CONCAT("L190-",RIGHT(H286,LEN(H286) - FIND("-",H286)))))</f>
        <v>L190-AMERICAN RIVER BLUE</v>
      </c>
    </row>
    <row r="312" spans="1:14" ht="14.1" customHeight="1">
      <c r="A312" s="90" t="s">
        <v>275</v>
      </c>
      <c r="B312" s="131" t="str">
        <f>IF(G301="","W191",IF(G301&gt;I301,_xlfn.CONCAT("W191-",RIGHT(F301,LEN(F301) - FIND("-",F301))), _xlfn.CONCAT("W191-",RIGHT(H301,LEN(H301) - FIND("-",H301)))))</f>
        <v>W191-LAMORINDA A</v>
      </c>
      <c r="C312" s="155" t="s">
        <v>275</v>
      </c>
      <c r="D312" s="132" t="str">
        <f>IF(G285="","W189",IF(G285&gt;I285,_xlfn.CONCAT("W189-",RIGHT(F285,LEN(F285) - FIND("-",F285))), _xlfn.CONCAT("W189-",RIGHT(H285,LEN(H285) - FIND("-",H285)))))</f>
        <v>W189-SAND CANYON BLACK</v>
      </c>
    </row>
    <row r="313" spans="1:14" ht="14.1" customHeight="1">
      <c r="A313" s="90" t="s">
        <v>311</v>
      </c>
      <c r="B313" s="131" t="str">
        <f>IF(G301="","L191",IF(G301&lt;I301,_xlfn.CONCAT("L191-",RIGHT(F301,LEN(F301) - FIND("-",F301))), _xlfn.CONCAT("L191-",RIGHT(H301,LEN(H301) - FIND("-",H301)))))</f>
        <v>L191-STANFORD RED</v>
      </c>
      <c r="C313" s="155" t="s">
        <v>311</v>
      </c>
      <c r="D313" s="131" t="str">
        <f>IF(G285="","L189",IF(G285&lt;I285,_xlfn.CONCAT("L189-",RIGHT(F285,LEN(F285) - FIND("-",F285))), _xlfn.CONCAT("L189-",RIGHT(H285,LEN(H285) - FIND("-",H285)))))</f>
        <v>L189-FOOTHILL RED A</v>
      </c>
    </row>
    <row r="314" spans="1:14" ht="14.1" customHeight="1">
      <c r="A314" s="90" t="s">
        <v>272</v>
      </c>
      <c r="B314" s="131" t="str">
        <f>IF(G293="","W186",IF(G293&gt;I293,_xlfn.CONCAT("W186-",RIGHT(F293,LEN(F293) - FIND("-",F293))), _xlfn.CONCAT("W186-",RIGHT(H293,LEN(H293) - FIND("-",H293)))))</f>
        <v>W186-CC UNITED BLACK</v>
      </c>
      <c r="C314" s="155" t="s">
        <v>272</v>
      </c>
      <c r="D314" s="134" t="str">
        <f>IF(G284="","W187",IF(G284&gt;I284,_xlfn.CONCAT("W187-",RIGHT(F284,LEN(F284) - FIND("-",F284))), _xlfn.CONCAT("W187-",RIGHT(H284,LEN(H284) - FIND("-",H284)))))</f>
        <v>W187-CT PREMIER</v>
      </c>
    </row>
    <row r="315" spans="1:14" ht="14.1" customHeight="1">
      <c r="A315" s="90" t="s">
        <v>312</v>
      </c>
      <c r="B315" s="133" t="str">
        <f>IF(G293="","L186",IF(G293&lt;I293,_xlfn.CONCAT("L186-",RIGHT(F293,LEN(F293) - FIND("-",F293))), _xlfn.CONCAT("L186-",RIGHT(H293,LEN(H293) - FIND("-",H293)))))</f>
        <v>L186-SD SHORES BLACK</v>
      </c>
      <c r="C315" s="155" t="s">
        <v>312</v>
      </c>
      <c r="D315" s="132" t="str">
        <f>IF(G284="","L187",IF(G284&lt;I284,_xlfn.CONCAT("L187-",RIGHT(F284,LEN(F284) - FIND("-",F284))), _xlfn.CONCAT("L187-",RIGHT(H284,LEN(H284) - FIND("-",H284)))))</f>
        <v>L187-TEXAS THUNDER NORTH BLACK</v>
      </c>
    </row>
    <row r="316" spans="1:14" ht="14.1" customHeight="1">
      <c r="A316" s="90" t="s">
        <v>269</v>
      </c>
      <c r="B316" s="131" t="str">
        <f>IF(G292="","W185",IF(G292&gt;I292,_xlfn.CONCAT("W185-",RIGHT(F292,LEN(F292) - FIND("-",F292))), _xlfn.CONCAT("W185-",RIGHT(H292,LEN(H292) - FIND("-",H292)))))</f>
        <v>W185-LA JOLLA UNITED A</v>
      </c>
      <c r="C316" s="155" t="s">
        <v>269</v>
      </c>
      <c r="D316" s="131" t="str">
        <f>IF(G283="","W188",IF(G283&gt;I283,_xlfn.CONCAT("W188-",RIGHT(F283,LEN(F283) - FIND("-",F283))), _xlfn.CONCAT("W188-",RIGHT(H283,LEN(H283) - FIND("-",H283)))))</f>
        <v>W188-LOWPO</v>
      </c>
    </row>
    <row r="317" spans="1:14" ht="14.1" customHeight="1">
      <c r="A317" s="90" t="s">
        <v>313</v>
      </c>
      <c r="B317" s="133" t="str">
        <f>IF(G292="","L185",IF(G292&lt;I292,_xlfn.CONCAT("L185-",RIGHT(F292,LEN(F292) - FIND("-",F292))), _xlfn.CONCAT("L185-",RIGHT(H292,LEN(H292) - FIND("-",H292)))))</f>
        <v>L185-NORCAL BLACK</v>
      </c>
      <c r="C317" s="155" t="s">
        <v>313</v>
      </c>
      <c r="D317" s="135" t="str">
        <f>IF(G283="","L188",IF(G283&lt;I283,_xlfn.CONCAT("L188-",RIGHT(F283,LEN(F283) - FIND("-",F283))), _xlfn.CONCAT("L188-",RIGHT(H283,LEN(H283) - FIND("-",H283)))))</f>
        <v>L188-PRAETORIAN</v>
      </c>
    </row>
    <row r="318" spans="1:14" ht="14.1" customHeight="1">
      <c r="A318" s="90" t="s">
        <v>281</v>
      </c>
      <c r="B318" s="131" t="str">
        <f>IF(G294="","W182",IF(G294&gt;I294,_xlfn.CONCAT("W182-",RIGHT(F294,LEN(F294) - FIND("-",F294))), _xlfn.CONCAT("W182-",RIGHT(H294,LEN(H294) - FIND("-",H294)))))</f>
        <v>W182-ATHERTON</v>
      </c>
      <c r="C318" s="155" t="s">
        <v>281</v>
      </c>
      <c r="D318" s="131" t="str">
        <f>IF(G291="","W183",IF(G291&gt;I291,_xlfn.CONCAT("W183-",RIGHT(F291,LEN(F291) - FIND("-",F291))), _xlfn.CONCAT("W183-",RIGHT(H291,LEN(H291) - FIND("-",H291)))))</f>
        <v>W183-VANGUARD BLUE</v>
      </c>
    </row>
    <row r="319" spans="1:14" ht="14.1" customHeight="1">
      <c r="A319" s="90" t="s">
        <v>315</v>
      </c>
      <c r="B319" s="133" t="str">
        <f>IF(G294="","L182",IF(G294&lt;I294,_xlfn.CONCAT("L182-",RIGHT(F294,LEN(F294) - FIND("-",F294))), _xlfn.CONCAT("L182-",RIGHT(H294,LEN(H294) - FIND("-",H294)))))</f>
        <v>L182-AETOS</v>
      </c>
      <c r="C319" s="155" t="s">
        <v>315</v>
      </c>
      <c r="D319" s="135" t="str">
        <f>IF(G291="","L183",IF(G291&lt;I291,_xlfn.CONCAT("L183-",RIGHT(F291,LEN(F291) - FIND("-",F291))), _xlfn.CONCAT("L183-",RIGHT(H291,LEN(H291) - FIND("-",H291)))))</f>
        <v>L183-SLAP</v>
      </c>
    </row>
    <row r="320" spans="1:14" ht="14.1" customHeight="1">
      <c r="A320" s="90" t="s">
        <v>284</v>
      </c>
      <c r="B320" s="131" t="str">
        <f>IF(G295="","W181",IF(G295&gt;I295,_xlfn.CONCAT("W181-",RIGHT(F295,LEN(F295) - FIND("-",F295))), _xlfn.CONCAT("W181-",RIGHT(H295,LEN(H295) - FIND("-",H295)))))</f>
        <v>W181-PRIDE A</v>
      </c>
      <c r="C320" s="155" t="s">
        <v>284</v>
      </c>
      <c r="D320" s="131" t="str">
        <f>IF(G290="","W184",IF(G290&gt;I290,_xlfn.CONCAT("W184-",RIGHT(F290,LEN(F290) - FIND("-",F290))), _xlfn.CONCAT("W184-",RIGHT(H290,LEN(H290) - FIND("-",H290)))))</f>
        <v>W184-WCAC UNITED</v>
      </c>
    </row>
    <row r="321" spans="1:4" ht="14.1" customHeight="1">
      <c r="A321" s="90" t="s">
        <v>318</v>
      </c>
      <c r="B321" s="133" t="str">
        <f>IF(G295="","L181",IF(G295&lt;I295,_xlfn.CONCAT("L181-",RIGHT(F295,LEN(F295) - FIND("-",F295))), _xlfn.CONCAT("L181-",RIGHT(H295,LEN(H295) - FIND("-",H295)))))</f>
        <v>L181-GREENWICH</v>
      </c>
      <c r="C321" s="155" t="s">
        <v>318</v>
      </c>
      <c r="D321" s="134" t="str">
        <f>IF(G290="","L184",IF(G290&lt;I290,_xlfn.CONCAT("L184-",RIGHT(F290,LEN(F290) - FIND("-",F290))), _xlfn.CONCAT("L184-",RIGHT(H290,LEN(H290) - FIND("-",H290)))))</f>
        <v>L184-KEARNS</v>
      </c>
    </row>
    <row r="322" spans="1:4" ht="14.1" customHeight="1">
      <c r="A322" s="90" t="s">
        <v>287</v>
      </c>
      <c r="B322" s="131" t="str">
        <f>IF(G266="","W178",IF(G266&gt;I266,_xlfn.CONCAT("W178-",RIGHT(F266,LEN(F266) - FIND("-",F266))), _xlfn.CONCAT("W178-",RIGHT(H266,LEN(H266) - FIND("-",H266)))))</f>
        <v>W178-TROJAN CARDINAL</v>
      </c>
      <c r="C322" s="155" t="s">
        <v>287</v>
      </c>
      <c r="D322" s="131" t="str">
        <f>IF(G275="","W179",IF(G275&gt;I275,_xlfn.CONCAT("W179-",RIGHT(F275,LEN(F275) - FIND("-",F275))), _xlfn.CONCAT("W179-",RIGHT(H275,LEN(H275) - FIND("-",H275)))))</f>
        <v>W179-PUGET SOUND</v>
      </c>
    </row>
    <row r="323" spans="1:4" ht="14.1" customHeight="1">
      <c r="A323" s="90" t="s">
        <v>319</v>
      </c>
      <c r="B323" s="133" t="str">
        <f>IF(G266="","L178",IF(G266&lt;I266,_xlfn.CONCAT("L178-",RIGHT(F266,LEN(F266) - FIND("-",F266))), _xlfn.CONCAT("L178-",RIGHT(H266,LEN(H266) - FIND("-",H266)))))</f>
        <v>L178-CIU SENIORS A</v>
      </c>
      <c r="C323" s="155" t="s">
        <v>319</v>
      </c>
      <c r="D323" s="135" t="str">
        <f>IF(G275="","L179",IF(G275&lt;I275,_xlfn.CONCAT("L179-",RIGHT(F275,LEN(F275) - FIND("-",F275))), _xlfn.CONCAT("L179-",RIGHT(H275,LEN(H275) - FIND("-",H275)))))</f>
        <v>L179-CHICAGO PARK</v>
      </c>
    </row>
    <row r="324" spans="1:4" ht="14.1" customHeight="1">
      <c r="A324" s="90" t="s">
        <v>290</v>
      </c>
      <c r="B324" s="131" t="str">
        <f>IF(G267="","W177",IF(G267&gt;I267,_xlfn.CONCAT("W177-",RIGHT(F267,LEN(F267) - FIND("-",F267))), _xlfn.CONCAT("W177-",RIGHT(H267,LEN(H267) - FIND("-",H267)))))</f>
        <v>W177-SAN FRANCISCO WARRIORS</v>
      </c>
      <c r="C324" s="155" t="s">
        <v>290</v>
      </c>
      <c r="D324" s="131" t="str">
        <f>IF(G276="","W180",IF(G276&gt;I276,_xlfn.CONCAT("W180-",RIGHT(F276,LEN(F276) - FIND("-",F276))), _xlfn.CONCAT("W180-",RIGHT(H276,LEN(H276) - FIND("-",H276)))))</f>
        <v>W180-LONGHORN</v>
      </c>
    </row>
    <row r="325" spans="1:4" ht="14.1" customHeight="1">
      <c r="A325" s="90" t="s">
        <v>320</v>
      </c>
      <c r="B325" s="133" t="str">
        <f>IF(G267="","L177",IF(G267&lt;I267,_xlfn.CONCAT("L177-",RIGHT(F267,LEN(F267) - FIND("-",F267))), _xlfn.CONCAT("L177-",RIGHT(H267,LEN(H267) - FIND("-",H267)))))</f>
        <v>L177-MISSION</v>
      </c>
      <c r="C325" s="155" t="s">
        <v>320</v>
      </c>
      <c r="D325" s="135" t="str">
        <f>IF(G276="","L180",IF(G276&lt;I276,_xlfn.CONCAT("L180-",RIGHT(F276,LEN(F276) - FIND("-",F276))), _xlfn.CONCAT("L180-",RIGHT(H276,LEN(H276) - FIND("-",H276)))))</f>
        <v>L180-ELMHURST</v>
      </c>
    </row>
    <row r="326" spans="1:4" ht="14.1" customHeight="1">
      <c r="A326" s="90" t="s">
        <v>293</v>
      </c>
      <c r="B326" s="131" t="str">
        <f>IF(G268="","W170",IF(G268&gt;I268,_xlfn.CONCAT("W170-",RIGHT(F268,LEN(F268) - FIND("-",F268))), _xlfn.CONCAT("W170-",RIGHT(H268,LEN(H268) - FIND("-",H268)))))</f>
        <v>W170-LA PREMIER A</v>
      </c>
      <c r="C326" s="155" t="s">
        <v>293</v>
      </c>
      <c r="D326" s="131" t="str">
        <f>IF(G277="","W175",IF(G277&gt;I277,_xlfn.CONCAT("W175-",RIGHT(F277,LEN(F277) - FIND("-",F277))), _xlfn.CONCAT("W175-",RIGHT(H277,LEN(H277) - FIND("-",H277)))))</f>
        <v>W175-TEXAS THUNDER SOUTH BLUE</v>
      </c>
    </row>
    <row r="327" spans="1:4" ht="14.1" customHeight="1">
      <c r="A327" s="90" t="s">
        <v>321</v>
      </c>
      <c r="B327" s="133" t="str">
        <f>IF(G268="","L170",IF(G268&lt;I268,_xlfn.CONCAT("L170-",RIGHT(F268,LEN(F268) - FIND("-",F268))), _xlfn.CONCAT("L170-",RIGHT(H268,LEN(H268) - FIND("-",H268)))))</f>
        <v>L170-IMPERIAL BLUE</v>
      </c>
      <c r="C327" s="155" t="s">
        <v>321</v>
      </c>
      <c r="D327" s="135" t="str">
        <f>IF(G277="","L175",IF(G277&lt;I277,_xlfn.CONCAT("L175-",RIGHT(F277,LEN(F277) - FIND("-",F277))), _xlfn.CONCAT("L175-",RIGHT(H277,LEN(H277) - FIND("-",H277)))))</f>
        <v>L175-SWIFT</v>
      </c>
    </row>
    <row r="328" spans="1:4" ht="14.1" customHeight="1">
      <c r="A328" s="90" t="s">
        <v>296</v>
      </c>
      <c r="B328" s="132" t="str">
        <f>IF(G265="","W169",IF(G265&gt;I265,_xlfn.CONCAT("W169-",RIGHT(F265,LEN(F265) - FIND("-",F265))), _xlfn.CONCAT("W169-",RIGHT(H265,LEN(H265) - FIND("-",H265)))))</f>
        <v>W169-VEGAS NORTH IRVINE BLACK</v>
      </c>
      <c r="C328" s="155" t="s">
        <v>296</v>
      </c>
      <c r="D328" s="131" t="str">
        <f>IF(G274="","W176",IF(G274&gt;I274,_xlfn.CONCAT("W176-",RIGHT(F274,LEN(F274) - FIND("-",F274))), _xlfn.CONCAT("W176-",RIGHT(H274,LEN(H274) - FIND("-",H274)))))</f>
        <v>W176-VNITED</v>
      </c>
    </row>
    <row r="329" spans="1:4" ht="14.1" customHeight="1">
      <c r="A329" s="102" t="s">
        <v>322</v>
      </c>
      <c r="B329" s="132" t="str">
        <f>IF(G265="","L169",IF(G265&lt;I265,_xlfn.CONCAT("L169-",RIGHT(F265,LEN(F265) - FIND("-",F265))), _xlfn.CONCAT("L169-",RIGHT(H265,LEN(H265) - FIND("-",H265)))))</f>
        <v>L169-SOCAL</v>
      </c>
      <c r="C329" s="159" t="s">
        <v>322</v>
      </c>
      <c r="D329" s="134" t="str">
        <f>IF(G274="","L176",IF(G274&lt;I274,_xlfn.CONCAT("L176-",RIGHT(F274,LEN(F274) - FIND("-",F274))), _xlfn.CONCAT("L176-",RIGHT(H274,LEN(H274) - FIND("-",H274)))))</f>
        <v>L176-WOLVERINE</v>
      </c>
    </row>
    <row r="330" spans="1:4" ht="14.1" customHeight="1">
      <c r="A330" s="102" t="s">
        <v>323</v>
      </c>
      <c r="B330" s="103" t="s">
        <v>786</v>
      </c>
      <c r="C330" s="170" t="s">
        <v>323</v>
      </c>
      <c r="D330" s="103" t="s">
        <v>787</v>
      </c>
    </row>
    <row r="331" spans="1:4" ht="14.1" customHeight="1">
      <c r="A331" s="102" t="s">
        <v>325</v>
      </c>
      <c r="B331" s="106" t="s">
        <v>788</v>
      </c>
      <c r="C331" s="170" t="s">
        <v>325</v>
      </c>
      <c r="D331" s="106" t="s">
        <v>581</v>
      </c>
    </row>
    <row r="332" spans="1:4" ht="14.1" customHeight="1">
      <c r="A332" s="102" t="s">
        <v>327</v>
      </c>
      <c r="B332" s="106" t="s">
        <v>789</v>
      </c>
      <c r="C332" s="170" t="s">
        <v>327</v>
      </c>
      <c r="D332" s="106" t="s">
        <v>688</v>
      </c>
    </row>
    <row r="333" spans="1:4" ht="14.1" customHeight="1">
      <c r="A333" s="102" t="s">
        <v>329</v>
      </c>
      <c r="B333" s="106" t="s">
        <v>480</v>
      </c>
      <c r="C333" s="170" t="s">
        <v>329</v>
      </c>
      <c r="D333" s="106" t="s">
        <v>790</v>
      </c>
    </row>
    <row r="334" spans="1:4" ht="14.1" customHeight="1">
      <c r="D334" s="62"/>
    </row>
    <row r="335" spans="1:4" ht="14.1" customHeight="1">
      <c r="B335" s="62"/>
    </row>
    <row r="336" spans="1:4" ht="14.1" customHeight="1">
      <c r="B336" s="62"/>
    </row>
  </sheetData>
  <hyperlinks>
    <hyperlink ref="B1" r:id="rId1" xr:uid="{32177100-D299-4BA5-A202-88EB2BA7E93E}"/>
    <hyperlink ref="C1" r:id="rId2" xr:uid="{653CBE33-ECA4-4585-9782-A136DA1B93CA}"/>
    <hyperlink ref="E1" r:id="rId3" xr:uid="{B76C27A1-B896-411A-BAD7-72E373DE0C2B}"/>
  </hyperlinks>
  <pageMargins left="0.75" right="0.75" top="1" bottom="1" header="0.25" footer="0.5"/>
  <pageSetup fitToHeight="0" orientation="landscape" horizontalDpi="4294967292" verticalDpi="4294967292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2170-8A89-4D69-A9E6-EC84914EBFE1}">
  <sheetPr>
    <tabColor rgb="FF00CC66"/>
  </sheetPr>
  <dimension ref="A1:W403"/>
  <sheetViews>
    <sheetView topLeftCell="A271" zoomScale="120" zoomScaleNormal="120" workbookViewId="0">
      <selection activeCell="A323" sqref="A323"/>
    </sheetView>
  </sheetViews>
  <sheetFormatPr defaultColWidth="12.85546875" defaultRowHeight="16.5"/>
  <cols>
    <col min="1" max="1" width="34.7109375" style="200" bestFit="1" customWidth="1"/>
    <col min="2" max="2" width="40.85546875" style="200" bestFit="1" customWidth="1"/>
    <col min="3" max="3" width="30" style="200" bestFit="1" customWidth="1"/>
    <col min="4" max="4" width="36.140625" style="200" customWidth="1"/>
    <col min="5" max="5" width="29.5703125" style="200" bestFit="1" customWidth="1"/>
    <col min="6" max="6" width="38.28515625" style="200" bestFit="1" customWidth="1"/>
    <col min="7" max="7" width="29.7109375" style="213" bestFit="1" customWidth="1"/>
    <col min="8" max="8" width="40.85546875" style="200" bestFit="1" customWidth="1"/>
    <col min="9" max="9" width="8.7109375" style="200" bestFit="1" customWidth="1"/>
    <col min="10" max="10" width="22.28515625" style="200" bestFit="1" customWidth="1"/>
    <col min="11" max="11" width="7.7109375" style="200" bestFit="1" customWidth="1"/>
    <col min="12" max="12" width="11" style="200" customWidth="1"/>
    <col min="13" max="13" width="12.85546875" style="200"/>
    <col min="14" max="14" width="23.7109375" style="200" bestFit="1" customWidth="1"/>
    <col min="15" max="16384" width="12.85546875" style="200"/>
  </cols>
  <sheetData>
    <row r="1" spans="1:11" s="60" customFormat="1" ht="14.1" customHeight="1">
      <c r="A1" s="57" t="s">
        <v>68</v>
      </c>
      <c r="B1" s="52" t="s">
        <v>69</v>
      </c>
      <c r="C1" s="53" t="s">
        <v>70</v>
      </c>
      <c r="D1" s="58" t="s">
        <v>71</v>
      </c>
      <c r="E1" s="54" t="s">
        <v>72</v>
      </c>
      <c r="F1" s="59"/>
      <c r="G1" s="59"/>
      <c r="H1" s="59"/>
      <c r="I1" s="199"/>
      <c r="J1" s="199"/>
      <c r="K1" s="200"/>
    </row>
    <row r="2" spans="1:11" s="62" customFormat="1" ht="14.1" customHeight="1">
      <c r="A2" s="61">
        <v>46226</v>
      </c>
      <c r="B2" s="60" t="s">
        <v>791</v>
      </c>
      <c r="C2" s="60" t="s">
        <v>69</v>
      </c>
      <c r="D2" s="201" t="s">
        <v>331</v>
      </c>
      <c r="E2" s="60"/>
      <c r="F2" s="60"/>
      <c r="G2" s="64"/>
      <c r="H2" s="66" t="s">
        <v>81</v>
      </c>
      <c r="I2" s="199"/>
      <c r="J2" s="199"/>
      <c r="K2" s="200"/>
    </row>
    <row r="3" spans="1:11" s="60" customFormat="1" ht="14.1" customHeight="1">
      <c r="A3" s="62"/>
      <c r="D3" s="65" t="s">
        <v>74</v>
      </c>
      <c r="I3" s="199"/>
      <c r="J3" s="199"/>
      <c r="K3" s="200"/>
    </row>
    <row r="4" spans="1:11" ht="14.1" customHeight="1">
      <c r="A4" s="202" t="s">
        <v>75</v>
      </c>
      <c r="B4" s="203" t="s">
        <v>76</v>
      </c>
      <c r="C4" s="202" t="s">
        <v>77</v>
      </c>
      <c r="D4" s="202" t="s">
        <v>78</v>
      </c>
      <c r="E4" s="202" t="s">
        <v>792</v>
      </c>
      <c r="F4" s="202" t="s">
        <v>793</v>
      </c>
      <c r="G4" s="202" t="s">
        <v>100</v>
      </c>
      <c r="H4" s="202" t="s">
        <v>101</v>
      </c>
      <c r="I4" s="199"/>
      <c r="J4" s="199"/>
    </row>
    <row r="5" spans="1:11" ht="14.1" customHeight="1">
      <c r="A5" s="67" t="s">
        <v>794</v>
      </c>
      <c r="B5" s="67" t="s">
        <v>795</v>
      </c>
      <c r="C5" s="67" t="s">
        <v>796</v>
      </c>
      <c r="D5" s="67" t="s">
        <v>797</v>
      </c>
      <c r="E5" s="67" t="s">
        <v>798</v>
      </c>
      <c r="F5" s="67" t="s">
        <v>799</v>
      </c>
      <c r="G5" s="67" t="s">
        <v>800</v>
      </c>
      <c r="H5" s="67" t="s">
        <v>801</v>
      </c>
      <c r="I5" s="199"/>
      <c r="J5" s="199"/>
    </row>
    <row r="6" spans="1:11" ht="14.1" customHeight="1">
      <c r="A6" s="67" t="s">
        <v>802</v>
      </c>
      <c r="B6" s="67" t="s">
        <v>803</v>
      </c>
      <c r="C6" s="67" t="s">
        <v>804</v>
      </c>
      <c r="D6" s="67" t="s">
        <v>805</v>
      </c>
      <c r="E6" s="67" t="s">
        <v>806</v>
      </c>
      <c r="F6" s="67" t="s">
        <v>807</v>
      </c>
      <c r="G6" s="67" t="s">
        <v>808</v>
      </c>
      <c r="H6" s="67" t="s">
        <v>809</v>
      </c>
      <c r="I6" s="199"/>
      <c r="J6" s="199"/>
    </row>
    <row r="7" spans="1:11" ht="14.1" customHeight="1">
      <c r="A7" s="67" t="s">
        <v>810</v>
      </c>
      <c r="B7" s="67" t="s">
        <v>811</v>
      </c>
      <c r="C7" s="67" t="s">
        <v>812</v>
      </c>
      <c r="D7" s="204" t="s">
        <v>813</v>
      </c>
      <c r="E7" s="204" t="s">
        <v>814</v>
      </c>
      <c r="F7" s="204" t="s">
        <v>815</v>
      </c>
      <c r="G7" s="204" t="s">
        <v>816</v>
      </c>
      <c r="H7" s="204" t="s">
        <v>817</v>
      </c>
      <c r="I7" s="199"/>
      <c r="J7" s="199"/>
    </row>
    <row r="8" spans="1:11" ht="14.1" customHeight="1">
      <c r="A8" s="67"/>
      <c r="B8" s="67"/>
      <c r="C8" s="67"/>
      <c r="D8" s="67"/>
      <c r="E8" s="204" t="s">
        <v>818</v>
      </c>
      <c r="F8" s="204" t="s">
        <v>819</v>
      </c>
      <c r="G8" s="67"/>
      <c r="H8" s="67"/>
      <c r="I8" s="199"/>
      <c r="J8" s="199"/>
    </row>
    <row r="9" spans="1:11" ht="14.1" customHeight="1">
      <c r="A9" s="67"/>
      <c r="B9" s="67"/>
      <c r="C9" s="67"/>
      <c r="D9" s="67"/>
      <c r="E9" s="67"/>
      <c r="F9" s="67"/>
      <c r="G9" s="67"/>
      <c r="H9" s="67"/>
      <c r="I9" s="199"/>
      <c r="J9" s="199"/>
    </row>
    <row r="10" spans="1:11" ht="14.1" customHeight="1">
      <c r="A10" s="67">
        <v>1</v>
      </c>
      <c r="B10" s="67">
        <v>2</v>
      </c>
      <c r="C10" s="67">
        <v>3</v>
      </c>
      <c r="D10" s="67">
        <v>4</v>
      </c>
      <c r="E10" s="67">
        <v>5</v>
      </c>
      <c r="F10" s="67">
        <v>6</v>
      </c>
      <c r="G10" s="67">
        <v>7</v>
      </c>
      <c r="H10" s="67">
        <v>8</v>
      </c>
      <c r="I10" s="199"/>
      <c r="J10" s="199"/>
    </row>
    <row r="11" spans="1:11" ht="14.1" customHeight="1">
      <c r="A11" s="67">
        <v>32</v>
      </c>
      <c r="B11" s="67">
        <v>31</v>
      </c>
      <c r="C11" s="67">
        <v>30</v>
      </c>
      <c r="D11" s="204">
        <v>29</v>
      </c>
      <c r="E11" s="204">
        <v>28</v>
      </c>
      <c r="F11" s="204">
        <v>27</v>
      </c>
      <c r="G11" s="204">
        <v>26</v>
      </c>
      <c r="H11" s="204">
        <v>25</v>
      </c>
      <c r="I11" s="199"/>
      <c r="J11" s="199" t="s">
        <v>820</v>
      </c>
    </row>
    <row r="12" spans="1:11" ht="14.1" customHeight="1">
      <c r="A12" s="67">
        <v>33</v>
      </c>
      <c r="B12" s="67">
        <v>34</v>
      </c>
      <c r="C12" s="67">
        <v>35</v>
      </c>
      <c r="D12" s="67">
        <v>36</v>
      </c>
      <c r="E12" s="67">
        <v>37</v>
      </c>
      <c r="F12" s="67">
        <v>38</v>
      </c>
      <c r="G12" s="67">
        <v>39</v>
      </c>
      <c r="H12" s="67">
        <v>40</v>
      </c>
      <c r="I12" s="204" t="s">
        <v>821</v>
      </c>
      <c r="J12" s="67" t="s">
        <v>822</v>
      </c>
      <c r="K12" s="204" t="s">
        <v>823</v>
      </c>
    </row>
    <row r="13" spans="1:11" ht="14.1" customHeight="1">
      <c r="A13" s="205"/>
      <c r="B13" s="206"/>
      <c r="C13" s="67"/>
      <c r="D13" s="67"/>
      <c r="E13" s="205" t="s">
        <v>824</v>
      </c>
      <c r="F13" s="205" t="s">
        <v>825</v>
      </c>
      <c r="G13" s="207"/>
      <c r="H13" s="67"/>
      <c r="I13" s="207" t="s">
        <v>826</v>
      </c>
      <c r="J13" s="67" t="s">
        <v>827</v>
      </c>
      <c r="K13" s="204" t="s">
        <v>828</v>
      </c>
    </row>
    <row r="14" spans="1:11" ht="14.1" customHeight="1">
      <c r="A14" s="67"/>
      <c r="B14" s="67"/>
      <c r="C14" s="67"/>
      <c r="D14" s="67"/>
      <c r="E14" s="67"/>
      <c r="F14" s="67"/>
      <c r="G14" s="67"/>
      <c r="H14" s="67"/>
      <c r="I14" s="207" t="s">
        <v>829</v>
      </c>
      <c r="J14" s="67" t="s">
        <v>830</v>
      </c>
      <c r="K14" s="204" t="s">
        <v>831</v>
      </c>
    </row>
    <row r="15" spans="1:11" ht="14.1" customHeight="1">
      <c r="A15" s="202" t="s">
        <v>102</v>
      </c>
      <c r="B15" s="202" t="s">
        <v>103</v>
      </c>
      <c r="C15" s="202" t="s">
        <v>832</v>
      </c>
      <c r="D15" s="202" t="s">
        <v>833</v>
      </c>
      <c r="E15" s="202" t="s">
        <v>834</v>
      </c>
      <c r="F15" s="202" t="s">
        <v>835</v>
      </c>
      <c r="G15" s="203" t="s">
        <v>836</v>
      </c>
      <c r="H15" s="202" t="s">
        <v>837</v>
      </c>
      <c r="I15" s="204" t="s">
        <v>838</v>
      </c>
      <c r="J15" s="67" t="s">
        <v>839</v>
      </c>
      <c r="K15" s="204" t="s">
        <v>840</v>
      </c>
    </row>
    <row r="16" spans="1:11" ht="14.1" customHeight="1">
      <c r="A16" s="67" t="s">
        <v>841</v>
      </c>
      <c r="B16" s="67" t="s">
        <v>842</v>
      </c>
      <c r="C16" s="67" t="s">
        <v>843</v>
      </c>
      <c r="D16" s="67" t="s">
        <v>844</v>
      </c>
      <c r="E16" s="67" t="s">
        <v>845</v>
      </c>
      <c r="F16" s="67" t="s">
        <v>846</v>
      </c>
      <c r="G16" s="67" t="s">
        <v>847</v>
      </c>
      <c r="H16" s="67" t="s">
        <v>848</v>
      </c>
      <c r="I16" s="204" t="s">
        <v>849</v>
      </c>
      <c r="J16" s="67" t="s">
        <v>850</v>
      </c>
      <c r="K16" s="204" t="s">
        <v>851</v>
      </c>
    </row>
    <row r="17" spans="1:12" ht="14.1" customHeight="1">
      <c r="A17" s="204" t="s">
        <v>852</v>
      </c>
      <c r="B17" s="67" t="s">
        <v>853</v>
      </c>
      <c r="C17" s="67" t="s">
        <v>854</v>
      </c>
      <c r="D17" s="67" t="s">
        <v>855</v>
      </c>
      <c r="E17" s="67" t="s">
        <v>856</v>
      </c>
      <c r="F17" s="67" t="s">
        <v>857</v>
      </c>
      <c r="G17" s="67" t="s">
        <v>858</v>
      </c>
      <c r="H17" s="67" t="s">
        <v>859</v>
      </c>
      <c r="I17" s="204" t="s">
        <v>860</v>
      </c>
      <c r="J17" s="67" t="s">
        <v>861</v>
      </c>
      <c r="K17" s="204" t="s">
        <v>862</v>
      </c>
    </row>
    <row r="18" spans="1:12" ht="14.1" customHeight="1">
      <c r="A18" s="67" t="s">
        <v>863</v>
      </c>
      <c r="B18" s="204" t="s">
        <v>864</v>
      </c>
      <c r="C18" s="67" t="s">
        <v>865</v>
      </c>
      <c r="D18" s="67" t="s">
        <v>866</v>
      </c>
      <c r="E18" s="67" t="s">
        <v>867</v>
      </c>
      <c r="F18" s="67" t="s">
        <v>868</v>
      </c>
      <c r="G18" s="67" t="s">
        <v>869</v>
      </c>
      <c r="H18" s="67" t="s">
        <v>870</v>
      </c>
      <c r="I18" s="204" t="s">
        <v>871</v>
      </c>
      <c r="J18" s="67" t="s">
        <v>872</v>
      </c>
      <c r="K18" s="204" t="s">
        <v>873</v>
      </c>
    </row>
    <row r="19" spans="1:12" ht="14.1" customHeight="1">
      <c r="A19" s="67"/>
      <c r="B19" s="67"/>
      <c r="C19" s="67" t="s">
        <v>874</v>
      </c>
      <c r="D19" s="67" t="s">
        <v>875</v>
      </c>
      <c r="E19" s="67" t="s">
        <v>876</v>
      </c>
      <c r="F19" s="67"/>
      <c r="G19" s="67"/>
      <c r="H19" s="67"/>
      <c r="I19" s="204" t="s">
        <v>877</v>
      </c>
      <c r="J19" s="67" t="s">
        <v>878</v>
      </c>
      <c r="K19" s="204" t="s">
        <v>879</v>
      </c>
    </row>
    <row r="20" spans="1:12" ht="14.1" customHeight="1">
      <c r="A20" s="67"/>
      <c r="B20" s="67"/>
      <c r="C20" s="67"/>
      <c r="D20" s="67"/>
      <c r="E20" s="67"/>
      <c r="F20" s="67"/>
      <c r="G20" s="67"/>
      <c r="H20" s="67"/>
      <c r="I20" s="199"/>
      <c r="J20" s="199"/>
    </row>
    <row r="21" spans="1:12" ht="14.1" customHeight="1">
      <c r="A21" s="67">
        <v>9</v>
      </c>
      <c r="B21" s="67">
        <v>10</v>
      </c>
      <c r="C21" s="67">
        <v>11</v>
      </c>
      <c r="D21" s="67">
        <v>12</v>
      </c>
      <c r="E21" s="67">
        <v>13</v>
      </c>
      <c r="F21" s="67">
        <v>14</v>
      </c>
      <c r="G21" s="67">
        <v>15</v>
      </c>
      <c r="H21" s="67">
        <v>16</v>
      </c>
      <c r="I21" s="199"/>
      <c r="J21" s="199"/>
    </row>
    <row r="22" spans="1:12" ht="14.1" customHeight="1">
      <c r="A22" s="204">
        <v>24</v>
      </c>
      <c r="B22" s="204">
        <v>23</v>
      </c>
      <c r="C22" s="67">
        <v>22</v>
      </c>
      <c r="D22" s="67">
        <v>21</v>
      </c>
      <c r="E22" s="67">
        <v>20</v>
      </c>
      <c r="F22" s="67">
        <v>19</v>
      </c>
      <c r="G22" s="67">
        <v>18</v>
      </c>
      <c r="H22" s="67">
        <v>17</v>
      </c>
      <c r="I22" s="199"/>
      <c r="J22" s="199"/>
    </row>
    <row r="23" spans="1:12" ht="14.1" customHeight="1">
      <c r="A23" s="67">
        <v>41</v>
      </c>
      <c r="B23" s="67">
        <v>42</v>
      </c>
      <c r="C23" s="67">
        <v>43</v>
      </c>
      <c r="D23" s="67">
        <v>44</v>
      </c>
      <c r="E23" s="67">
        <v>45</v>
      </c>
      <c r="F23" s="67">
        <v>46</v>
      </c>
      <c r="G23" s="67">
        <v>47</v>
      </c>
      <c r="H23" s="67">
        <v>48</v>
      </c>
      <c r="I23" s="199"/>
      <c r="J23" s="199"/>
    </row>
    <row r="24" spans="1:12" ht="14.1" customHeight="1">
      <c r="A24" s="67"/>
      <c r="B24" s="67"/>
      <c r="C24" s="205">
        <v>49</v>
      </c>
      <c r="D24" s="208">
        <v>52</v>
      </c>
      <c r="E24" s="209">
        <v>53</v>
      </c>
      <c r="F24" s="206"/>
      <c r="G24" s="206"/>
      <c r="H24" s="206"/>
      <c r="I24" s="199"/>
      <c r="J24" s="199"/>
    </row>
    <row r="25" spans="1:12" ht="14.1" customHeight="1">
      <c r="A25" s="199"/>
      <c r="B25" s="199"/>
      <c r="C25" s="199"/>
      <c r="D25" s="199"/>
      <c r="E25" s="199"/>
      <c r="F25" s="199"/>
      <c r="G25" s="199"/>
      <c r="H25" s="199"/>
      <c r="I25" s="199"/>
      <c r="J25" s="199"/>
    </row>
    <row r="26" spans="1:12" ht="14.1" customHeight="1" thickBot="1">
      <c r="A26" s="199" t="s">
        <v>880</v>
      </c>
      <c r="B26" s="199"/>
      <c r="C26" s="199"/>
      <c r="D26" s="199"/>
      <c r="E26" s="199"/>
      <c r="F26" s="199"/>
      <c r="G26" s="199"/>
      <c r="H26" s="199"/>
      <c r="I26" s="199"/>
      <c r="J26" s="199"/>
    </row>
    <row r="27" spans="1:12" ht="14.1" customHeight="1" thickBot="1">
      <c r="A27" s="210"/>
      <c r="B27" s="211"/>
      <c r="C27" s="199"/>
      <c r="D27" s="212" t="str">
        <f>'CHICLETS MASTER S2'!$H$3</f>
        <v>OCEAN VIEW HS 2</v>
      </c>
      <c r="E27" s="199"/>
      <c r="I27" s="199"/>
      <c r="J27" s="199"/>
      <c r="K27" s="199"/>
      <c r="L27" s="199"/>
    </row>
    <row r="28" spans="1:12" ht="14.1" customHeight="1">
      <c r="A28" s="214" t="s">
        <v>124</v>
      </c>
      <c r="B28" s="214" t="s">
        <v>125</v>
      </c>
      <c r="C28" s="214" t="s">
        <v>126</v>
      </c>
      <c r="D28" s="214" t="s">
        <v>127</v>
      </c>
      <c r="E28" s="214" t="s">
        <v>128</v>
      </c>
      <c r="F28" s="214" t="s">
        <v>129</v>
      </c>
      <c r="G28" s="214" t="s">
        <v>130</v>
      </c>
      <c r="H28" s="214" t="s">
        <v>131</v>
      </c>
      <c r="I28" s="214" t="s">
        <v>130</v>
      </c>
      <c r="J28" s="214" t="s">
        <v>132</v>
      </c>
      <c r="K28" s="214" t="s">
        <v>133</v>
      </c>
      <c r="L28" s="214" t="s">
        <v>134</v>
      </c>
    </row>
    <row r="29" spans="1:12" ht="14.1" customHeight="1">
      <c r="A29" s="69">
        <f t="shared" ref="A29:A124" si="0">$A$2</f>
        <v>46226</v>
      </c>
      <c r="B29" s="70">
        <f>'CHICLETS MASTER S2'!A4</f>
        <v>0.29166666666666669</v>
      </c>
      <c r="C29" s="71" t="s">
        <v>218</v>
      </c>
      <c r="D29" s="71" t="str">
        <f t="shared" ref="D29:D40" si="1">$D$27</f>
        <v>OCEAN VIEW HS 2</v>
      </c>
      <c r="E29" s="71">
        <v>5</v>
      </c>
      <c r="F29" s="215" t="str">
        <f>D16</f>
        <v>L1(12)-CARLSBAD A</v>
      </c>
      <c r="G29" s="71">
        <v>17</v>
      </c>
      <c r="H29" s="215" t="str">
        <f>D19</f>
        <v>L4(52)-TEXAS THUNDER</v>
      </c>
      <c r="I29" s="216">
        <v>1</v>
      </c>
      <c r="J29" s="71"/>
      <c r="K29" s="71"/>
      <c r="L29" s="71" t="str">
        <f t="shared" ref="L29:L40" si="2">IF(E29="","",$L$66&amp;"-"&amp;TEXT(E29,"000"))</f>
        <v>12BX-005</v>
      </c>
    </row>
    <row r="30" spans="1:12" ht="14.1" customHeight="1">
      <c r="A30" s="69">
        <f t="shared" si="0"/>
        <v>46226</v>
      </c>
      <c r="B30" s="70">
        <f>'CHICLETS MASTER S2'!A5</f>
        <v>0.3263888888888889</v>
      </c>
      <c r="C30" s="71" t="s">
        <v>218</v>
      </c>
      <c r="D30" s="71" t="str">
        <f t="shared" si="1"/>
        <v>OCEAN VIEW HS 2</v>
      </c>
      <c r="E30" s="71" t="s">
        <v>881</v>
      </c>
      <c r="F30" s="215" t="str">
        <f>D17</f>
        <v>L2(21)-NORCAL BLACK</v>
      </c>
      <c r="G30" s="71">
        <v>15</v>
      </c>
      <c r="H30" s="215" t="str">
        <f>D18</f>
        <v>L3(44)-PARK CITY</v>
      </c>
      <c r="I30" s="216">
        <v>6</v>
      </c>
      <c r="J30" s="71"/>
      <c r="K30" s="71"/>
      <c r="L30" s="71" t="str">
        <f t="shared" si="2"/>
        <v>12BX-5A</v>
      </c>
    </row>
    <row r="31" spans="1:12" ht="14.1" customHeight="1">
      <c r="A31" s="69">
        <f t="shared" si="0"/>
        <v>46226</v>
      </c>
      <c r="B31" s="70">
        <f>'CHICLETS MASTER S2'!A6</f>
        <v>0.36111111111111099</v>
      </c>
      <c r="C31" s="71" t="s">
        <v>218</v>
      </c>
      <c r="D31" s="71" t="str">
        <f t="shared" si="1"/>
        <v>OCEAN VIEW HS 2</v>
      </c>
      <c r="E31" s="71">
        <v>10</v>
      </c>
      <c r="F31" s="71" t="str">
        <f>E5</f>
        <v>E1(5)-ROUTE 66</v>
      </c>
      <c r="G31" s="71">
        <v>15</v>
      </c>
      <c r="H31" s="71" t="str">
        <f>E8</f>
        <v>E4(51)-CAL REPUBLIC RED</v>
      </c>
      <c r="I31" s="216">
        <v>4</v>
      </c>
      <c r="J31" s="71"/>
      <c r="K31" s="71"/>
      <c r="L31" s="71" t="str">
        <f t="shared" si="2"/>
        <v>12BX-010</v>
      </c>
    </row>
    <row r="32" spans="1:12" ht="14.1" customHeight="1">
      <c r="A32" s="69">
        <f t="shared" si="0"/>
        <v>46226</v>
      </c>
      <c r="B32" s="70">
        <f>'CHICLETS MASTER S2'!A7</f>
        <v>0.39583333333333398</v>
      </c>
      <c r="C32" s="71" t="s">
        <v>218</v>
      </c>
      <c r="D32" s="71" t="str">
        <f t="shared" si="1"/>
        <v>OCEAN VIEW HS 2</v>
      </c>
      <c r="E32" s="71">
        <v>15</v>
      </c>
      <c r="F32" s="71" t="str">
        <f>E6</f>
        <v>E2(28)-YOLO</v>
      </c>
      <c r="G32" s="71">
        <v>3</v>
      </c>
      <c r="H32" s="71" t="str">
        <f>E7</f>
        <v>E3(37)-680 WHITE</v>
      </c>
      <c r="I32" s="216">
        <v>6</v>
      </c>
      <c r="J32" s="71"/>
      <c r="K32" s="71"/>
      <c r="L32" s="71" t="str">
        <f t="shared" si="2"/>
        <v>12BX-015</v>
      </c>
    </row>
    <row r="33" spans="1:12" ht="14.1" customHeight="1">
      <c r="A33" s="69">
        <f t="shared" si="0"/>
        <v>46226</v>
      </c>
      <c r="B33" s="70">
        <f>'CHICLETS MASTER S2'!A8</f>
        <v>0.43055555555555602</v>
      </c>
      <c r="C33" s="71" t="s">
        <v>218</v>
      </c>
      <c r="D33" s="71" t="str">
        <f t="shared" si="1"/>
        <v>OCEAN VIEW HS 2</v>
      </c>
      <c r="E33" s="71">
        <v>24</v>
      </c>
      <c r="F33" s="215" t="str">
        <f>D16</f>
        <v>L1(12)-CARLSBAD A</v>
      </c>
      <c r="G33" s="71">
        <v>19</v>
      </c>
      <c r="H33" s="215" t="str">
        <f>D18</f>
        <v>L3(44)-PARK CITY</v>
      </c>
      <c r="I33" s="216">
        <v>1</v>
      </c>
      <c r="J33" s="71"/>
      <c r="K33" s="71"/>
      <c r="L33" s="71" t="str">
        <f t="shared" si="2"/>
        <v>12BX-024</v>
      </c>
    </row>
    <row r="34" spans="1:12" ht="14.1" customHeight="1">
      <c r="A34" s="69">
        <f t="shared" si="0"/>
        <v>46226</v>
      </c>
      <c r="B34" s="70">
        <f>'CHICLETS MASTER S2'!A9</f>
        <v>0.46527777777777801</v>
      </c>
      <c r="C34" s="71" t="s">
        <v>218</v>
      </c>
      <c r="D34" s="71" t="str">
        <f t="shared" si="1"/>
        <v>OCEAN VIEW HS 2</v>
      </c>
      <c r="E34" s="71">
        <v>43</v>
      </c>
      <c r="F34" s="215" t="str">
        <f>D17</f>
        <v>L2(21)-NORCAL BLACK</v>
      </c>
      <c r="G34" s="71">
        <v>16</v>
      </c>
      <c r="H34" s="215" t="str">
        <f>D19</f>
        <v>L4(52)-TEXAS THUNDER</v>
      </c>
      <c r="I34" s="216">
        <v>11</v>
      </c>
      <c r="J34" s="71"/>
      <c r="K34" s="71"/>
      <c r="L34" s="71" t="str">
        <f t="shared" si="2"/>
        <v>12BX-043</v>
      </c>
    </row>
    <row r="35" spans="1:12">
      <c r="A35" s="69">
        <f t="shared" si="0"/>
        <v>46226</v>
      </c>
      <c r="B35" s="70">
        <f>'CHICLETS MASTER S2'!A10</f>
        <v>0.5</v>
      </c>
      <c r="C35" s="71" t="s">
        <v>218</v>
      </c>
      <c r="D35" s="71" t="str">
        <f t="shared" si="1"/>
        <v>OCEAN VIEW HS 2</v>
      </c>
      <c r="E35" s="71">
        <v>29</v>
      </c>
      <c r="F35" s="71" t="str">
        <f>E5</f>
        <v>E1(5)-ROUTE 66</v>
      </c>
      <c r="G35" s="71">
        <v>6</v>
      </c>
      <c r="H35" s="71" t="str">
        <f>E7</f>
        <v>E3(37)-680 WHITE</v>
      </c>
      <c r="I35" s="216">
        <v>2</v>
      </c>
      <c r="J35" s="71"/>
      <c r="K35" s="71"/>
      <c r="L35" s="71" t="str">
        <f t="shared" si="2"/>
        <v>12BX-029</v>
      </c>
    </row>
    <row r="36" spans="1:12" ht="14.1" customHeight="1">
      <c r="A36" s="69">
        <f t="shared" si="0"/>
        <v>46226</v>
      </c>
      <c r="B36" s="70">
        <f>'CHICLETS MASTER S2'!A11</f>
        <v>0.53472222222222199</v>
      </c>
      <c r="C36" s="71" t="s">
        <v>218</v>
      </c>
      <c r="D36" s="71" t="str">
        <f t="shared" si="1"/>
        <v>OCEAN VIEW HS 2</v>
      </c>
      <c r="E36" s="71">
        <v>34</v>
      </c>
      <c r="F36" s="71" t="str">
        <f>E6</f>
        <v>E2(28)-YOLO</v>
      </c>
      <c r="G36" s="71">
        <v>15</v>
      </c>
      <c r="H36" s="71" t="str">
        <f>E8</f>
        <v>E4(51)-CAL REPUBLIC RED</v>
      </c>
      <c r="I36" s="216">
        <v>6</v>
      </c>
      <c r="J36" s="71"/>
      <c r="K36" s="71"/>
      <c r="L36" s="71" t="str">
        <f t="shared" si="2"/>
        <v>12BX-034</v>
      </c>
    </row>
    <row r="37" spans="1:12">
      <c r="A37" s="69">
        <f t="shared" si="0"/>
        <v>46226</v>
      </c>
      <c r="B37" s="70">
        <f>'CHICLETS MASTER S2'!A12</f>
        <v>0.56944444444444497</v>
      </c>
      <c r="C37" s="71" t="s">
        <v>218</v>
      </c>
      <c r="D37" s="71" t="str">
        <f t="shared" si="1"/>
        <v>OCEAN VIEW HS 2</v>
      </c>
      <c r="E37" s="71" t="s">
        <v>882</v>
      </c>
      <c r="F37" s="215" t="str">
        <f>D16</f>
        <v>L1(12)-CARLSBAD A</v>
      </c>
      <c r="G37" s="71">
        <v>20</v>
      </c>
      <c r="H37" s="215" t="str">
        <f>D17</f>
        <v>L2(21)-NORCAL BLACK</v>
      </c>
      <c r="I37" s="216">
        <v>1</v>
      </c>
      <c r="J37" s="71"/>
      <c r="K37" s="71"/>
      <c r="L37" s="71" t="str">
        <f t="shared" si="2"/>
        <v>12BX-53A</v>
      </c>
    </row>
    <row r="38" spans="1:12">
      <c r="A38" s="69">
        <f t="shared" si="0"/>
        <v>46226</v>
      </c>
      <c r="B38" s="70">
        <f>'CHICLETS MASTER S2'!A13</f>
        <v>0.60416666666666696</v>
      </c>
      <c r="C38" s="71" t="s">
        <v>218</v>
      </c>
      <c r="D38" s="71" t="str">
        <f t="shared" si="1"/>
        <v>OCEAN VIEW HS 2</v>
      </c>
      <c r="E38" s="71" t="s">
        <v>883</v>
      </c>
      <c r="F38" s="215" t="str">
        <f>D18</f>
        <v>L3(44)-PARK CITY</v>
      </c>
      <c r="G38" s="71">
        <v>9</v>
      </c>
      <c r="H38" s="215" t="str">
        <f>D19</f>
        <v>L4(52)-TEXAS THUNDER</v>
      </c>
      <c r="I38" s="216">
        <v>11</v>
      </c>
      <c r="J38" s="71"/>
      <c r="K38" s="71"/>
      <c r="L38" s="71" t="str">
        <f t="shared" si="2"/>
        <v>12BX-53B</v>
      </c>
    </row>
    <row r="39" spans="1:12" ht="14.1" customHeight="1">
      <c r="A39" s="69">
        <f t="shared" si="0"/>
        <v>46226</v>
      </c>
      <c r="B39" s="70">
        <f>'CHICLETS MASTER S2'!A14</f>
        <v>0.63888888888888895</v>
      </c>
      <c r="C39" s="71" t="s">
        <v>218</v>
      </c>
      <c r="D39" s="71" t="str">
        <f t="shared" si="1"/>
        <v>OCEAN VIEW HS 2</v>
      </c>
      <c r="E39" s="71">
        <v>48</v>
      </c>
      <c r="F39" s="71" t="str">
        <f>E5</f>
        <v>E1(5)-ROUTE 66</v>
      </c>
      <c r="G39" s="71">
        <v>15</v>
      </c>
      <c r="H39" s="71" t="str">
        <f>E6</f>
        <v>E2(28)-YOLO</v>
      </c>
      <c r="I39" s="216">
        <v>3</v>
      </c>
      <c r="J39" s="71"/>
      <c r="K39" s="71"/>
      <c r="L39" s="71" t="str">
        <f t="shared" si="2"/>
        <v>12BX-048</v>
      </c>
    </row>
    <row r="40" spans="1:12" ht="14.1" customHeight="1">
      <c r="A40" s="69">
        <f t="shared" si="0"/>
        <v>46226</v>
      </c>
      <c r="B40" s="70">
        <f>'CHICLETS MASTER S2'!A15</f>
        <v>0.67361111111111105</v>
      </c>
      <c r="C40" s="71" t="s">
        <v>218</v>
      </c>
      <c r="D40" s="71" t="str">
        <f t="shared" si="1"/>
        <v>OCEAN VIEW HS 2</v>
      </c>
      <c r="E40" s="71">
        <v>53</v>
      </c>
      <c r="F40" s="71" t="str">
        <f>E7</f>
        <v>E3(37)-680 WHITE</v>
      </c>
      <c r="G40" s="71">
        <v>10</v>
      </c>
      <c r="H40" s="71" t="str">
        <f>E8</f>
        <v>E4(51)-CAL REPUBLIC RED</v>
      </c>
      <c r="I40" s="216">
        <v>1</v>
      </c>
      <c r="J40" s="71"/>
      <c r="K40" s="71"/>
      <c r="L40" s="71" t="str">
        <f t="shared" si="2"/>
        <v>12BX-053</v>
      </c>
    </row>
    <row r="41" spans="1:12" ht="14.1" customHeight="1">
      <c r="A41" s="199"/>
      <c r="B41" s="199" t="s">
        <v>139</v>
      </c>
      <c r="C41" s="199"/>
      <c r="D41" s="199"/>
      <c r="E41" s="199"/>
      <c r="F41" s="199"/>
      <c r="G41" s="199"/>
      <c r="H41" s="199"/>
      <c r="I41" s="199"/>
      <c r="J41" s="199"/>
    </row>
    <row r="42" spans="1:12" ht="14.1" customHeight="1">
      <c r="A42" s="199"/>
      <c r="B42" s="199" t="s">
        <v>139</v>
      </c>
      <c r="C42" s="199"/>
      <c r="D42" s="199"/>
      <c r="E42" s="199"/>
      <c r="F42" s="199"/>
      <c r="G42" s="199"/>
      <c r="H42" s="199"/>
      <c r="I42" s="199"/>
      <c r="J42" s="199"/>
    </row>
    <row r="43" spans="1:12" ht="14.1" customHeight="1">
      <c r="A43" s="69">
        <f t="shared" si="0"/>
        <v>46226</v>
      </c>
      <c r="B43" s="70">
        <f>'CHICLETS MASTER S2'!A18</f>
        <v>0.77777777777777801</v>
      </c>
      <c r="C43" s="67" t="s">
        <v>884</v>
      </c>
      <c r="D43" s="71" t="str">
        <f t="shared" ref="D43" si="3">$D$27</f>
        <v>OCEAN VIEW HS 2</v>
      </c>
      <c r="E43" s="71">
        <v>61</v>
      </c>
      <c r="F43" s="204" t="s">
        <v>885</v>
      </c>
      <c r="G43" s="204">
        <v>14</v>
      </c>
      <c r="H43" s="204" t="s">
        <v>886</v>
      </c>
      <c r="I43" s="217">
        <v>4</v>
      </c>
      <c r="J43" s="67" t="s">
        <v>887</v>
      </c>
      <c r="K43" s="71" t="s">
        <v>888</v>
      </c>
      <c r="L43" s="71" t="str">
        <f>IF(E43="","",$L$66&amp;"-"&amp;TEXT(E43,"000"))</f>
        <v>12BX-061</v>
      </c>
    </row>
    <row r="44" spans="1:12" ht="14.1" customHeight="1">
      <c r="A44" s="199"/>
      <c r="B44" s="199"/>
      <c r="C44" s="199"/>
      <c r="D44" s="199"/>
      <c r="E44" s="199"/>
      <c r="F44" s="199"/>
      <c r="G44" s="199"/>
      <c r="H44" s="199"/>
      <c r="I44" s="199"/>
      <c r="J44" s="199"/>
    </row>
    <row r="45" spans="1:12" ht="14.1" customHeight="1" thickBot="1">
      <c r="A45" s="199"/>
      <c r="B45" s="199"/>
      <c r="C45" s="199"/>
      <c r="D45" s="199"/>
      <c r="E45" s="199"/>
      <c r="F45" s="199"/>
      <c r="G45" s="199"/>
      <c r="H45" s="199"/>
      <c r="I45" s="199"/>
      <c r="J45" s="199"/>
    </row>
    <row r="46" spans="1:12" ht="14.1" customHeight="1" thickBot="1">
      <c r="A46" s="210"/>
      <c r="B46" s="211"/>
      <c r="C46" s="199"/>
      <c r="D46" s="212" t="str">
        <f>'CHICLETS MASTER S2'!$J$3</f>
        <v>GOLDEN WEST COLLEGE 2</v>
      </c>
      <c r="E46" s="199"/>
      <c r="I46" s="199"/>
      <c r="J46" s="199"/>
      <c r="K46" s="199"/>
      <c r="L46" s="199"/>
    </row>
    <row r="47" spans="1:12" ht="14.1" customHeight="1">
      <c r="A47" s="214" t="s">
        <v>124</v>
      </c>
      <c r="B47" s="214" t="s">
        <v>125</v>
      </c>
      <c r="C47" s="214" t="s">
        <v>126</v>
      </c>
      <c r="D47" s="214" t="s">
        <v>127</v>
      </c>
      <c r="E47" s="214" t="s">
        <v>128</v>
      </c>
      <c r="F47" s="214" t="s">
        <v>129</v>
      </c>
      <c r="G47" s="214" t="s">
        <v>130</v>
      </c>
      <c r="H47" s="214" t="s">
        <v>131</v>
      </c>
      <c r="I47" s="214" t="s">
        <v>130</v>
      </c>
      <c r="J47" s="214" t="s">
        <v>132</v>
      </c>
      <c r="K47" s="214" t="s">
        <v>133</v>
      </c>
      <c r="L47" s="214" t="s">
        <v>134</v>
      </c>
    </row>
    <row r="48" spans="1:12" ht="14.1" customHeight="1">
      <c r="A48" s="69">
        <f t="shared" ref="A48:A116" si="4">$A$2</f>
        <v>46226</v>
      </c>
      <c r="B48" s="70">
        <f>'CHICLETS MASTER S2'!A4</f>
        <v>0.29166666666666669</v>
      </c>
      <c r="C48" s="71" t="s">
        <v>218</v>
      </c>
      <c r="D48" s="71" t="str">
        <f>$D$46</f>
        <v>GOLDEN WEST COLLEGE 2</v>
      </c>
      <c r="E48" s="71">
        <v>1</v>
      </c>
      <c r="F48" s="71" t="str">
        <f>A16</f>
        <v>I1(9)-CIU GOLD</v>
      </c>
      <c r="G48" s="71">
        <v>14</v>
      </c>
      <c r="H48" s="71" t="str">
        <f>A18</f>
        <v>I3(41)-BROOKYLN HUSTLE</v>
      </c>
      <c r="I48" s="216">
        <v>10</v>
      </c>
      <c r="J48" s="71"/>
      <c r="K48" s="71"/>
      <c r="L48" s="71" t="str">
        <f t="shared" ref="L48:L59" si="5">IF(E48="","",$L$66&amp;"-"&amp;TEXT(E48,"000"))</f>
        <v>12BX-001</v>
      </c>
    </row>
    <row r="49" spans="1:12" ht="14.1" customHeight="1">
      <c r="A49" s="69">
        <f t="shared" si="4"/>
        <v>46226</v>
      </c>
      <c r="B49" s="70">
        <f>'CHICLETS MASTER S2'!A5</f>
        <v>0.3263888888888889</v>
      </c>
      <c r="C49" s="71" t="s">
        <v>218</v>
      </c>
      <c r="D49" s="71" t="str">
        <f t="shared" ref="D49:D59" si="6">$D$46</f>
        <v>GOLDEN WEST COLLEGE 2</v>
      </c>
      <c r="E49" s="71">
        <v>6</v>
      </c>
      <c r="F49" s="71" t="str">
        <f>H5</f>
        <v>H1(8)-CC UNITED BLUE</v>
      </c>
      <c r="G49" s="71">
        <v>18</v>
      </c>
      <c r="H49" s="71" t="str">
        <f>H7</f>
        <v>H3(40)-LAMORINDA C</v>
      </c>
      <c r="I49" s="216">
        <v>0</v>
      </c>
      <c r="J49" s="71"/>
      <c r="K49" s="71"/>
      <c r="L49" s="71" t="str">
        <f t="shared" si="5"/>
        <v>12BX-006</v>
      </c>
    </row>
    <row r="50" spans="1:12" ht="14.1" customHeight="1">
      <c r="A50" s="69">
        <f t="shared" si="4"/>
        <v>46226</v>
      </c>
      <c r="B50" s="70">
        <f>'CHICLETS MASTER S2'!A6</f>
        <v>0.36111111111111099</v>
      </c>
      <c r="C50" s="71" t="s">
        <v>218</v>
      </c>
      <c r="D50" s="71" t="str">
        <f t="shared" si="6"/>
        <v>GOLDEN WEST COLLEGE 2</v>
      </c>
      <c r="E50" s="71">
        <v>11</v>
      </c>
      <c r="F50" s="71" t="str">
        <f>G5</f>
        <v>G1(7)-LOS ALAMITOS</v>
      </c>
      <c r="G50" s="71">
        <v>15</v>
      </c>
      <c r="H50" s="71" t="str">
        <f>G7</f>
        <v>G3(39)-CLOVIS</v>
      </c>
      <c r="I50" s="216">
        <v>4</v>
      </c>
      <c r="J50" s="71"/>
      <c r="K50" s="71"/>
      <c r="L50" s="71" t="str">
        <f t="shared" si="5"/>
        <v>12BX-011</v>
      </c>
    </row>
    <row r="51" spans="1:12" ht="14.1" customHeight="1">
      <c r="A51" s="69">
        <f t="shared" si="0"/>
        <v>46226</v>
      </c>
      <c r="B51" s="70">
        <f>'CHICLETS MASTER S2'!A7</f>
        <v>0.39583333333333398</v>
      </c>
      <c r="C51" s="71" t="s">
        <v>218</v>
      </c>
      <c r="D51" s="71" t="str">
        <f t="shared" si="6"/>
        <v>GOLDEN WEST COLLEGE 2</v>
      </c>
      <c r="E51" s="71">
        <v>19</v>
      </c>
      <c r="F51" s="71" t="str">
        <f>B16</f>
        <v>J1(10)-TROJAN CARDINAL</v>
      </c>
      <c r="G51" s="71">
        <v>14</v>
      </c>
      <c r="H51" s="71" t="str">
        <f>B18</f>
        <v>J3(42)-CDM WHITE</v>
      </c>
      <c r="I51" s="216">
        <v>3</v>
      </c>
      <c r="J51" s="71"/>
      <c r="K51" s="71"/>
      <c r="L51" s="71" t="str">
        <f t="shared" si="5"/>
        <v>12BX-019</v>
      </c>
    </row>
    <row r="52" spans="1:12" ht="14.1" customHeight="1">
      <c r="A52" s="69">
        <f t="shared" si="4"/>
        <v>46226</v>
      </c>
      <c r="B52" s="70">
        <f>'CHICLETS MASTER S2'!A8</f>
        <v>0.43055555555555602</v>
      </c>
      <c r="C52" s="71" t="s">
        <v>218</v>
      </c>
      <c r="D52" s="71" t="str">
        <f t="shared" si="6"/>
        <v>GOLDEN WEST COLLEGE 2</v>
      </c>
      <c r="E52" s="71">
        <v>20</v>
      </c>
      <c r="F52" s="71" t="str">
        <f>A17</f>
        <v>I2(24)-BACK BAY</v>
      </c>
      <c r="G52" s="71">
        <v>12</v>
      </c>
      <c r="H52" s="71" t="str">
        <f>A18</f>
        <v>I3(41)-BROOKYLN HUSTLE</v>
      </c>
      <c r="I52" s="216">
        <v>10</v>
      </c>
      <c r="J52" s="71"/>
      <c r="K52" s="71"/>
      <c r="L52" s="71" t="str">
        <f t="shared" si="5"/>
        <v>12BX-020</v>
      </c>
    </row>
    <row r="53" spans="1:12" ht="14.1" customHeight="1">
      <c r="A53" s="69">
        <f t="shared" si="4"/>
        <v>46226</v>
      </c>
      <c r="B53" s="70">
        <f>'CHICLETS MASTER S2'!A9</f>
        <v>0.46527777777777801</v>
      </c>
      <c r="C53" s="71" t="s">
        <v>218</v>
      </c>
      <c r="D53" s="71" t="str">
        <f t="shared" si="6"/>
        <v>GOLDEN WEST COLLEGE 2</v>
      </c>
      <c r="E53" s="71">
        <v>25</v>
      </c>
      <c r="F53" s="71" t="str">
        <f>H6</f>
        <v>H2(25)-CARLSBAD B</v>
      </c>
      <c r="G53" s="71">
        <v>9</v>
      </c>
      <c r="H53" s="71" t="str">
        <f>H7</f>
        <v>H3(40)-LAMORINDA C</v>
      </c>
      <c r="I53" s="216">
        <v>7</v>
      </c>
      <c r="J53" s="71"/>
      <c r="K53" s="71"/>
      <c r="L53" s="71" t="str">
        <f t="shared" si="5"/>
        <v>12BX-025</v>
      </c>
    </row>
    <row r="54" spans="1:12" ht="14.1" customHeight="1">
      <c r="A54" s="69">
        <f t="shared" si="4"/>
        <v>46226</v>
      </c>
      <c r="B54" s="70">
        <f>'CHICLETS MASTER S2'!A10</f>
        <v>0.5</v>
      </c>
      <c r="C54" s="71" t="s">
        <v>218</v>
      </c>
      <c r="D54" s="71" t="str">
        <f t="shared" si="6"/>
        <v>GOLDEN WEST COLLEGE 2</v>
      </c>
      <c r="E54" s="71">
        <v>30</v>
      </c>
      <c r="F54" s="71" t="str">
        <f>G6</f>
        <v>G2(26)-LAMORINDA B</v>
      </c>
      <c r="G54" s="71">
        <v>16</v>
      </c>
      <c r="H54" s="71" t="str">
        <f>G7</f>
        <v>G3(39)-CLOVIS</v>
      </c>
      <c r="I54" s="216">
        <v>5</v>
      </c>
      <c r="J54" s="71"/>
      <c r="K54" s="71"/>
      <c r="L54" s="71" t="str">
        <f t="shared" si="5"/>
        <v>12BX-030</v>
      </c>
    </row>
    <row r="55" spans="1:12" ht="14.1" customHeight="1">
      <c r="A55" s="69">
        <f t="shared" si="0"/>
        <v>46226</v>
      </c>
      <c r="B55" s="70">
        <f>'CHICLETS MASTER S2'!A11</f>
        <v>0.53472222222222199</v>
      </c>
      <c r="C55" s="71" t="s">
        <v>218</v>
      </c>
      <c r="D55" s="71" t="str">
        <f t="shared" si="6"/>
        <v>GOLDEN WEST COLLEGE 2</v>
      </c>
      <c r="E55" s="71">
        <v>38</v>
      </c>
      <c r="F55" s="71" t="str">
        <f>B17</f>
        <v>J2(23)-ASPHALT GREEN</v>
      </c>
      <c r="G55" s="71">
        <v>18</v>
      </c>
      <c r="H55" s="71" t="str">
        <f>B18</f>
        <v>J3(42)-CDM WHITE</v>
      </c>
      <c r="I55" s="216">
        <v>12</v>
      </c>
      <c r="J55" s="71"/>
      <c r="K55" s="71"/>
      <c r="L55" s="71" t="str">
        <f t="shared" si="5"/>
        <v>12BX-038</v>
      </c>
    </row>
    <row r="56" spans="1:12" ht="14.1" customHeight="1">
      <c r="A56" s="69">
        <f t="shared" si="4"/>
        <v>46226</v>
      </c>
      <c r="B56" s="70">
        <f>'CHICLETS MASTER S2'!A12</f>
        <v>0.56944444444444497</v>
      </c>
      <c r="C56" s="71" t="s">
        <v>218</v>
      </c>
      <c r="D56" s="71" t="str">
        <f t="shared" si="6"/>
        <v>GOLDEN WEST COLLEGE 2</v>
      </c>
      <c r="E56" s="71">
        <v>39</v>
      </c>
      <c r="F56" s="71" t="str">
        <f>A16</f>
        <v>I1(9)-CIU GOLD</v>
      </c>
      <c r="G56" s="71">
        <v>9</v>
      </c>
      <c r="H56" s="71" t="str">
        <f>A17</f>
        <v>I2(24)-BACK BAY</v>
      </c>
      <c r="I56" s="216">
        <v>12</v>
      </c>
      <c r="J56" s="71"/>
      <c r="K56" s="71"/>
      <c r="L56" s="71" t="str">
        <f t="shared" si="5"/>
        <v>12BX-039</v>
      </c>
    </row>
    <row r="57" spans="1:12" ht="14.1" customHeight="1">
      <c r="A57" s="69">
        <f t="shared" si="4"/>
        <v>46226</v>
      </c>
      <c r="B57" s="70">
        <f>'CHICLETS MASTER S2'!A13</f>
        <v>0.60416666666666696</v>
      </c>
      <c r="C57" s="71" t="s">
        <v>218</v>
      </c>
      <c r="D57" s="71" t="str">
        <f t="shared" si="6"/>
        <v>GOLDEN WEST COLLEGE 2</v>
      </c>
      <c r="E57" s="71">
        <v>44</v>
      </c>
      <c r="F57" s="71" t="str">
        <f>H5</f>
        <v>H1(8)-CC UNITED BLUE</v>
      </c>
      <c r="G57" s="71">
        <v>9</v>
      </c>
      <c r="H57" s="71" t="str">
        <f>H6</f>
        <v>H2(25)-CARLSBAD B</v>
      </c>
      <c r="I57" s="216">
        <v>3</v>
      </c>
      <c r="J57" s="71"/>
      <c r="K57" s="71"/>
      <c r="L57" s="71" t="str">
        <f t="shared" si="5"/>
        <v>12BX-044</v>
      </c>
    </row>
    <row r="58" spans="1:12" ht="14.1" customHeight="1">
      <c r="A58" s="69">
        <f t="shared" si="4"/>
        <v>46226</v>
      </c>
      <c r="B58" s="70">
        <f>'CHICLETS MASTER S2'!A14</f>
        <v>0.63888888888888895</v>
      </c>
      <c r="C58" s="71" t="s">
        <v>218</v>
      </c>
      <c r="D58" s="71" t="str">
        <f t="shared" si="6"/>
        <v>GOLDEN WEST COLLEGE 2</v>
      </c>
      <c r="E58" s="71">
        <v>49</v>
      </c>
      <c r="F58" s="71" t="str">
        <f>G5</f>
        <v>G1(7)-LOS ALAMITOS</v>
      </c>
      <c r="G58" s="71">
        <v>13</v>
      </c>
      <c r="H58" s="71" t="str">
        <f>G6</f>
        <v>G2(26)-LAMORINDA B</v>
      </c>
      <c r="I58" s="216">
        <v>4</v>
      </c>
      <c r="J58" s="71"/>
      <c r="K58" s="71"/>
      <c r="L58" s="71" t="str">
        <f t="shared" si="5"/>
        <v>12BX-049</v>
      </c>
    </row>
    <row r="59" spans="1:12" ht="14.1" customHeight="1">
      <c r="A59" s="69">
        <f t="shared" si="0"/>
        <v>46226</v>
      </c>
      <c r="B59" s="70">
        <f>'CHICLETS MASTER S2'!A15</f>
        <v>0.67361111111111105</v>
      </c>
      <c r="C59" s="71" t="s">
        <v>218</v>
      </c>
      <c r="D59" s="71" t="str">
        <f t="shared" si="6"/>
        <v>GOLDEN WEST COLLEGE 2</v>
      </c>
      <c r="E59" s="71">
        <v>57</v>
      </c>
      <c r="F59" s="71" t="str">
        <f>B16</f>
        <v>J1(10)-TROJAN CARDINAL</v>
      </c>
      <c r="G59" s="71">
        <v>14</v>
      </c>
      <c r="H59" s="71" t="str">
        <f>B17</f>
        <v>J2(23)-ASPHALT GREEN</v>
      </c>
      <c r="I59" s="216">
        <v>5</v>
      </c>
      <c r="J59" s="71"/>
      <c r="K59" s="71"/>
      <c r="L59" s="71" t="str">
        <f t="shared" si="5"/>
        <v>12BX-057</v>
      </c>
    </row>
    <row r="60" spans="1:12" ht="14.1" customHeight="1">
      <c r="A60" s="199"/>
      <c r="B60" s="199" t="s">
        <v>139</v>
      </c>
      <c r="C60" s="199"/>
      <c r="D60" s="199"/>
      <c r="E60" s="199"/>
      <c r="F60" s="199"/>
      <c r="G60" s="199"/>
      <c r="H60" s="199"/>
      <c r="I60" s="199"/>
      <c r="J60" s="199"/>
    </row>
    <row r="61" spans="1:12" ht="14.1" customHeight="1">
      <c r="A61" s="199"/>
      <c r="B61" s="199" t="s">
        <v>139</v>
      </c>
      <c r="C61" s="199"/>
      <c r="D61" s="199"/>
      <c r="E61" s="199"/>
      <c r="F61" s="199"/>
      <c r="G61" s="199"/>
      <c r="H61" s="199"/>
      <c r="I61" s="199"/>
      <c r="J61" s="199"/>
    </row>
    <row r="62" spans="1:12" ht="14.1" customHeight="1">
      <c r="A62" s="69">
        <f t="shared" si="4"/>
        <v>46226</v>
      </c>
      <c r="B62" s="70">
        <f>'CHICLETS MASTER S2'!A18</f>
        <v>0.77777777777777801</v>
      </c>
      <c r="C62" s="67" t="s">
        <v>889</v>
      </c>
      <c r="D62" s="71" t="str">
        <f>$D$46</f>
        <v>GOLDEN WEST COLLEGE 2</v>
      </c>
      <c r="E62" s="71">
        <v>58</v>
      </c>
      <c r="F62" s="204" t="s">
        <v>890</v>
      </c>
      <c r="G62" s="204">
        <v>7</v>
      </c>
      <c r="H62" s="204" t="s">
        <v>891</v>
      </c>
      <c r="I62" s="217">
        <v>6</v>
      </c>
      <c r="J62" s="218" t="s">
        <v>892</v>
      </c>
      <c r="K62" s="219" t="s">
        <v>893</v>
      </c>
      <c r="L62" s="71" t="str">
        <f>IF(E62="","",$L$66&amp;"-"&amp;TEXT(E62,"000"))</f>
        <v>12BX-058</v>
      </c>
    </row>
    <row r="63" spans="1:12" ht="14.1" customHeight="1">
      <c r="A63" s="69">
        <f t="shared" si="0"/>
        <v>46226</v>
      </c>
      <c r="B63" s="70">
        <f>'CHICLETS MASTER S2'!A19</f>
        <v>0.8125</v>
      </c>
      <c r="C63" s="67" t="s">
        <v>894</v>
      </c>
      <c r="D63" s="71" t="str">
        <f>$D$46</f>
        <v>GOLDEN WEST COLLEGE 2</v>
      </c>
      <c r="E63" s="71">
        <v>65</v>
      </c>
      <c r="F63" s="204" t="s">
        <v>895</v>
      </c>
      <c r="G63" s="204">
        <v>12</v>
      </c>
      <c r="H63" s="66" t="s">
        <v>896</v>
      </c>
      <c r="I63" s="217">
        <v>11</v>
      </c>
      <c r="J63" s="218" t="s">
        <v>897</v>
      </c>
      <c r="K63" s="219" t="s">
        <v>898</v>
      </c>
      <c r="L63" s="71" t="str">
        <f>IF(E63="","",$L$66&amp;"-"&amp;TEXT(E63,"000"))</f>
        <v>12BX-065</v>
      </c>
    </row>
    <row r="65" spans="1:12" ht="14.1" customHeight="1" thickBot="1">
      <c r="A65" s="199"/>
      <c r="B65" s="199"/>
      <c r="C65" s="199"/>
      <c r="D65" s="199"/>
      <c r="E65" s="199"/>
      <c r="F65" s="199"/>
      <c r="G65" s="199"/>
      <c r="H65" s="199"/>
      <c r="I65" s="199"/>
      <c r="J65" s="199"/>
    </row>
    <row r="66" spans="1:12" ht="14.1" customHeight="1" thickBot="1">
      <c r="A66" s="210"/>
      <c r="B66" s="211"/>
      <c r="C66" s="199"/>
      <c r="D66" s="212" t="str">
        <f>'CHICLETS MASTER S2'!$E$3</f>
        <v>BECKMAN HS 2</v>
      </c>
      <c r="E66" s="199"/>
      <c r="I66" s="199"/>
      <c r="J66" s="199"/>
      <c r="K66" s="199"/>
      <c r="L66" s="220" t="s">
        <v>899</v>
      </c>
    </row>
    <row r="67" spans="1:12" ht="14.1" customHeight="1">
      <c r="A67" s="214" t="s">
        <v>124</v>
      </c>
      <c r="B67" s="214" t="s">
        <v>125</v>
      </c>
      <c r="C67" s="214" t="s">
        <v>126</v>
      </c>
      <c r="D67" s="214" t="s">
        <v>127</v>
      </c>
      <c r="E67" s="214" t="s">
        <v>128</v>
      </c>
      <c r="F67" s="214" t="s">
        <v>129</v>
      </c>
      <c r="G67" s="214" t="s">
        <v>130</v>
      </c>
      <c r="H67" s="214" t="s">
        <v>131</v>
      </c>
      <c r="I67" s="214" t="s">
        <v>130</v>
      </c>
      <c r="J67" s="214" t="s">
        <v>132</v>
      </c>
      <c r="K67" s="214" t="s">
        <v>133</v>
      </c>
      <c r="L67" s="214" t="s">
        <v>134</v>
      </c>
    </row>
    <row r="68" spans="1:12" ht="14.1" customHeight="1">
      <c r="A68" s="69">
        <f>$A$2</f>
        <v>46226</v>
      </c>
      <c r="B68" s="70">
        <f>'CHICLETS MASTER S2'!A4</f>
        <v>0.29166666666666669</v>
      </c>
      <c r="C68" s="71" t="s">
        <v>218</v>
      </c>
      <c r="D68" s="71" t="str">
        <f>$D$66</f>
        <v>BECKMAN HS 2</v>
      </c>
      <c r="E68" s="71">
        <v>2</v>
      </c>
      <c r="F68" s="71" t="str">
        <f>H16</f>
        <v>P1(16)-CIU BLACK</v>
      </c>
      <c r="G68" s="71">
        <v>15</v>
      </c>
      <c r="H68" s="71" t="str">
        <f>H18</f>
        <v>P3(48)-ARROYO GRANDE</v>
      </c>
      <c r="I68" s="216">
        <v>5</v>
      </c>
      <c r="J68" s="71"/>
      <c r="K68" s="71"/>
      <c r="L68" s="71" t="str">
        <f t="shared" ref="L68:L83" si="7">IF(E68="","",$L$66&amp;"-"&amp;TEXT(E68,"000"))</f>
        <v>12BX-002</v>
      </c>
    </row>
    <row r="69" spans="1:12" ht="14.1" customHeight="1">
      <c r="A69" s="69">
        <f t="shared" si="4"/>
        <v>46226</v>
      </c>
      <c r="B69" s="70">
        <f>'CHICLETS MASTER S2'!A5</f>
        <v>0.3263888888888889</v>
      </c>
      <c r="C69" s="71" t="s">
        <v>218</v>
      </c>
      <c r="D69" s="71" t="str">
        <f>$D$66</f>
        <v>BECKMAN HS 2</v>
      </c>
      <c r="E69" s="71">
        <v>7</v>
      </c>
      <c r="F69" s="71" t="str">
        <f>A5</f>
        <v>A1(1)-FOOTHILL RED</v>
      </c>
      <c r="G69" s="71">
        <v>23</v>
      </c>
      <c r="H69" s="71" t="str">
        <f>A7</f>
        <v>A3(33)-SANTA BARBARA WPC B</v>
      </c>
      <c r="I69" s="216">
        <v>3</v>
      </c>
      <c r="J69" s="71"/>
      <c r="K69" s="71"/>
      <c r="L69" s="71" t="str">
        <f t="shared" si="7"/>
        <v>12BX-007</v>
      </c>
    </row>
    <row r="70" spans="1:12" ht="14.1" customHeight="1">
      <c r="A70" s="69">
        <f t="shared" si="4"/>
        <v>46226</v>
      </c>
      <c r="B70" s="70">
        <f>'CHICLETS MASTER S2'!A6</f>
        <v>0.36111111111111099</v>
      </c>
      <c r="C70" s="71" t="s">
        <v>218</v>
      </c>
      <c r="D70" s="71" t="str">
        <f>$D$66</f>
        <v>BECKMAN HS 2</v>
      </c>
      <c r="E70" s="71">
        <v>12</v>
      </c>
      <c r="F70" s="71" t="str">
        <f>G16</f>
        <v>O1(15)-NEWPORT BEACH WHITE</v>
      </c>
      <c r="G70" s="71">
        <v>16</v>
      </c>
      <c r="H70" s="71" t="str">
        <f>G18</f>
        <v>O3(47)-ORWP RED</v>
      </c>
      <c r="I70" s="216">
        <v>6</v>
      </c>
      <c r="J70" s="71"/>
      <c r="K70" s="71"/>
      <c r="L70" s="71" t="str">
        <f t="shared" si="7"/>
        <v>12BX-012</v>
      </c>
    </row>
    <row r="71" spans="1:12" ht="14.1" customHeight="1">
      <c r="A71" s="69">
        <f t="shared" si="4"/>
        <v>46226</v>
      </c>
      <c r="B71" s="70">
        <f>'CHICLETS MASTER S2'!A7</f>
        <v>0.39583333333333398</v>
      </c>
      <c r="C71" s="71" t="s">
        <v>218</v>
      </c>
      <c r="D71" s="71" t="str">
        <f t="shared" ref="D71:D79" si="8">$D$66</f>
        <v>BECKMAN HS 2</v>
      </c>
      <c r="E71" s="71">
        <v>16</v>
      </c>
      <c r="F71" s="71" t="str">
        <f>B5</f>
        <v>B1(2)-PATRIOT NAVY</v>
      </c>
      <c r="G71" s="71">
        <v>29</v>
      </c>
      <c r="H71" s="71" t="str">
        <f>B7</f>
        <v>B3(34)-AMERICAN RIVER</v>
      </c>
      <c r="I71" s="216">
        <v>0</v>
      </c>
      <c r="J71" s="71"/>
      <c r="K71" s="71"/>
      <c r="L71" s="71" t="str">
        <f>IF(E71="","",$L$66&amp;"-"&amp;TEXT(E71,"000"))</f>
        <v>12BX-016</v>
      </c>
    </row>
    <row r="72" spans="1:12" ht="14.1" customHeight="1">
      <c r="A72" s="69">
        <f t="shared" si="4"/>
        <v>46226</v>
      </c>
      <c r="B72" s="70">
        <f>'CHICLETS MASTER S2'!A8</f>
        <v>0.43055555555555602</v>
      </c>
      <c r="C72" s="71" t="s">
        <v>218</v>
      </c>
      <c r="D72" s="71" t="str">
        <f t="shared" si="8"/>
        <v>BECKMAN HS 2</v>
      </c>
      <c r="E72" s="71">
        <v>21</v>
      </c>
      <c r="F72" s="71" t="str">
        <f>H17</f>
        <v>P2(17)-WHITTIER</v>
      </c>
      <c r="G72" s="71">
        <v>21</v>
      </c>
      <c r="H72" s="71" t="str">
        <f>H18</f>
        <v>P3(48)-ARROYO GRANDE</v>
      </c>
      <c r="I72" s="216">
        <v>5</v>
      </c>
      <c r="J72" s="71"/>
      <c r="K72" s="71"/>
      <c r="L72" s="71" t="str">
        <f t="shared" si="7"/>
        <v>12BX-021</v>
      </c>
    </row>
    <row r="73" spans="1:12" ht="14.1" customHeight="1">
      <c r="A73" s="69">
        <f t="shared" si="4"/>
        <v>46226</v>
      </c>
      <c r="B73" s="70">
        <f>'CHICLETS MASTER S2'!A9</f>
        <v>0.46527777777777801</v>
      </c>
      <c r="C73" s="71" t="s">
        <v>218</v>
      </c>
      <c r="D73" s="71" t="str">
        <f t="shared" si="8"/>
        <v>BECKMAN HS 2</v>
      </c>
      <c r="E73" s="71">
        <v>26</v>
      </c>
      <c r="F73" s="71" t="str">
        <f>A6</f>
        <v>A2(32)-STANFORD WHITE</v>
      </c>
      <c r="G73" s="71">
        <v>15</v>
      </c>
      <c r="H73" s="71" t="str">
        <f>A7</f>
        <v>A3(33)-SANTA BARBARA WPC B</v>
      </c>
      <c r="I73" s="216">
        <v>10</v>
      </c>
      <c r="J73" s="71"/>
      <c r="K73" s="71"/>
      <c r="L73" s="71" t="str">
        <f t="shared" si="7"/>
        <v>12BX-026</v>
      </c>
    </row>
    <row r="74" spans="1:12" ht="14.1" customHeight="1">
      <c r="A74" s="69">
        <f t="shared" si="4"/>
        <v>46226</v>
      </c>
      <c r="B74" s="70">
        <f>'CHICLETS MASTER S2'!A10</f>
        <v>0.5</v>
      </c>
      <c r="C74" s="71" t="s">
        <v>218</v>
      </c>
      <c r="D74" s="71" t="str">
        <f t="shared" si="8"/>
        <v>BECKMAN HS 2</v>
      </c>
      <c r="E74" s="71">
        <v>31</v>
      </c>
      <c r="F74" s="71" t="str">
        <f>G17</f>
        <v>O2(18)-LB SHORE</v>
      </c>
      <c r="G74" s="71">
        <v>19</v>
      </c>
      <c r="H74" s="71" t="str">
        <f>G18</f>
        <v>O3(47)-ORWP RED</v>
      </c>
      <c r="I74" s="216">
        <v>5</v>
      </c>
      <c r="J74" s="71"/>
      <c r="K74" s="71"/>
      <c r="L74" s="71" t="str">
        <f t="shared" si="7"/>
        <v>12BX-031</v>
      </c>
    </row>
    <row r="75" spans="1:12" ht="14.1" customHeight="1">
      <c r="A75" s="69">
        <f t="shared" si="4"/>
        <v>46226</v>
      </c>
      <c r="B75" s="70">
        <f>'CHICLETS MASTER S2'!A11</f>
        <v>0.53472222222222199</v>
      </c>
      <c r="C75" s="71" t="s">
        <v>218</v>
      </c>
      <c r="D75" s="71" t="str">
        <f t="shared" si="8"/>
        <v>BECKMAN HS 2</v>
      </c>
      <c r="E75" s="71">
        <v>35</v>
      </c>
      <c r="F75" s="71" t="str">
        <f>B6</f>
        <v>B2(31)-DIABLO ALLIANCE A</v>
      </c>
      <c r="G75" s="71">
        <v>9.3000000000000007</v>
      </c>
      <c r="H75" s="71" t="str">
        <f>B7</f>
        <v>B3(34)-AMERICAN RIVER</v>
      </c>
      <c r="I75" s="216">
        <v>9.1</v>
      </c>
      <c r="J75" s="71"/>
      <c r="K75" s="71"/>
      <c r="L75" s="71" t="str">
        <f t="shared" si="7"/>
        <v>12BX-035</v>
      </c>
    </row>
    <row r="76" spans="1:12" ht="14.1" customHeight="1">
      <c r="A76" s="69">
        <f t="shared" si="4"/>
        <v>46226</v>
      </c>
      <c r="B76" s="70">
        <f>'CHICLETS MASTER S2'!A12</f>
        <v>0.56944444444444497</v>
      </c>
      <c r="C76" s="71" t="s">
        <v>218</v>
      </c>
      <c r="D76" s="71" t="str">
        <f t="shared" si="8"/>
        <v>BECKMAN HS 2</v>
      </c>
      <c r="E76" s="71">
        <v>40</v>
      </c>
      <c r="F76" s="71" t="str">
        <f>H16</f>
        <v>P1(16)-CIU BLACK</v>
      </c>
      <c r="G76" s="71">
        <v>2</v>
      </c>
      <c r="H76" s="71" t="str">
        <f>H17</f>
        <v>P2(17)-WHITTIER</v>
      </c>
      <c r="I76" s="216">
        <v>13</v>
      </c>
      <c r="J76" s="71"/>
      <c r="K76" s="71"/>
      <c r="L76" s="71" t="str">
        <f t="shared" si="7"/>
        <v>12BX-040</v>
      </c>
    </row>
    <row r="77" spans="1:12" ht="14.1" customHeight="1">
      <c r="A77" s="69">
        <f t="shared" si="4"/>
        <v>46226</v>
      </c>
      <c r="B77" s="70">
        <f>'CHICLETS MASTER S2'!A13</f>
        <v>0.60416666666666696</v>
      </c>
      <c r="C77" s="71" t="s">
        <v>218</v>
      </c>
      <c r="D77" s="71" t="str">
        <f t="shared" si="8"/>
        <v>BECKMAN HS 2</v>
      </c>
      <c r="E77" s="71">
        <v>45</v>
      </c>
      <c r="F77" s="71" t="str">
        <f>A5</f>
        <v>A1(1)-FOOTHILL RED</v>
      </c>
      <c r="G77" s="71">
        <v>21</v>
      </c>
      <c r="H77" s="71" t="str">
        <f>A6</f>
        <v>A2(32)-STANFORD WHITE</v>
      </c>
      <c r="I77" s="216">
        <v>4</v>
      </c>
      <c r="J77" s="71"/>
      <c r="K77" s="71"/>
      <c r="L77" s="71" t="str">
        <f t="shared" si="7"/>
        <v>12BX-045</v>
      </c>
    </row>
    <row r="78" spans="1:12" ht="14.1" customHeight="1">
      <c r="A78" s="69">
        <f t="shared" si="4"/>
        <v>46226</v>
      </c>
      <c r="B78" s="70">
        <f>'CHICLETS MASTER S2'!A14</f>
        <v>0.63888888888888895</v>
      </c>
      <c r="C78" s="71" t="s">
        <v>218</v>
      </c>
      <c r="D78" s="71" t="str">
        <f t="shared" si="8"/>
        <v>BECKMAN HS 2</v>
      </c>
      <c r="E78" s="71">
        <v>50</v>
      </c>
      <c r="F78" s="71" t="str">
        <f>G16</f>
        <v>O1(15)-NEWPORT BEACH WHITE</v>
      </c>
      <c r="G78" s="71">
        <v>7.3</v>
      </c>
      <c r="H78" s="71" t="str">
        <f>G17</f>
        <v>O2(18)-LB SHORE</v>
      </c>
      <c r="I78" s="216">
        <v>7.2</v>
      </c>
      <c r="J78" s="71"/>
      <c r="K78" s="71"/>
      <c r="L78" s="71" t="str">
        <f t="shared" si="7"/>
        <v>12BX-050</v>
      </c>
    </row>
    <row r="79" spans="1:12" ht="14.1" customHeight="1">
      <c r="A79" s="69">
        <f t="shared" si="4"/>
        <v>46226</v>
      </c>
      <c r="B79" s="70">
        <f>'CHICLETS MASTER S2'!A15</f>
        <v>0.67361111111111105</v>
      </c>
      <c r="C79" s="71" t="s">
        <v>218</v>
      </c>
      <c r="D79" s="71" t="str">
        <f t="shared" si="8"/>
        <v>BECKMAN HS 2</v>
      </c>
      <c r="E79" s="71">
        <v>54</v>
      </c>
      <c r="F79" s="71" t="str">
        <f>B5</f>
        <v>B1(2)-PATRIOT NAVY</v>
      </c>
      <c r="G79" s="71">
        <v>17</v>
      </c>
      <c r="H79" s="71" t="str">
        <f>B6</f>
        <v>B2(31)-DIABLO ALLIANCE A</v>
      </c>
      <c r="I79" s="216">
        <v>2</v>
      </c>
      <c r="J79" s="71"/>
      <c r="K79" s="71"/>
      <c r="L79" s="71" t="str">
        <f t="shared" si="7"/>
        <v>12BX-054</v>
      </c>
    </row>
    <row r="80" spans="1:12" ht="14.1" customHeight="1">
      <c r="B80" s="199" t="s">
        <v>139</v>
      </c>
      <c r="G80" s="200"/>
      <c r="I80" s="221"/>
    </row>
    <row r="81" spans="1:12" ht="14.1" customHeight="1">
      <c r="B81" s="199" t="s">
        <v>139</v>
      </c>
      <c r="G81" s="200"/>
      <c r="I81" s="221"/>
    </row>
    <row r="82" spans="1:12" ht="14.1" customHeight="1">
      <c r="A82" s="69">
        <f t="shared" si="4"/>
        <v>46226</v>
      </c>
      <c r="B82" s="70">
        <f>'CHICLETS MASTER S2'!A18</f>
        <v>0.77777777777777801</v>
      </c>
      <c r="C82" s="67" t="s">
        <v>900</v>
      </c>
      <c r="D82" s="71" t="str">
        <f>$D$66</f>
        <v>BECKMAN HS 2</v>
      </c>
      <c r="E82" s="71">
        <v>59</v>
      </c>
      <c r="F82" s="204" t="s">
        <v>901</v>
      </c>
      <c r="G82" s="204">
        <v>11.2</v>
      </c>
      <c r="H82" s="204" t="s">
        <v>902</v>
      </c>
      <c r="I82" s="222">
        <v>11</v>
      </c>
      <c r="J82" s="218" t="s">
        <v>903</v>
      </c>
      <c r="K82" s="219" t="s">
        <v>904</v>
      </c>
      <c r="L82" s="71" t="str">
        <f t="shared" si="7"/>
        <v>12BX-059</v>
      </c>
    </row>
    <row r="83" spans="1:12" ht="14.1" customHeight="1">
      <c r="A83" s="69">
        <f t="shared" si="4"/>
        <v>46226</v>
      </c>
      <c r="B83" s="70">
        <f>'CHICLETS MASTER S2'!A19</f>
        <v>0.8125</v>
      </c>
      <c r="C83" s="67" t="s">
        <v>905</v>
      </c>
      <c r="D83" s="71" t="str">
        <f>$D$66</f>
        <v>BECKMAN HS 2</v>
      </c>
      <c r="E83" s="71">
        <v>62</v>
      </c>
      <c r="F83" s="207" t="s">
        <v>906</v>
      </c>
      <c r="G83" s="206">
        <v>9.5</v>
      </c>
      <c r="H83" s="204" t="s">
        <v>907</v>
      </c>
      <c r="I83" s="217">
        <v>9.4</v>
      </c>
      <c r="J83" s="218" t="s">
        <v>908</v>
      </c>
      <c r="K83" s="219" t="s">
        <v>909</v>
      </c>
      <c r="L83" s="71" t="str">
        <f t="shared" si="7"/>
        <v>12BX-062</v>
      </c>
    </row>
    <row r="84" spans="1:12" ht="14.1" customHeight="1">
      <c r="A84" s="223"/>
      <c r="B84" s="223"/>
      <c r="C84" s="223"/>
      <c r="D84" s="223"/>
      <c r="E84" s="223"/>
      <c r="F84" s="223"/>
      <c r="G84" s="224"/>
      <c r="H84" s="225"/>
      <c r="I84" s="225"/>
      <c r="J84" s="225"/>
      <c r="K84" s="225"/>
      <c r="L84" s="225"/>
    </row>
    <row r="85" spans="1:12" ht="15" customHeight="1" thickBot="1"/>
    <row r="86" spans="1:12" ht="14.1" customHeight="1" thickBot="1">
      <c r="A86" s="210"/>
      <c r="B86" s="211"/>
      <c r="C86" s="199"/>
      <c r="D86" s="212" t="str">
        <f>'CHICLETS MASTER S2'!$F$3</f>
        <v>CAPISTRANO VALLEY HS 2</v>
      </c>
      <c r="E86" s="199"/>
      <c r="I86" s="199"/>
      <c r="J86" s="199"/>
      <c r="K86" s="199"/>
      <c r="L86" s="199"/>
    </row>
    <row r="87" spans="1:12" ht="14.1" customHeight="1">
      <c r="A87" s="214" t="s">
        <v>124</v>
      </c>
      <c r="B87" s="214" t="s">
        <v>125</v>
      </c>
      <c r="C87" s="214" t="s">
        <v>126</v>
      </c>
      <c r="D87" s="214" t="s">
        <v>127</v>
      </c>
      <c r="E87" s="214" t="s">
        <v>128</v>
      </c>
      <c r="F87" s="214" t="s">
        <v>129</v>
      </c>
      <c r="G87" s="214" t="s">
        <v>130</v>
      </c>
      <c r="H87" s="214" t="s">
        <v>131</v>
      </c>
      <c r="I87" s="214" t="s">
        <v>130</v>
      </c>
      <c r="J87" s="214" t="s">
        <v>132</v>
      </c>
      <c r="K87" s="214" t="s">
        <v>133</v>
      </c>
      <c r="L87" s="214" t="s">
        <v>134</v>
      </c>
    </row>
    <row r="88" spans="1:12" ht="14.1" customHeight="1">
      <c r="A88" s="69">
        <f t="shared" si="4"/>
        <v>46226</v>
      </c>
      <c r="B88" s="70">
        <f>'CHICLETS MASTER S2'!A4</f>
        <v>0.29166666666666669</v>
      </c>
      <c r="C88" s="71" t="s">
        <v>218</v>
      </c>
      <c r="D88" s="71" t="str">
        <f>$D$86</f>
        <v>CAPISTRANO VALLEY HS 2</v>
      </c>
      <c r="E88" s="71">
        <v>3</v>
      </c>
      <c r="F88" s="71" t="str">
        <f>F16</f>
        <v>N1(14)-LAGUNA BEACH</v>
      </c>
      <c r="G88" s="71">
        <v>10</v>
      </c>
      <c r="H88" s="71" t="str">
        <f>F18</f>
        <v>N3(46)-DAVIS WHITE</v>
      </c>
      <c r="I88" s="216">
        <v>4</v>
      </c>
      <c r="J88" s="71"/>
      <c r="K88" s="71"/>
      <c r="L88" s="71" t="str">
        <f>IF(E88="","",$L$66&amp;"-"&amp;TEXT(E88,"000"))</f>
        <v>12BX-003</v>
      </c>
    </row>
    <row r="89" spans="1:12" ht="14.1" customHeight="1">
      <c r="A89" s="69">
        <f t="shared" si="4"/>
        <v>46226</v>
      </c>
      <c r="B89" s="70">
        <f>'CHICLETS MASTER S2'!A5</f>
        <v>0.3263888888888889</v>
      </c>
      <c r="C89" s="71" t="s">
        <v>218</v>
      </c>
      <c r="D89" s="71" t="str">
        <f t="shared" ref="D89:D100" si="9">$D$86</f>
        <v>CAPISTRANO VALLEY HS 2</v>
      </c>
      <c r="E89" s="71">
        <v>8</v>
      </c>
      <c r="F89" s="71" t="str">
        <f>C5</f>
        <v>C1(3)-MISSION B</v>
      </c>
      <c r="G89" s="71">
        <v>15</v>
      </c>
      <c r="H89" s="71" t="str">
        <f>C7</f>
        <v>C3(35)-CC UNITED WHITE</v>
      </c>
      <c r="I89" s="216">
        <v>1</v>
      </c>
      <c r="J89" s="71"/>
      <c r="K89" s="71"/>
      <c r="L89" s="71" t="str">
        <f t="shared" ref="L89:L104" si="10">IF(E89="","",$L$66&amp;"-"&amp;TEXT(E89,"000"))</f>
        <v>12BX-008</v>
      </c>
    </row>
    <row r="90" spans="1:12" ht="14.1" customHeight="1">
      <c r="A90" s="69">
        <f>$A$2</f>
        <v>46226</v>
      </c>
      <c r="B90" s="70">
        <f>'CHICLETS MASTER S2'!A6</f>
        <v>0.36111111111111099</v>
      </c>
      <c r="C90" s="71" t="s">
        <v>218</v>
      </c>
      <c r="D90" s="71" t="str">
        <f t="shared" si="9"/>
        <v>CAPISTRANO VALLEY HS 2</v>
      </c>
      <c r="E90" s="71">
        <v>17</v>
      </c>
      <c r="F90" s="71" t="str">
        <f>D5</f>
        <v>D1(4)-OCWPC BLUE</v>
      </c>
      <c r="G90" s="71">
        <v>23</v>
      </c>
      <c r="H90" s="71" t="str">
        <f>D7</f>
        <v>D3(36)-SD DONS GOLD</v>
      </c>
      <c r="I90" s="216">
        <v>0</v>
      </c>
      <c r="J90" s="71"/>
      <c r="K90" s="71"/>
      <c r="L90" s="71" t="str">
        <f t="shared" si="10"/>
        <v>12BX-017</v>
      </c>
    </row>
    <row r="91" spans="1:12" ht="14.1" customHeight="1">
      <c r="A91" s="69">
        <f t="shared" si="4"/>
        <v>46226</v>
      </c>
      <c r="B91" s="70">
        <f>'CHICLETS MASTER S2'!A7</f>
        <v>0.39583333333333398</v>
      </c>
      <c r="C91" s="71" t="s">
        <v>218</v>
      </c>
      <c r="D91" s="71" t="str">
        <f t="shared" si="9"/>
        <v>CAPISTRANO VALLEY HS 2</v>
      </c>
      <c r="E91" s="71">
        <v>22</v>
      </c>
      <c r="F91" s="71" t="str">
        <f>F17</f>
        <v>N2(19)-SAN JOSE FOUNDATION BLACK</v>
      </c>
      <c r="G91" s="71">
        <v>14</v>
      </c>
      <c r="H91" s="71" t="str">
        <f>F18</f>
        <v>N3(46)-DAVIS WHITE</v>
      </c>
      <c r="I91" s="216">
        <v>3</v>
      </c>
      <c r="J91" s="71"/>
      <c r="K91" s="71"/>
      <c r="L91" s="71" t="str">
        <f t="shared" si="10"/>
        <v>12BX-022</v>
      </c>
    </row>
    <row r="92" spans="1:12" ht="14.1" customHeight="1">
      <c r="A92" s="69">
        <f t="shared" si="4"/>
        <v>46226</v>
      </c>
      <c r="B92" s="70">
        <f>'CHICLETS MASTER S2'!A8</f>
        <v>0.43055555555555602</v>
      </c>
      <c r="C92" s="71" t="s">
        <v>218</v>
      </c>
      <c r="D92" s="71" t="str">
        <f t="shared" si="9"/>
        <v>CAPISTRANO VALLEY HS 2</v>
      </c>
      <c r="E92" s="71">
        <v>27</v>
      </c>
      <c r="F92" s="71" t="str">
        <f>C6</f>
        <v>C2(30)-NORTH IRVINE RED</v>
      </c>
      <c r="G92" s="71">
        <v>8</v>
      </c>
      <c r="H92" s="71" t="str">
        <f>C7</f>
        <v>C3(35)-CC UNITED WHITE</v>
      </c>
      <c r="I92" s="216">
        <v>7</v>
      </c>
      <c r="J92" s="71"/>
      <c r="K92" s="71"/>
      <c r="L92" s="71" t="str">
        <f t="shared" si="10"/>
        <v>12BX-027</v>
      </c>
    </row>
    <row r="93" spans="1:12" ht="14.1" customHeight="1">
      <c r="A93" s="69">
        <f t="shared" si="4"/>
        <v>46226</v>
      </c>
      <c r="B93" s="70">
        <f>'CHICLETS MASTER S2'!A9</f>
        <v>0.46527777777777801</v>
      </c>
      <c r="C93" s="71" t="s">
        <v>218</v>
      </c>
      <c r="D93" s="71" t="str">
        <f t="shared" si="9"/>
        <v>CAPISTRANO VALLEY HS 2</v>
      </c>
      <c r="E93" s="71">
        <v>32</v>
      </c>
      <c r="F93" s="226" t="str">
        <f>E16</f>
        <v>M1(13)-SAN CLEMENTE BLACK</v>
      </c>
      <c r="G93" s="71">
        <v>16</v>
      </c>
      <c r="H93" s="226" t="str">
        <f>E18</f>
        <v>M3(45)-TROJAN GOLD</v>
      </c>
      <c r="I93" s="216">
        <v>2</v>
      </c>
      <c r="J93" s="71"/>
      <c r="K93" s="71"/>
      <c r="L93" s="71" t="str">
        <f t="shared" si="10"/>
        <v>12BX-032</v>
      </c>
    </row>
    <row r="94" spans="1:12" ht="14.1" customHeight="1">
      <c r="A94" s="69">
        <f t="shared" si="4"/>
        <v>46226</v>
      </c>
      <c r="B94" s="70">
        <f>'CHICLETS MASTER S2'!A10</f>
        <v>0.5</v>
      </c>
      <c r="C94" s="71" t="s">
        <v>218</v>
      </c>
      <c r="D94" s="71" t="str">
        <f t="shared" si="9"/>
        <v>CAPISTRANO VALLEY HS 2</v>
      </c>
      <c r="E94" s="71" t="s">
        <v>910</v>
      </c>
      <c r="F94" s="226" t="str">
        <f>E17</f>
        <v>M2(20)-ECA</v>
      </c>
      <c r="G94" s="71">
        <v>16</v>
      </c>
      <c r="H94" s="226" t="str">
        <f>E19</f>
        <v>M4-OCWPC RED</v>
      </c>
      <c r="I94" s="216">
        <v>5</v>
      </c>
      <c r="J94" s="71"/>
      <c r="K94" s="71"/>
      <c r="L94" s="71" t="str">
        <f t="shared" si="10"/>
        <v>12BX-32A</v>
      </c>
    </row>
    <row r="95" spans="1:12" ht="14.1" customHeight="1">
      <c r="A95" s="69">
        <f t="shared" si="4"/>
        <v>46226</v>
      </c>
      <c r="B95" s="70">
        <f>'CHICLETS MASTER S2'!A11</f>
        <v>0.53472222222222199</v>
      </c>
      <c r="C95" s="71" t="s">
        <v>218</v>
      </c>
      <c r="D95" s="71" t="str">
        <f t="shared" si="9"/>
        <v>CAPISTRANO VALLEY HS 2</v>
      </c>
      <c r="E95" s="71">
        <v>36</v>
      </c>
      <c r="F95" s="71" t="str">
        <f>D6</f>
        <v>D2(29)-908 BLUE</v>
      </c>
      <c r="G95" s="71">
        <v>15</v>
      </c>
      <c r="H95" s="71" t="str">
        <f>D7</f>
        <v>D3(36)-SD DONS GOLD</v>
      </c>
      <c r="I95" s="216">
        <v>7</v>
      </c>
      <c r="J95" s="71"/>
      <c r="K95" s="71"/>
      <c r="L95" s="71" t="str">
        <f t="shared" si="10"/>
        <v>12BX-036</v>
      </c>
    </row>
    <row r="96" spans="1:12" ht="14.1" customHeight="1">
      <c r="A96" s="69">
        <f t="shared" si="4"/>
        <v>46226</v>
      </c>
      <c r="B96" s="70">
        <f>'CHICLETS MASTER S2'!A12</f>
        <v>0.56944444444444497</v>
      </c>
      <c r="C96" s="71" t="s">
        <v>218</v>
      </c>
      <c r="D96" s="71" t="str">
        <f t="shared" si="9"/>
        <v>CAPISTRANO VALLEY HS 2</v>
      </c>
      <c r="E96" s="71">
        <v>41</v>
      </c>
      <c r="F96" s="71" t="str">
        <f>F16</f>
        <v>N1(14)-LAGUNA BEACH</v>
      </c>
      <c r="G96" s="71">
        <v>10.4</v>
      </c>
      <c r="H96" s="71" t="str">
        <f>F17</f>
        <v>N2(19)-SAN JOSE FOUNDATION BLACK</v>
      </c>
      <c r="I96" s="216">
        <v>10.199999999999999</v>
      </c>
      <c r="J96" s="71"/>
      <c r="K96" s="71"/>
      <c r="L96" s="71" t="str">
        <f t="shared" si="10"/>
        <v>12BX-041</v>
      </c>
    </row>
    <row r="97" spans="1:12" ht="14.1" customHeight="1">
      <c r="A97" s="69">
        <f t="shared" si="4"/>
        <v>46226</v>
      </c>
      <c r="B97" s="70">
        <f>'CHICLETS MASTER S2'!A13</f>
        <v>0.60416666666666696</v>
      </c>
      <c r="C97" s="71" t="s">
        <v>218</v>
      </c>
      <c r="D97" s="71" t="str">
        <f t="shared" si="9"/>
        <v>CAPISTRANO VALLEY HS 2</v>
      </c>
      <c r="E97" s="71">
        <v>46</v>
      </c>
      <c r="F97" s="71" t="str">
        <f>C5</f>
        <v>C1(3)-MISSION B</v>
      </c>
      <c r="G97" s="71">
        <v>21</v>
      </c>
      <c r="H97" s="71" t="str">
        <f>C6</f>
        <v>C2(30)-NORTH IRVINE RED</v>
      </c>
      <c r="I97" s="216">
        <v>1</v>
      </c>
      <c r="J97" s="71"/>
      <c r="K97" s="71"/>
      <c r="L97" s="71" t="str">
        <f t="shared" si="10"/>
        <v>12BX-046</v>
      </c>
    </row>
    <row r="98" spans="1:12" ht="14.1" customHeight="1">
      <c r="A98" s="69">
        <f t="shared" si="4"/>
        <v>46226</v>
      </c>
      <c r="B98" s="70">
        <f>'CHICLETS MASTER S2'!A14</f>
        <v>0.63888888888888895</v>
      </c>
      <c r="C98" s="71" t="s">
        <v>218</v>
      </c>
      <c r="D98" s="71" t="str">
        <f t="shared" si="9"/>
        <v>CAPISTRANO VALLEY HS 2</v>
      </c>
      <c r="E98" s="71">
        <v>51</v>
      </c>
      <c r="F98" s="226" t="str">
        <f>E16</f>
        <v>M1(13)-SAN CLEMENTE BLACK</v>
      </c>
      <c r="G98" s="71">
        <v>7</v>
      </c>
      <c r="H98" s="226" t="str">
        <f>E17</f>
        <v>M2(20)-ECA</v>
      </c>
      <c r="I98" s="216">
        <v>5</v>
      </c>
      <c r="J98" s="71"/>
      <c r="K98" s="71"/>
      <c r="L98" s="71" t="str">
        <f t="shared" si="10"/>
        <v>12BX-051</v>
      </c>
    </row>
    <row r="99" spans="1:12" ht="14.1" customHeight="1">
      <c r="A99" s="69">
        <f t="shared" si="4"/>
        <v>46226</v>
      </c>
      <c r="B99" s="70">
        <f>'CHICLETS MASTER S2'!A15</f>
        <v>0.67361111111111105</v>
      </c>
      <c r="C99" s="71" t="s">
        <v>218</v>
      </c>
      <c r="D99" s="71" t="str">
        <f t="shared" si="9"/>
        <v>CAPISTRANO VALLEY HS 2</v>
      </c>
      <c r="E99" s="71" t="s">
        <v>911</v>
      </c>
      <c r="F99" s="226" t="str">
        <f>E18</f>
        <v>M3(45)-TROJAN GOLD</v>
      </c>
      <c r="G99" s="71">
        <v>8</v>
      </c>
      <c r="H99" s="226" t="str">
        <f>E19</f>
        <v>M4-OCWPC RED</v>
      </c>
      <c r="I99" s="216">
        <v>9</v>
      </c>
      <c r="J99" s="71"/>
      <c r="K99" s="71"/>
      <c r="L99" s="71" t="str">
        <f t="shared" si="10"/>
        <v>12BX-51A</v>
      </c>
    </row>
    <row r="100" spans="1:12" ht="14.1" customHeight="1">
      <c r="A100" s="69">
        <f t="shared" si="4"/>
        <v>46226</v>
      </c>
      <c r="B100" s="70">
        <f>'CHICLETS MASTER S2'!A16</f>
        <v>0.70833333333333404</v>
      </c>
      <c r="C100" s="71" t="s">
        <v>218</v>
      </c>
      <c r="D100" s="71" t="str">
        <f t="shared" si="9"/>
        <v>CAPISTRANO VALLEY HS 2</v>
      </c>
      <c r="E100" s="71">
        <v>55</v>
      </c>
      <c r="F100" s="71" t="str">
        <f>D5</f>
        <v>D1(4)-OCWPC BLUE</v>
      </c>
      <c r="G100" s="71">
        <v>17</v>
      </c>
      <c r="H100" s="71" t="str">
        <f>D6</f>
        <v>D2(29)-908 BLUE</v>
      </c>
      <c r="I100" s="216">
        <v>2</v>
      </c>
      <c r="J100" s="71"/>
      <c r="K100" s="71"/>
      <c r="L100" s="71" t="str">
        <f t="shared" si="10"/>
        <v>12BX-055</v>
      </c>
    </row>
    <row r="101" spans="1:12">
      <c r="B101" s="199" t="s">
        <v>139</v>
      </c>
      <c r="I101" s="221"/>
    </row>
    <row r="102" spans="1:12">
      <c r="B102" s="199" t="s">
        <v>139</v>
      </c>
      <c r="I102" s="221"/>
    </row>
    <row r="103" spans="1:12" ht="14.1" customHeight="1">
      <c r="A103" s="69">
        <f t="shared" si="4"/>
        <v>46226</v>
      </c>
      <c r="B103" s="70">
        <f>'CHICLETS MASTER S2'!A19</f>
        <v>0.8125</v>
      </c>
      <c r="C103" s="71" t="s">
        <v>912</v>
      </c>
      <c r="D103" s="71" t="str">
        <f>$D$86</f>
        <v>CAPISTRANO VALLEY HS 2</v>
      </c>
      <c r="E103" s="71">
        <v>60</v>
      </c>
      <c r="F103" s="207" t="s">
        <v>913</v>
      </c>
      <c r="G103" s="206">
        <v>7</v>
      </c>
      <c r="H103" s="204" t="s">
        <v>914</v>
      </c>
      <c r="I103" s="217">
        <v>4</v>
      </c>
      <c r="J103" s="218" t="s">
        <v>915</v>
      </c>
      <c r="K103" s="219" t="s">
        <v>916</v>
      </c>
      <c r="L103" s="71" t="str">
        <f t="shared" si="10"/>
        <v>12BX-060</v>
      </c>
    </row>
    <row r="104" spans="1:12" ht="14.1" customHeight="1">
      <c r="A104" s="69">
        <f t="shared" si="4"/>
        <v>46226</v>
      </c>
      <c r="B104" s="70">
        <f>'CHICLETS MASTER S2'!A20</f>
        <v>0.84722222222222199</v>
      </c>
      <c r="C104" s="71" t="s">
        <v>917</v>
      </c>
      <c r="D104" s="71" t="str">
        <f>$D$86</f>
        <v>CAPISTRANO VALLEY HS 2</v>
      </c>
      <c r="E104" s="71">
        <v>63</v>
      </c>
      <c r="F104" s="204" t="s">
        <v>918</v>
      </c>
      <c r="G104" s="204">
        <v>13</v>
      </c>
      <c r="H104" s="204" t="s">
        <v>919</v>
      </c>
      <c r="I104" s="217">
        <v>7</v>
      </c>
      <c r="J104" s="218" t="s">
        <v>920</v>
      </c>
      <c r="K104" s="219" t="s">
        <v>921</v>
      </c>
      <c r="L104" s="71" t="str">
        <f t="shared" si="10"/>
        <v>12BX-063</v>
      </c>
    </row>
    <row r="105" spans="1:12" ht="17.25" thickBot="1"/>
    <row r="106" spans="1:12" ht="14.1" customHeight="1" thickBot="1">
      <c r="A106" s="210"/>
      <c r="B106" s="211"/>
      <c r="C106" s="199"/>
      <c r="D106" s="212" t="str">
        <f>'CHICLETS MASTER S2'!$G$3</f>
        <v>TUSTIN HS 2</v>
      </c>
      <c r="E106" s="199"/>
      <c r="I106" s="199"/>
      <c r="J106" s="199"/>
      <c r="K106" s="199"/>
      <c r="L106" s="199"/>
    </row>
    <row r="107" spans="1:12" ht="14.1" customHeight="1">
      <c r="A107" s="214" t="s">
        <v>124</v>
      </c>
      <c r="B107" s="214" t="s">
        <v>125</v>
      </c>
      <c r="C107" s="214" t="s">
        <v>126</v>
      </c>
      <c r="D107" s="214" t="s">
        <v>127</v>
      </c>
      <c r="E107" s="214" t="s">
        <v>128</v>
      </c>
      <c r="F107" s="214" t="s">
        <v>129</v>
      </c>
      <c r="G107" s="214" t="s">
        <v>130</v>
      </c>
      <c r="H107" s="214" t="s">
        <v>131</v>
      </c>
      <c r="I107" s="214" t="s">
        <v>130</v>
      </c>
      <c r="J107" s="214" t="s">
        <v>132</v>
      </c>
      <c r="K107" s="214" t="s">
        <v>133</v>
      </c>
      <c r="L107" s="214" t="s">
        <v>134</v>
      </c>
    </row>
    <row r="108" spans="1:12" ht="14.1" customHeight="1">
      <c r="A108" s="69">
        <f t="shared" si="4"/>
        <v>46226</v>
      </c>
      <c r="B108" s="70">
        <f>'CHICLETS MASTER S2'!A4</f>
        <v>0.29166666666666669</v>
      </c>
      <c r="C108" s="71" t="s">
        <v>218</v>
      </c>
      <c r="D108" s="71" t="str">
        <f t="shared" ref="D108:D121" si="11">$D$106</f>
        <v>TUSTIN HS 2</v>
      </c>
      <c r="E108" s="71">
        <v>13</v>
      </c>
      <c r="F108" s="226" t="str">
        <f>E16</f>
        <v>M1(13)-SAN CLEMENTE BLACK</v>
      </c>
      <c r="G108" s="71">
        <v>21</v>
      </c>
      <c r="H108" s="226" t="str">
        <f>E19</f>
        <v>M4-OCWPC RED</v>
      </c>
      <c r="I108" s="216">
        <v>7</v>
      </c>
      <c r="J108" s="71"/>
      <c r="K108" s="71"/>
      <c r="L108" s="71" t="str">
        <f>IF(E108="","",$L$66&amp;"-"&amp;TEXT(E108,"000"))</f>
        <v>12BX-013</v>
      </c>
    </row>
    <row r="109" spans="1:12" ht="14.1" customHeight="1">
      <c r="A109" s="69">
        <f t="shared" si="4"/>
        <v>46226</v>
      </c>
      <c r="B109" s="70">
        <f>'CHICLETS MASTER S2'!A5</f>
        <v>0.3263888888888889</v>
      </c>
      <c r="C109" s="71" t="s">
        <v>218</v>
      </c>
      <c r="D109" s="71" t="str">
        <f t="shared" si="11"/>
        <v>TUSTIN HS 2</v>
      </c>
      <c r="E109" s="71" t="s">
        <v>922</v>
      </c>
      <c r="F109" s="226" t="str">
        <f>E17</f>
        <v>M2(20)-ECA</v>
      </c>
      <c r="G109" s="71">
        <v>15</v>
      </c>
      <c r="H109" s="226" t="str">
        <f>E18</f>
        <v>M3(45)-TROJAN GOLD</v>
      </c>
      <c r="I109" s="216">
        <v>8</v>
      </c>
      <c r="J109" s="71"/>
      <c r="K109" s="71"/>
      <c r="L109" s="71" t="str">
        <f>IF(E109="","",$L$66&amp;"-"&amp;TEXT(E109,"000"))</f>
        <v>12BX-13A</v>
      </c>
    </row>
    <row r="110" spans="1:12" ht="14.1" customHeight="1">
      <c r="A110" s="69">
        <f t="shared" si="4"/>
        <v>46226</v>
      </c>
      <c r="B110" s="70">
        <f>'CHICLETS MASTER S2'!A6</f>
        <v>0.36111111111111099</v>
      </c>
      <c r="C110" s="71" t="s">
        <v>218</v>
      </c>
      <c r="D110" s="71" t="str">
        <f t="shared" si="11"/>
        <v>TUSTIN HS 2</v>
      </c>
      <c r="E110" s="71">
        <v>4</v>
      </c>
      <c r="F110" s="71" t="str">
        <f>C17</f>
        <v>K2(22)-PATRIOT RED</v>
      </c>
      <c r="G110" s="71">
        <v>18</v>
      </c>
      <c r="H110" s="71" t="str">
        <f>C18</f>
        <v>K3(43)-680 DRIVERS</v>
      </c>
      <c r="I110" s="216">
        <v>0</v>
      </c>
      <c r="J110" s="71"/>
      <c r="K110" s="71"/>
      <c r="L110" s="71" t="str">
        <f t="shared" ref="L110:L124" si="12">IF(E110="","",$L$66&amp;"-"&amp;TEXT(E110,"000"))</f>
        <v>12BX-004</v>
      </c>
    </row>
    <row r="111" spans="1:12" ht="14.1" customHeight="1">
      <c r="A111" s="69">
        <f t="shared" si="4"/>
        <v>46226</v>
      </c>
      <c r="B111" s="70">
        <f>'CHICLETS MASTER S2'!A7</f>
        <v>0.39583333333333398</v>
      </c>
      <c r="C111" s="71" t="s">
        <v>218</v>
      </c>
      <c r="D111" s="71" t="str">
        <f t="shared" si="11"/>
        <v>TUSTIN HS 2</v>
      </c>
      <c r="E111" s="71">
        <v>9</v>
      </c>
      <c r="F111" s="71" t="str">
        <f>C16</f>
        <v>K1(11)-CHAWP</v>
      </c>
      <c r="G111" s="71">
        <v>17</v>
      </c>
      <c r="H111" s="71" t="str">
        <f>C19</f>
        <v>K4(49)-FOOTHILL BLACK</v>
      </c>
      <c r="I111" s="216">
        <v>12</v>
      </c>
      <c r="J111" s="71"/>
      <c r="K111" s="71"/>
      <c r="L111" s="71" t="str">
        <f t="shared" si="12"/>
        <v>12BX-009</v>
      </c>
    </row>
    <row r="112" spans="1:12" ht="14.1" customHeight="1">
      <c r="A112" s="69">
        <f t="shared" si="4"/>
        <v>46226</v>
      </c>
      <c r="B112" s="70">
        <f>'CHICLETS MASTER S2'!A8</f>
        <v>0.43055555555555602</v>
      </c>
      <c r="C112" s="71" t="s">
        <v>218</v>
      </c>
      <c r="D112" s="71" t="str">
        <f t="shared" si="11"/>
        <v>TUSTIN HS 2</v>
      </c>
      <c r="E112" s="71">
        <v>14</v>
      </c>
      <c r="F112" s="71" t="str">
        <f>F6</f>
        <v>F2(27)-LA JOLLA UNITED B</v>
      </c>
      <c r="G112" s="71">
        <v>10</v>
      </c>
      <c r="H112" s="71" t="str">
        <f>F7</f>
        <v>F3(38)-SHAQ WHITE</v>
      </c>
      <c r="I112" s="216">
        <v>1</v>
      </c>
      <c r="J112" s="71"/>
      <c r="K112" s="71"/>
      <c r="L112" s="71" t="str">
        <f t="shared" si="12"/>
        <v>12BX-014</v>
      </c>
    </row>
    <row r="113" spans="1:12" ht="14.1" customHeight="1">
      <c r="A113" s="69">
        <f t="shared" si="4"/>
        <v>46226</v>
      </c>
      <c r="B113" s="70">
        <f>'CHICLETS MASTER S2'!A9</f>
        <v>0.46527777777777801</v>
      </c>
      <c r="C113" s="71" t="s">
        <v>218</v>
      </c>
      <c r="D113" s="71" t="str">
        <f t="shared" si="11"/>
        <v>TUSTIN HS 2</v>
      </c>
      <c r="E113" s="71">
        <v>18</v>
      </c>
      <c r="F113" s="71" t="str">
        <f>F5</f>
        <v>F1(6)-CMAC</v>
      </c>
      <c r="G113" s="71">
        <v>10</v>
      </c>
      <c r="H113" s="71" t="str">
        <f>F8</f>
        <v>F4(50)-PUNAHOU</v>
      </c>
      <c r="I113" s="216">
        <v>6</v>
      </c>
      <c r="J113" s="71"/>
      <c r="K113" s="71"/>
      <c r="L113" s="71" t="str">
        <f t="shared" si="12"/>
        <v>12BX-018</v>
      </c>
    </row>
    <row r="114" spans="1:12" ht="14.1" customHeight="1">
      <c r="A114" s="69">
        <f t="shared" si="4"/>
        <v>46226</v>
      </c>
      <c r="B114" s="70">
        <f>'CHICLETS MASTER S2'!A10</f>
        <v>0.5</v>
      </c>
      <c r="C114" s="71" t="s">
        <v>218</v>
      </c>
      <c r="D114" s="71" t="str">
        <f t="shared" si="11"/>
        <v>TUSTIN HS 2</v>
      </c>
      <c r="E114" s="71">
        <v>23</v>
      </c>
      <c r="F114" s="71" t="str">
        <f>C16</f>
        <v>K1(11)-CHAWP</v>
      </c>
      <c r="G114" s="71">
        <v>16</v>
      </c>
      <c r="H114" s="71" t="str">
        <f>C18</f>
        <v>K3(43)-680 DRIVERS</v>
      </c>
      <c r="I114" s="216">
        <v>5</v>
      </c>
      <c r="J114" s="71"/>
      <c r="K114" s="71"/>
      <c r="L114" s="71" t="str">
        <f t="shared" si="12"/>
        <v>12BX-023</v>
      </c>
    </row>
    <row r="115" spans="1:12" ht="14.1" customHeight="1">
      <c r="A115" s="69">
        <f t="shared" si="4"/>
        <v>46226</v>
      </c>
      <c r="B115" s="70">
        <f>'CHICLETS MASTER S2'!A11</f>
        <v>0.53472222222222199</v>
      </c>
      <c r="C115" s="71" t="s">
        <v>218</v>
      </c>
      <c r="D115" s="71" t="str">
        <f t="shared" si="11"/>
        <v>TUSTIN HS 2</v>
      </c>
      <c r="E115" s="71">
        <v>28</v>
      </c>
      <c r="F115" s="71" t="str">
        <f>C17</f>
        <v>K2(22)-PATRIOT RED</v>
      </c>
      <c r="G115" s="71">
        <v>21</v>
      </c>
      <c r="H115" s="71" t="str">
        <f>C19</f>
        <v>K4(49)-FOOTHILL BLACK</v>
      </c>
      <c r="I115" s="216">
        <v>1</v>
      </c>
      <c r="J115" s="71"/>
      <c r="K115" s="71"/>
      <c r="L115" s="71" t="str">
        <f t="shared" si="12"/>
        <v>12BX-028</v>
      </c>
    </row>
    <row r="116" spans="1:12" ht="14.1" customHeight="1">
      <c r="A116" s="69">
        <f t="shared" si="4"/>
        <v>46226</v>
      </c>
      <c r="B116" s="70">
        <f>'CHICLETS MASTER S2'!A12</f>
        <v>0.56944444444444497</v>
      </c>
      <c r="C116" s="71" t="s">
        <v>218</v>
      </c>
      <c r="D116" s="71" t="str">
        <f t="shared" si="11"/>
        <v>TUSTIN HS 2</v>
      </c>
      <c r="E116" s="71">
        <v>33</v>
      </c>
      <c r="F116" s="71" t="str">
        <f>F5</f>
        <v>F1(6)-CMAC</v>
      </c>
      <c r="G116" s="71">
        <v>20</v>
      </c>
      <c r="H116" s="71" t="str">
        <f>F7</f>
        <v>F3(38)-SHAQ WHITE</v>
      </c>
      <c r="I116" s="216">
        <v>2</v>
      </c>
      <c r="J116" s="71"/>
      <c r="K116" s="71"/>
      <c r="L116" s="71" t="str">
        <f t="shared" si="12"/>
        <v>12BX-033</v>
      </c>
    </row>
    <row r="117" spans="1:12" ht="14.1" customHeight="1">
      <c r="A117" s="69">
        <f t="shared" si="0"/>
        <v>46226</v>
      </c>
      <c r="B117" s="70">
        <f>'CHICLETS MASTER S2'!A13</f>
        <v>0.60416666666666696</v>
      </c>
      <c r="C117" s="71" t="s">
        <v>218</v>
      </c>
      <c r="D117" s="71" t="str">
        <f t="shared" si="11"/>
        <v>TUSTIN HS 2</v>
      </c>
      <c r="E117" s="71">
        <v>37</v>
      </c>
      <c r="F117" s="71" t="str">
        <f>F6</f>
        <v>F2(27)-LA JOLLA UNITED B</v>
      </c>
      <c r="G117" s="71">
        <v>11</v>
      </c>
      <c r="H117" s="71" t="str">
        <f>F8</f>
        <v>F4(50)-PUNAHOU</v>
      </c>
      <c r="I117" s="216">
        <v>7</v>
      </c>
      <c r="J117" s="71"/>
      <c r="K117" s="71"/>
      <c r="L117" s="71" t="str">
        <f t="shared" si="12"/>
        <v>12BX-037</v>
      </c>
    </row>
    <row r="118" spans="1:12" ht="14.1" customHeight="1">
      <c r="A118" s="69">
        <f t="shared" si="0"/>
        <v>46226</v>
      </c>
      <c r="B118" s="70">
        <f>'CHICLETS MASTER S2'!A14</f>
        <v>0.63888888888888895</v>
      </c>
      <c r="C118" s="71" t="s">
        <v>218</v>
      </c>
      <c r="D118" s="71" t="str">
        <f t="shared" si="11"/>
        <v>TUSTIN HS 2</v>
      </c>
      <c r="E118" s="71">
        <v>42</v>
      </c>
      <c r="F118" s="71" t="str">
        <f>C16</f>
        <v>K1(11)-CHAWP</v>
      </c>
      <c r="G118" s="71">
        <v>6</v>
      </c>
      <c r="H118" s="71" t="str">
        <f>C17</f>
        <v>K2(22)-PATRIOT RED</v>
      </c>
      <c r="I118" s="216">
        <v>5</v>
      </c>
      <c r="J118" s="71"/>
      <c r="K118" s="71"/>
      <c r="L118" s="71" t="str">
        <f t="shared" si="12"/>
        <v>12BX-042</v>
      </c>
    </row>
    <row r="119" spans="1:12" ht="14.1" customHeight="1">
      <c r="A119" s="69">
        <f t="shared" si="0"/>
        <v>46226</v>
      </c>
      <c r="B119" s="70">
        <f>'CHICLETS MASTER S2'!A15</f>
        <v>0.67361111111111105</v>
      </c>
      <c r="C119" s="71" t="s">
        <v>218</v>
      </c>
      <c r="D119" s="71" t="str">
        <f t="shared" si="11"/>
        <v>TUSTIN HS 2</v>
      </c>
      <c r="E119" s="71">
        <v>47</v>
      </c>
      <c r="F119" s="71" t="str">
        <f>C18</f>
        <v>K3(43)-680 DRIVERS</v>
      </c>
      <c r="G119" s="71">
        <v>8.4</v>
      </c>
      <c r="H119" s="71" t="str">
        <f>C19</f>
        <v>K4(49)-FOOTHILL BLACK</v>
      </c>
      <c r="I119" s="216">
        <v>8.3000000000000007</v>
      </c>
      <c r="J119" s="71"/>
      <c r="K119" s="71"/>
      <c r="L119" s="227" t="str">
        <f t="shared" si="12"/>
        <v>12BX-047</v>
      </c>
    </row>
    <row r="120" spans="1:12" ht="14.1" customHeight="1">
      <c r="A120" s="69">
        <f t="shared" si="0"/>
        <v>46226</v>
      </c>
      <c r="B120" s="70">
        <f>'CHICLETS MASTER S2'!A16</f>
        <v>0.70833333333333404</v>
      </c>
      <c r="C120" s="71" t="s">
        <v>218</v>
      </c>
      <c r="D120" s="71" t="str">
        <f t="shared" si="11"/>
        <v>TUSTIN HS 2</v>
      </c>
      <c r="E120" s="71">
        <v>52</v>
      </c>
      <c r="F120" s="71" t="str">
        <f>F5</f>
        <v>F1(6)-CMAC</v>
      </c>
      <c r="G120" s="71">
        <v>5.5</v>
      </c>
      <c r="H120" s="71" t="str">
        <f>F6</f>
        <v>F2(27)-LA JOLLA UNITED B</v>
      </c>
      <c r="I120" s="216">
        <v>5.4</v>
      </c>
      <c r="J120" s="71"/>
      <c r="K120" s="71"/>
      <c r="L120" s="227" t="str">
        <f t="shared" si="12"/>
        <v>12BX-052</v>
      </c>
    </row>
    <row r="121" spans="1:12" ht="14.1" customHeight="1">
      <c r="A121" s="69">
        <f t="shared" si="0"/>
        <v>46226</v>
      </c>
      <c r="B121" s="70">
        <f>'CHICLETS MASTER S2'!A17</f>
        <v>0.74305555555555602</v>
      </c>
      <c r="C121" s="71" t="s">
        <v>218</v>
      </c>
      <c r="D121" s="71" t="str">
        <f t="shared" si="11"/>
        <v>TUSTIN HS 2</v>
      </c>
      <c r="E121" s="71">
        <v>56</v>
      </c>
      <c r="F121" s="71" t="str">
        <f>F7</f>
        <v>F3(38)-SHAQ WHITE</v>
      </c>
      <c r="G121" s="71">
        <v>12</v>
      </c>
      <c r="H121" s="71" t="str">
        <f>F8</f>
        <v>F4(50)-PUNAHOU</v>
      </c>
      <c r="I121" s="216">
        <v>16</v>
      </c>
      <c r="J121" s="71"/>
      <c r="K121" s="71"/>
      <c r="L121" s="71" t="str">
        <f t="shared" si="12"/>
        <v>12BX-056</v>
      </c>
    </row>
    <row r="122" spans="1:12">
      <c r="B122" s="199" t="s">
        <v>139</v>
      </c>
    </row>
    <row r="123" spans="1:12" ht="14.1" customHeight="1">
      <c r="B123" s="199" t="s">
        <v>139</v>
      </c>
      <c r="G123" s="200"/>
      <c r="L123" s="200" t="str">
        <f t="shared" si="12"/>
        <v/>
      </c>
    </row>
    <row r="124" spans="1:12" ht="14.1" customHeight="1">
      <c r="A124" s="69">
        <f t="shared" si="0"/>
        <v>46226</v>
      </c>
      <c r="B124" s="70">
        <f>'CHICLETS MASTER S2'!A20</f>
        <v>0.84722222222222199</v>
      </c>
      <c r="C124" s="67" t="s">
        <v>923</v>
      </c>
      <c r="D124" s="71" t="str">
        <f>$D$106</f>
        <v>TUSTIN HS 2</v>
      </c>
      <c r="E124" s="71">
        <v>64</v>
      </c>
      <c r="F124" s="71" t="s">
        <v>924</v>
      </c>
      <c r="G124" s="73">
        <v>10</v>
      </c>
      <c r="H124" s="71" t="s">
        <v>925</v>
      </c>
      <c r="I124" s="217">
        <v>4</v>
      </c>
      <c r="J124" s="218" t="s">
        <v>926</v>
      </c>
      <c r="K124" s="219" t="s">
        <v>927</v>
      </c>
      <c r="L124" s="71" t="str">
        <f t="shared" si="12"/>
        <v>12BX-064</v>
      </c>
    </row>
    <row r="126" spans="1:12" ht="14.1" customHeight="1"/>
    <row r="127" spans="1:12" ht="14.1" customHeight="1">
      <c r="A127" s="228" t="s">
        <v>928</v>
      </c>
      <c r="B127" s="228" t="s">
        <v>929</v>
      </c>
      <c r="C127" s="228" t="s">
        <v>930</v>
      </c>
      <c r="D127" s="228" t="s">
        <v>931</v>
      </c>
      <c r="F127" s="200" t="s">
        <v>932</v>
      </c>
    </row>
    <row r="128" spans="1:12" ht="14.1" customHeight="1">
      <c r="A128" s="81" t="s">
        <v>933</v>
      </c>
      <c r="B128" s="81" t="s">
        <v>934</v>
      </c>
      <c r="C128" s="81" t="s">
        <v>935</v>
      </c>
      <c r="D128" s="81" t="s">
        <v>936</v>
      </c>
      <c r="E128" s="204" t="s">
        <v>821</v>
      </c>
      <c r="F128" s="204"/>
      <c r="G128" s="204" t="s">
        <v>823</v>
      </c>
      <c r="H128" s="204"/>
      <c r="I128" s="67" t="s">
        <v>822</v>
      </c>
    </row>
    <row r="129" spans="1:9" ht="14.1" customHeight="1">
      <c r="A129" s="81" t="s">
        <v>937</v>
      </c>
      <c r="B129" s="81" t="s">
        <v>938</v>
      </c>
      <c r="C129" s="81" t="s">
        <v>939</v>
      </c>
      <c r="D129" s="81" t="s">
        <v>940</v>
      </c>
      <c r="E129" s="207" t="s">
        <v>826</v>
      </c>
      <c r="F129" s="206"/>
      <c r="G129" s="204" t="s">
        <v>828</v>
      </c>
      <c r="H129" s="204"/>
      <c r="I129" s="67" t="s">
        <v>827</v>
      </c>
    </row>
    <row r="130" spans="1:9" ht="14.1" customHeight="1">
      <c r="A130" s="229" t="str">
        <f>IF(G104="","ag_M3(W63)",IF(G104&gt;I104,_xlfn.CONCAT("ag_M3(W63)-",RIGHT(F104,LEN(F104) - FIND("-",F104))), _xlfn.CONCAT("ag_M3(W63)-",RIGHT(H104,LEN(H104) - FIND("-",H104)))))</f>
        <v>ag_M3(W63)-ECA</v>
      </c>
      <c r="B130" s="229" t="str">
        <f>IF(G103="","ag_N3(W60)",IF(G103&gt;I103,_xlfn.CONCAT("ag_N3(W60)-",RIGHT(F103,LEN(F103) - FIND("-",F103))), _xlfn.CONCAT("ag_N3(W60)-",RIGHT(H103,LEN(H103) - FIND("-",H103)))))</f>
        <v>ag_N3(W60)-SAN JOSE FOUNDATION BLACK</v>
      </c>
      <c r="C130" s="229" t="str">
        <f>IF(G83="","ag_O3(W62)",IF(G83&gt;I83,_xlfn.CONCAT("ag_O3(W62)-",RIGHT(F83,LEN(F83) - FIND("-",F83))), _xlfn.CONCAT("ag_O3(W62)-",RIGHT(H83,LEN(H83) - FIND("-",H83)))))</f>
        <v>ag_O3(W62)-LB SHORE</v>
      </c>
      <c r="D130" s="229" t="str">
        <f>IF(G82="","ag_P3(W59)",IF(G82&gt;I82,_xlfn.CONCAT("ag_P3(W59)-",RIGHT(F82,LEN(F82) - FIND("-",F82))), _xlfn.CONCAT("ag_P3(W59)-",RIGHT(H82,LEN(H82) - FIND("-",H82)))))</f>
        <v xml:space="preserve">ag_P3(W59)-CIU BLACK	</v>
      </c>
      <c r="E130" s="207" t="s">
        <v>829</v>
      </c>
      <c r="F130" s="206"/>
      <c r="G130" s="204" t="s">
        <v>831</v>
      </c>
      <c r="H130" s="204"/>
      <c r="I130" s="67" t="s">
        <v>830</v>
      </c>
    </row>
    <row r="131" spans="1:9" ht="14.1" customHeight="1">
      <c r="E131" s="204" t="s">
        <v>838</v>
      </c>
      <c r="F131" s="204"/>
      <c r="G131" s="204" t="s">
        <v>840</v>
      </c>
      <c r="H131" s="204"/>
      <c r="I131" s="67" t="s">
        <v>839</v>
      </c>
    </row>
    <row r="132" spans="1:9" ht="14.1" customHeight="1">
      <c r="A132" s="228" t="s">
        <v>941</v>
      </c>
      <c r="B132" s="228" t="s">
        <v>942</v>
      </c>
      <c r="C132" s="228" t="s">
        <v>943</v>
      </c>
      <c r="D132" s="228" t="s">
        <v>944</v>
      </c>
      <c r="E132" s="204" t="s">
        <v>849</v>
      </c>
      <c r="F132" s="204"/>
      <c r="G132" s="204" t="s">
        <v>851</v>
      </c>
      <c r="H132" s="204"/>
      <c r="I132" s="67" t="s">
        <v>850</v>
      </c>
    </row>
    <row r="133" spans="1:9" ht="14.1" customHeight="1">
      <c r="A133" s="81" t="s">
        <v>945</v>
      </c>
      <c r="B133" s="81" t="s">
        <v>946</v>
      </c>
      <c r="C133" s="81" t="s">
        <v>947</v>
      </c>
      <c r="D133" s="81" t="s">
        <v>948</v>
      </c>
      <c r="E133" s="204" t="s">
        <v>860</v>
      </c>
      <c r="F133" s="204"/>
      <c r="G133" s="204" t="s">
        <v>862</v>
      </c>
      <c r="H133" s="204"/>
      <c r="I133" s="67" t="s">
        <v>861</v>
      </c>
    </row>
    <row r="134" spans="1:9" ht="14.1" customHeight="1">
      <c r="A134" s="81" t="s">
        <v>949</v>
      </c>
      <c r="B134" s="206" t="s">
        <v>950</v>
      </c>
      <c r="C134" s="204" t="s">
        <v>951</v>
      </c>
      <c r="D134" s="81" t="s">
        <v>952</v>
      </c>
      <c r="E134" s="204" t="s">
        <v>871</v>
      </c>
      <c r="F134" s="204"/>
      <c r="G134" s="204" t="s">
        <v>873</v>
      </c>
      <c r="H134" s="204"/>
      <c r="I134" s="67" t="s">
        <v>872</v>
      </c>
    </row>
    <row r="135" spans="1:9" ht="14.1" customHeight="1">
      <c r="A135" s="229" t="str">
        <f>IF(G62="","ag_R3(W58)",IF(G62&gt;I62,_xlfn.CONCAT("ag_R3(W58)-",RIGHT(F62,LEN(F62) - FIND("-",F62))), _xlfn.CONCAT("ag_R3(W58)-",RIGHT(H62,LEN(H62) - FIND("-",H62)))))</f>
        <v>ag_R3(W58)-CIU GOLD</v>
      </c>
      <c r="B135" s="229" t="str">
        <f>IF(G63="","ag_S3(W65)",IF(G63&gt;I63,_xlfn.CONCAT("ag_S3(W65)-",RIGHT(F63,LEN(F63) - FIND("-",F63))), _xlfn.CONCAT("ag_S3(W65)-",RIGHT(H63,LEN(H63) - FIND("-",H63)))))</f>
        <v>ag_S3(W65)-ASPHALT GREEN</v>
      </c>
      <c r="C135" s="229" t="str">
        <f>IF(G124="","ag_T3(W64)",IF(G124&gt;I124,_xlfn.CONCAT("ag_T3(W64)-",RIGHT(F124,LEN(F124) - FIND("-",F124))), _xlfn.CONCAT("ag_T3(W64)-",RIGHT(H124,LEN(H124) - FIND("-",H124)))))</f>
        <v>ag_T3(W64)-PATRIOT RED</v>
      </c>
      <c r="D135" s="229" t="str">
        <f>IF(G43="","ag_U3(W61)",IF(G43&gt;I43,_xlfn.CONCAT("ag_U3(W61)-",RIGHT(F43,LEN(F43) - FIND("-",F43))), _xlfn.CONCAT("ag_U3(W61)-",RIGHT(H43,LEN(H43) - FIND("-",H43)))))</f>
        <v>ag_U3(W61)-NORCAL BLACK</v>
      </c>
      <c r="E135" s="204" t="s">
        <v>877</v>
      </c>
      <c r="F135" s="204"/>
      <c r="G135" s="204" t="s">
        <v>879</v>
      </c>
      <c r="H135" s="204"/>
      <c r="I135" s="67" t="s">
        <v>878</v>
      </c>
    </row>
    <row r="136" spans="1:9" ht="14.1" customHeight="1">
      <c r="A136" s="69"/>
      <c r="B136" s="211"/>
      <c r="C136" s="71"/>
      <c r="D136" s="71"/>
    </row>
    <row r="137" spans="1:9" ht="14.1" customHeight="1">
      <c r="A137" s="69"/>
      <c r="B137" s="70"/>
      <c r="C137" s="71"/>
      <c r="D137" s="71"/>
    </row>
    <row r="138" spans="1:9" ht="14.1" customHeight="1">
      <c r="A138" s="88" t="s">
        <v>953</v>
      </c>
      <c r="B138" s="88" t="s">
        <v>954</v>
      </c>
      <c r="C138" s="88" t="s">
        <v>955</v>
      </c>
      <c r="D138" s="88" t="s">
        <v>956</v>
      </c>
      <c r="E138" s="228" t="s">
        <v>928</v>
      </c>
      <c r="F138" s="228" t="s">
        <v>929</v>
      </c>
      <c r="G138" s="228" t="s">
        <v>930</v>
      </c>
      <c r="H138" s="228" t="s">
        <v>931</v>
      </c>
    </row>
    <row r="139" spans="1:9" ht="14.1" customHeight="1">
      <c r="A139" s="230" t="str">
        <f>IF(G62="","bz_M1(L58)",IF(G62&lt;I62,_xlfn.CONCAT("bz_M1(L58)-",RIGHT(F62,LEN(F62) - FIND("-",F62))), _xlfn.CONCAT("bz_M1(L58)-",RIGHT(H62,LEN(H62) - FIND("-",H62)))))</f>
        <v>bz_M1(L58)-CARLSBAD B</v>
      </c>
      <c r="B139" s="230" t="str">
        <f>IF(G63="","bz_N1(L65)",IF(G63&lt;I63,_xlfn.CONCAT("bz_N1(L65)-",RIGHT(F63,LEN(F63) - FIND("-",F63))), _xlfn.CONCAT("bz_N1(L65)-",RIGHT(H63,LEN(H63) - FIND("-",H63)))))</f>
        <v>bz_N1(L65)-LAMORINDA B</v>
      </c>
      <c r="C139" s="230" t="str">
        <f>IF(G124="","bz_O1(L64)",IF(G124&lt;I124,_xlfn.CONCAT("bz_O1(L64)-",RIGHT(F124,LEN(F124) - FIND("-",F124))), _xlfn.CONCAT("bz_O1(L64)-",RIGHT(H124,LEN(H124) - FIND("-",H124)))))</f>
        <v>bz_O1(L64)-LA JOLLA UNITED B</v>
      </c>
      <c r="D139" s="230" t="str">
        <f>IF(G43="","bz_P1(L61)",IF(G43&lt;I43,_xlfn.CONCAT("bz_P1(L61)-",RIGHT(F43,LEN(F43) - FIND("-",F43))), _xlfn.CONCAT("bz_P1(L61)-",RIGHT(H43,LEN(H43) - FIND("-",H43)))))</f>
        <v>bz_P1(L61)-680 WHITE</v>
      </c>
      <c r="E139" s="200">
        <v>1</v>
      </c>
      <c r="F139" s="200">
        <v>2</v>
      </c>
      <c r="G139" s="213">
        <v>3</v>
      </c>
      <c r="H139" s="200">
        <v>4</v>
      </c>
    </row>
    <row r="140" spans="1:9" ht="14.1" customHeight="1">
      <c r="A140" s="231" t="s">
        <v>957</v>
      </c>
      <c r="B140" s="231" t="s">
        <v>958</v>
      </c>
      <c r="C140" s="231" t="s">
        <v>959</v>
      </c>
      <c r="D140" s="231" t="s">
        <v>960</v>
      </c>
      <c r="E140" s="200">
        <v>16</v>
      </c>
      <c r="F140" s="200">
        <v>15</v>
      </c>
      <c r="G140" s="213">
        <v>14</v>
      </c>
      <c r="H140" s="200">
        <v>13</v>
      </c>
    </row>
    <row r="141" spans="1:9">
      <c r="A141" s="231" t="s">
        <v>961</v>
      </c>
      <c r="B141" s="231" t="s">
        <v>962</v>
      </c>
      <c r="C141" s="231" t="s">
        <v>963</v>
      </c>
      <c r="D141" s="231" t="s">
        <v>964</v>
      </c>
    </row>
    <row r="142" spans="1:9">
      <c r="D142" s="232" t="s">
        <v>965</v>
      </c>
    </row>
    <row r="143" spans="1:9">
      <c r="E143" s="228" t="s">
        <v>941</v>
      </c>
      <c r="F143" s="228" t="s">
        <v>942</v>
      </c>
      <c r="G143" s="228" t="s">
        <v>943</v>
      </c>
      <c r="H143" s="228" t="s">
        <v>944</v>
      </c>
    </row>
    <row r="144" spans="1:9" ht="14.1" customHeight="1">
      <c r="A144" s="88" t="s">
        <v>966</v>
      </c>
      <c r="B144" s="88" t="s">
        <v>967</v>
      </c>
      <c r="C144" s="88" t="s">
        <v>968</v>
      </c>
      <c r="D144" s="88" t="s">
        <v>969</v>
      </c>
      <c r="E144" s="200">
        <v>5</v>
      </c>
      <c r="F144" s="200">
        <v>6</v>
      </c>
      <c r="G144" s="213">
        <v>7</v>
      </c>
      <c r="H144" s="200">
        <v>8</v>
      </c>
    </row>
    <row r="145" spans="1:14" ht="14.1" customHeight="1">
      <c r="A145" s="230" t="str">
        <f>IF(G104="","bz_R1(L63)",IF(G104&lt;I104,_xlfn.CONCAT("bz_R1(L63)-",RIGHT(F104,LEN(F104) - FIND("-",F104))), _xlfn.CONCAT("bz_R1(L63)-",RIGHT(H104,LEN(H104) - FIND("-",H104)))))</f>
        <v>bz_R1(L63)-908 BLUE</v>
      </c>
      <c r="B145" s="230" t="str">
        <f>IF(G103="","bz_S1(L60)",IF(G103&lt;I103,_xlfn.CONCAT("bz_S1(L60)-",RIGHT(F103,LEN(F103) - FIND("-",F103))), _xlfn.CONCAT("bz_S1(L60)-",RIGHT(H103,LEN(H103) - FIND("-",H103)))))</f>
        <v>bz_S1(L60)-NORTH IRVINE RED</v>
      </c>
      <c r="C145" s="230" t="str">
        <f>IF(G83="","bz_T1(L62)",IF(G83&lt;I83,_xlfn.CONCAT("bz_T1(L62)-",RIGHT(F83,LEN(F83) - FIND("-",F83))), _xlfn.CONCAT("bz_T1(L62)-",RIGHT(H83,LEN(H83) - FIND("-",H83)))))</f>
        <v>bz_T1(L62)-DIABLO ALLIANCE A</v>
      </c>
      <c r="D145" s="230" t="str">
        <f>IF(G82="","bz_U1(L59)",IF(G82&lt;I82,_xlfn.CONCAT("bz_U1(L59)-",RIGHT(F82,LEN(F82) - FIND("-",F82))), _xlfn.CONCAT("bz_U1(L59)-",RIGHT(H82,LEN(H82) - FIND("-",H82)))))</f>
        <v xml:space="preserve">bz_U1(L59)-STANFORD WHITE	</v>
      </c>
      <c r="E145" s="200">
        <v>12</v>
      </c>
      <c r="F145" s="200">
        <v>11</v>
      </c>
      <c r="G145" s="213">
        <v>10</v>
      </c>
      <c r="H145" s="200">
        <v>9</v>
      </c>
    </row>
    <row r="146" spans="1:14" ht="14.1" customHeight="1">
      <c r="A146" s="217" t="s">
        <v>970</v>
      </c>
      <c r="B146" s="217" t="s">
        <v>971</v>
      </c>
      <c r="C146" s="217" t="s">
        <v>972</v>
      </c>
      <c r="D146" s="217" t="s">
        <v>973</v>
      </c>
    </row>
    <row r="147" spans="1:14" ht="14.1" customHeight="1">
      <c r="A147" s="217" t="s">
        <v>974</v>
      </c>
      <c r="B147" s="217" t="s">
        <v>975</v>
      </c>
      <c r="C147" s="217" t="s">
        <v>976</v>
      </c>
      <c r="D147" s="217" t="s">
        <v>977</v>
      </c>
      <c r="F147" s="200" t="s">
        <v>978</v>
      </c>
      <c r="J147" s="200" t="s">
        <v>979</v>
      </c>
    </row>
    <row r="148" spans="1:14" ht="14.1" customHeight="1">
      <c r="A148" s="208" t="s">
        <v>980</v>
      </c>
      <c r="B148" s="217" t="s">
        <v>981</v>
      </c>
      <c r="C148" s="217" t="s">
        <v>982</v>
      </c>
      <c r="D148" s="233" t="s">
        <v>983</v>
      </c>
      <c r="E148" s="200" t="s">
        <v>984</v>
      </c>
      <c r="F148" s="200" t="s">
        <v>985</v>
      </c>
      <c r="G148" s="213" t="s">
        <v>986</v>
      </c>
      <c r="I148" s="200" t="s">
        <v>987</v>
      </c>
      <c r="J148" s="200" t="s">
        <v>988</v>
      </c>
      <c r="K148" s="213" t="s">
        <v>989</v>
      </c>
    </row>
    <row r="149" spans="1:14" ht="14.1" customHeight="1">
      <c r="E149" s="200" t="s">
        <v>990</v>
      </c>
      <c r="F149" s="200" t="s">
        <v>991</v>
      </c>
      <c r="G149" s="213" t="s">
        <v>992</v>
      </c>
      <c r="I149" s="200" t="s">
        <v>993</v>
      </c>
      <c r="J149" s="200" t="s">
        <v>994</v>
      </c>
      <c r="K149" s="213" t="s">
        <v>995</v>
      </c>
    </row>
    <row r="150" spans="1:14" ht="14.1" customHeight="1">
      <c r="E150" s="200" t="s">
        <v>996</v>
      </c>
      <c r="F150" s="200" t="s">
        <v>997</v>
      </c>
      <c r="G150" s="213" t="s">
        <v>998</v>
      </c>
      <c r="I150" s="200" t="s">
        <v>999</v>
      </c>
      <c r="J150" s="200" t="s">
        <v>1000</v>
      </c>
      <c r="K150" s="213" t="s">
        <v>1001</v>
      </c>
    </row>
    <row r="151" spans="1:14" ht="14.1" customHeight="1">
      <c r="E151" s="200" t="s">
        <v>1002</v>
      </c>
      <c r="F151" s="200" t="s">
        <v>1003</v>
      </c>
      <c r="G151" s="213" t="s">
        <v>1004</v>
      </c>
      <c r="I151" s="200" t="s">
        <v>1005</v>
      </c>
      <c r="J151" s="200" t="s">
        <v>1006</v>
      </c>
      <c r="K151" s="213" t="s">
        <v>1007</v>
      </c>
    </row>
    <row r="152" spans="1:14" ht="14.1" customHeight="1">
      <c r="K152" s="213"/>
    </row>
    <row r="153" spans="1:14" ht="14.1" customHeight="1">
      <c r="F153" s="200" t="s">
        <v>1008</v>
      </c>
      <c r="J153" s="200" t="s">
        <v>1009</v>
      </c>
      <c r="K153" s="213"/>
    </row>
    <row r="154" spans="1:14" ht="14.1" customHeight="1">
      <c r="E154" s="200" t="s">
        <v>1010</v>
      </c>
      <c r="F154" s="200" t="s">
        <v>1011</v>
      </c>
      <c r="G154" s="213" t="s">
        <v>1012</v>
      </c>
      <c r="I154" s="200" t="s">
        <v>1013</v>
      </c>
      <c r="J154" s="200" t="s">
        <v>1014</v>
      </c>
      <c r="K154" s="213" t="s">
        <v>1015</v>
      </c>
    </row>
    <row r="155" spans="1:14" ht="14.1" customHeight="1">
      <c r="E155" s="200" t="s">
        <v>1016</v>
      </c>
      <c r="F155" s="200" t="s">
        <v>1017</v>
      </c>
      <c r="G155" s="213" t="s">
        <v>1018</v>
      </c>
      <c r="I155" s="200" t="s">
        <v>1019</v>
      </c>
      <c r="J155" s="200" t="s">
        <v>1020</v>
      </c>
      <c r="K155" s="213" t="s">
        <v>1021</v>
      </c>
    </row>
    <row r="156" spans="1:14" ht="14.1" customHeight="1">
      <c r="E156" s="200" t="s">
        <v>1022</v>
      </c>
      <c r="F156" s="200" t="s">
        <v>1023</v>
      </c>
      <c r="G156" s="213" t="s">
        <v>1024</v>
      </c>
      <c r="I156" s="200" t="s">
        <v>1025</v>
      </c>
      <c r="J156" s="200" t="s">
        <v>1026</v>
      </c>
      <c r="K156" s="213" t="s">
        <v>1027</v>
      </c>
    </row>
    <row r="157" spans="1:14" ht="14.1" customHeight="1" thickBot="1">
      <c r="E157" s="200" t="s">
        <v>1028</v>
      </c>
      <c r="F157" s="200" t="s">
        <v>1029</v>
      </c>
      <c r="G157" s="213" t="s">
        <v>1030</v>
      </c>
      <c r="I157" s="200" t="s">
        <v>1031</v>
      </c>
      <c r="J157" s="200" t="s">
        <v>1032</v>
      </c>
      <c r="K157" s="213" t="s">
        <v>1033</v>
      </c>
    </row>
    <row r="158" spans="1:14" ht="14.1" customHeight="1" thickTop="1" thickBot="1">
      <c r="A158" s="57" t="s">
        <v>196</v>
      </c>
      <c r="M158" s="234" t="s">
        <v>1034</v>
      </c>
    </row>
    <row r="159" spans="1:14" ht="17.25" thickBot="1">
      <c r="A159" s="61">
        <v>46227</v>
      </c>
      <c r="D159" s="212" t="str">
        <f>'CHICLETS MASTER S2'!J27</f>
        <v>GOLDEN WEST COLLEGE 2</v>
      </c>
      <c r="M159" s="235" t="s">
        <v>1035</v>
      </c>
    </row>
    <row r="160" spans="1:14">
      <c r="A160" s="214" t="s">
        <v>124</v>
      </c>
      <c r="B160" s="214" t="s">
        <v>125</v>
      </c>
      <c r="C160" s="214" t="s">
        <v>126</v>
      </c>
      <c r="D160" s="214" t="s">
        <v>127</v>
      </c>
      <c r="E160" s="214" t="s">
        <v>128</v>
      </c>
      <c r="F160" s="214" t="s">
        <v>129</v>
      </c>
      <c r="G160" s="214" t="s">
        <v>130</v>
      </c>
      <c r="H160" s="214" t="s">
        <v>131</v>
      </c>
      <c r="I160" s="214" t="s">
        <v>130</v>
      </c>
      <c r="J160" s="214" t="s">
        <v>132</v>
      </c>
      <c r="K160" s="214" t="s">
        <v>133</v>
      </c>
      <c r="L160" s="214" t="s">
        <v>134</v>
      </c>
      <c r="M160" s="62"/>
      <c r="N160" s="62"/>
    </row>
    <row r="161" spans="1:14">
      <c r="A161" s="89">
        <f>$A$159</f>
        <v>46227</v>
      </c>
      <c r="B161" s="70">
        <f>'CHICLETS MASTER S2'!I30</f>
        <v>0.36111111111111099</v>
      </c>
      <c r="C161" s="71" t="s">
        <v>218</v>
      </c>
      <c r="D161" s="71" t="str">
        <f>$D$159</f>
        <v>GOLDEN WEST COLLEGE 2</v>
      </c>
      <c r="E161" s="227" t="s">
        <v>1036</v>
      </c>
      <c r="F161" s="90" t="str">
        <f>A129</f>
        <v>ag_M2(1stP)-WHITTIER</v>
      </c>
      <c r="G161" s="236">
        <v>8</v>
      </c>
      <c r="H161" s="90" t="str">
        <f>A130</f>
        <v>ag_M3(W63)-ECA</v>
      </c>
      <c r="I161" s="236">
        <v>17</v>
      </c>
      <c r="J161" s="90"/>
      <c r="K161" s="90"/>
      <c r="L161" s="90" t="str">
        <f t="shared" ref="L161:L172" si="13">IF(E161="","",$L$66&amp;"-"&amp;TEXT(E161,"000"))</f>
        <v>12BX-65A</v>
      </c>
      <c r="M161" s="62"/>
      <c r="N161" s="62" t="str">
        <f>$M$158&amp;C161</f>
        <v>ag_Group</v>
      </c>
    </row>
    <row r="162" spans="1:14">
      <c r="A162" s="89">
        <f t="shared" ref="A162:A172" si="14">$A$159</f>
        <v>46227</v>
      </c>
      <c r="B162" s="70">
        <f>'CHICLETS MASTER S2'!I31</f>
        <v>0.39583333333333398</v>
      </c>
      <c r="C162" s="71" t="s">
        <v>218</v>
      </c>
      <c r="D162" s="71" t="str">
        <f t="shared" ref="D162:D172" si="15">$D$159</f>
        <v>GOLDEN WEST COLLEGE 2</v>
      </c>
      <c r="E162" s="216">
        <v>67</v>
      </c>
      <c r="F162" s="90" t="str">
        <f>B129</f>
        <v>ag_N2(1stO)-NEWPORT BEACH WHITE</v>
      </c>
      <c r="G162" s="236">
        <v>5</v>
      </c>
      <c r="H162" s="90" t="str">
        <f>B130</f>
        <v>ag_N3(W60)-SAN JOSE FOUNDATION BLACK</v>
      </c>
      <c r="I162" s="236">
        <v>3</v>
      </c>
      <c r="J162" s="90"/>
      <c r="K162" s="90"/>
      <c r="L162" s="90" t="str">
        <f t="shared" si="13"/>
        <v>12BX-067</v>
      </c>
      <c r="M162" s="62"/>
      <c r="N162" s="62" t="str">
        <f t="shared" ref="N162:N172" si="16">$M$158&amp;C162</f>
        <v>ag_Group</v>
      </c>
    </row>
    <row r="163" spans="1:14">
      <c r="A163" s="89">
        <f t="shared" si="14"/>
        <v>46227</v>
      </c>
      <c r="B163" s="70">
        <f>'CHICLETS MASTER S2'!I32</f>
        <v>0.43055555555555602</v>
      </c>
      <c r="C163" s="71" t="s">
        <v>218</v>
      </c>
      <c r="D163" s="71" t="str">
        <f t="shared" si="15"/>
        <v>GOLDEN WEST COLLEGE 2</v>
      </c>
      <c r="E163" s="216">
        <v>71</v>
      </c>
      <c r="F163" s="90" t="str">
        <f>B133</f>
        <v>ag_S1(1stF)-CMAC</v>
      </c>
      <c r="G163" s="236">
        <v>5</v>
      </c>
      <c r="H163" s="90" t="str">
        <f>B134</f>
        <v>ag_S2(1stK)-CHAWP</v>
      </c>
      <c r="I163" s="236">
        <v>8</v>
      </c>
      <c r="J163" s="90"/>
      <c r="K163" s="90"/>
      <c r="L163" s="90" t="str">
        <f t="shared" si="13"/>
        <v>12BX-071</v>
      </c>
      <c r="M163" s="62"/>
      <c r="N163" s="62" t="str">
        <f t="shared" si="16"/>
        <v>ag_Group</v>
      </c>
    </row>
    <row r="164" spans="1:14">
      <c r="A164" s="89">
        <f t="shared" si="14"/>
        <v>46227</v>
      </c>
      <c r="B164" s="70">
        <f>'CHICLETS MASTER S2'!I33</f>
        <v>0.46527777777777801</v>
      </c>
      <c r="C164" s="71" t="s">
        <v>218</v>
      </c>
      <c r="D164" s="71" t="str">
        <f t="shared" si="15"/>
        <v>GOLDEN WEST COLLEGE 2</v>
      </c>
      <c r="E164" s="216">
        <v>75</v>
      </c>
      <c r="F164" s="90" t="str">
        <f>A133</f>
        <v>ag_R1(1stE)-ROUTE 66</v>
      </c>
      <c r="G164" s="236">
        <v>1</v>
      </c>
      <c r="H164" s="90" t="str">
        <f>A134</f>
        <v>ag_R2(1stL)-CARLSBAD A</v>
      </c>
      <c r="I164" s="236">
        <v>10</v>
      </c>
      <c r="J164" s="90"/>
      <c r="K164" s="90"/>
      <c r="L164" s="90" t="str">
        <f t="shared" si="13"/>
        <v>12BX-075</v>
      </c>
      <c r="M164" s="62"/>
      <c r="N164" s="62" t="str">
        <f t="shared" si="16"/>
        <v>ag_Group</v>
      </c>
    </row>
    <row r="165" spans="1:14">
      <c r="A165" s="89">
        <f t="shared" si="14"/>
        <v>46227</v>
      </c>
      <c r="B165" s="70">
        <f>'CHICLETS MASTER S2'!I34</f>
        <v>0.5</v>
      </c>
      <c r="C165" s="71" t="s">
        <v>218</v>
      </c>
      <c r="D165" s="71" t="str">
        <f t="shared" si="15"/>
        <v>GOLDEN WEST COLLEGE 2</v>
      </c>
      <c r="E165" s="216">
        <v>79</v>
      </c>
      <c r="F165" s="90" t="str">
        <f>A128</f>
        <v>ag_M1(1stA)-FOOTHILL RED</v>
      </c>
      <c r="G165" s="236">
        <v>14</v>
      </c>
      <c r="H165" s="90" t="str">
        <f>A130</f>
        <v>ag_M3(W63)-ECA</v>
      </c>
      <c r="I165" s="236">
        <v>3</v>
      </c>
      <c r="J165" s="90"/>
      <c r="K165" s="90"/>
      <c r="L165" s="90" t="str">
        <f t="shared" si="13"/>
        <v>12BX-079</v>
      </c>
      <c r="M165" s="62"/>
      <c r="N165" s="62" t="str">
        <f t="shared" si="16"/>
        <v>ag_Group</v>
      </c>
    </row>
    <row r="166" spans="1:14">
      <c r="A166" s="89">
        <f t="shared" si="14"/>
        <v>46227</v>
      </c>
      <c r="B166" s="70">
        <f>'CHICLETS MASTER S2'!I35</f>
        <v>0.53472222222222199</v>
      </c>
      <c r="C166" s="71" t="s">
        <v>218</v>
      </c>
      <c r="D166" s="71" t="str">
        <f t="shared" si="15"/>
        <v>GOLDEN WEST COLLEGE 2</v>
      </c>
      <c r="E166" s="216">
        <v>83</v>
      </c>
      <c r="F166" s="90" t="str">
        <f>B128</f>
        <v xml:space="preserve">ag_N1(1stB)-PATRIOT NAVY	</v>
      </c>
      <c r="G166" s="236">
        <v>19</v>
      </c>
      <c r="H166" s="90" t="str">
        <f>B130</f>
        <v>ag_N3(W60)-SAN JOSE FOUNDATION BLACK</v>
      </c>
      <c r="I166" s="236">
        <v>1</v>
      </c>
      <c r="J166" s="90"/>
      <c r="K166" s="90"/>
      <c r="L166" s="90" t="str">
        <f t="shared" si="13"/>
        <v>12BX-083</v>
      </c>
      <c r="M166" s="62"/>
      <c r="N166" s="62" t="str">
        <f t="shared" si="16"/>
        <v>ag_Group</v>
      </c>
    </row>
    <row r="167" spans="1:14">
      <c r="A167" s="89">
        <f t="shared" si="14"/>
        <v>46227</v>
      </c>
      <c r="B167" s="70">
        <f>'CHICLETS MASTER S2'!I36</f>
        <v>0.56944444444444497</v>
      </c>
      <c r="C167" s="71" t="s">
        <v>218</v>
      </c>
      <c r="D167" s="71" t="str">
        <f t="shared" si="15"/>
        <v>GOLDEN WEST COLLEGE 2</v>
      </c>
      <c r="E167" s="216">
        <v>87</v>
      </c>
      <c r="F167" s="90" t="str">
        <f>B133</f>
        <v>ag_S1(1stF)-CMAC</v>
      </c>
      <c r="G167" s="236">
        <v>11</v>
      </c>
      <c r="H167" s="90" t="str">
        <f>B135</f>
        <v>ag_S3(W65)-ASPHALT GREEN</v>
      </c>
      <c r="I167" s="236">
        <v>17</v>
      </c>
      <c r="J167" s="90"/>
      <c r="K167" s="90"/>
      <c r="L167" s="90" t="str">
        <f t="shared" si="13"/>
        <v>12BX-087</v>
      </c>
      <c r="M167" s="62"/>
      <c r="N167" s="62" t="str">
        <f t="shared" si="16"/>
        <v>ag_Group</v>
      </c>
    </row>
    <row r="168" spans="1:14">
      <c r="A168" s="89">
        <f t="shared" si="14"/>
        <v>46227</v>
      </c>
      <c r="B168" s="70">
        <f>'CHICLETS MASTER S2'!I37</f>
        <v>0.60416666666666696</v>
      </c>
      <c r="C168" s="71" t="s">
        <v>218</v>
      </c>
      <c r="D168" s="71" t="str">
        <f t="shared" si="15"/>
        <v>GOLDEN WEST COLLEGE 2</v>
      </c>
      <c r="E168" s="216">
        <v>91</v>
      </c>
      <c r="F168" s="90" t="str">
        <f>A133</f>
        <v>ag_R1(1stE)-ROUTE 66</v>
      </c>
      <c r="G168" s="236">
        <v>11</v>
      </c>
      <c r="H168" s="90" t="str">
        <f>A135</f>
        <v>ag_R3(W58)-CIU GOLD</v>
      </c>
      <c r="I168" s="236">
        <v>8</v>
      </c>
      <c r="J168" s="90"/>
      <c r="K168" s="90"/>
      <c r="L168" s="90" t="str">
        <f t="shared" si="13"/>
        <v>12BX-091</v>
      </c>
      <c r="M168" s="62"/>
      <c r="N168" s="62" t="str">
        <f t="shared" si="16"/>
        <v>ag_Group</v>
      </c>
    </row>
    <row r="169" spans="1:14">
      <c r="A169" s="89">
        <f t="shared" si="14"/>
        <v>46227</v>
      </c>
      <c r="B169" s="70">
        <f>'CHICLETS MASTER S2'!I38</f>
        <v>0.63888888888888895</v>
      </c>
      <c r="C169" s="71" t="s">
        <v>218</v>
      </c>
      <c r="D169" s="71" t="str">
        <f t="shared" si="15"/>
        <v>GOLDEN WEST COLLEGE 2</v>
      </c>
      <c r="E169" s="216">
        <v>95</v>
      </c>
      <c r="F169" s="90" t="str">
        <f>A128</f>
        <v>ag_M1(1stA)-FOOTHILL RED</v>
      </c>
      <c r="G169" s="236">
        <v>13</v>
      </c>
      <c r="H169" s="90" t="str">
        <f>A129</f>
        <v>ag_M2(1stP)-WHITTIER</v>
      </c>
      <c r="I169" s="236">
        <v>8</v>
      </c>
      <c r="J169" s="90"/>
      <c r="K169" s="90"/>
      <c r="L169" s="90" t="str">
        <f t="shared" si="13"/>
        <v>12BX-095</v>
      </c>
      <c r="M169" s="62"/>
      <c r="N169" s="62" t="str">
        <f t="shared" si="16"/>
        <v>ag_Group</v>
      </c>
    </row>
    <row r="170" spans="1:14">
      <c r="A170" s="89">
        <f t="shared" si="14"/>
        <v>46227</v>
      </c>
      <c r="B170" s="70">
        <f>'CHICLETS MASTER S2'!I39</f>
        <v>0.67361111111111105</v>
      </c>
      <c r="C170" s="71" t="s">
        <v>218</v>
      </c>
      <c r="D170" s="71" t="str">
        <f t="shared" si="15"/>
        <v>GOLDEN WEST COLLEGE 2</v>
      </c>
      <c r="E170" s="216">
        <v>99</v>
      </c>
      <c r="F170" s="90" t="str">
        <f>B128</f>
        <v xml:space="preserve">ag_N1(1stB)-PATRIOT NAVY	</v>
      </c>
      <c r="G170" s="236">
        <v>17</v>
      </c>
      <c r="H170" s="90" t="str">
        <f>B129</f>
        <v>ag_N2(1stO)-NEWPORT BEACH WHITE</v>
      </c>
      <c r="I170" s="236">
        <v>3</v>
      </c>
      <c r="J170" s="90"/>
      <c r="K170" s="90"/>
      <c r="L170" s="90" t="str">
        <f t="shared" si="13"/>
        <v>12BX-099</v>
      </c>
      <c r="M170" s="62"/>
      <c r="N170" s="62" t="str">
        <f t="shared" si="16"/>
        <v>ag_Group</v>
      </c>
    </row>
    <row r="171" spans="1:14">
      <c r="A171" s="89">
        <f t="shared" si="14"/>
        <v>46227</v>
      </c>
      <c r="B171" s="70">
        <f>'CHICLETS MASTER S2'!I40</f>
        <v>0.70833333333333404</v>
      </c>
      <c r="C171" s="71" t="s">
        <v>218</v>
      </c>
      <c r="D171" s="71" t="str">
        <f t="shared" si="15"/>
        <v>GOLDEN WEST COLLEGE 2</v>
      </c>
      <c r="E171" s="216">
        <v>103</v>
      </c>
      <c r="F171" s="90" t="str">
        <f>B134</f>
        <v>ag_S2(1stK)-CHAWP</v>
      </c>
      <c r="G171" s="236">
        <v>15</v>
      </c>
      <c r="H171" s="90" t="str">
        <f>B135</f>
        <v>ag_S3(W65)-ASPHALT GREEN</v>
      </c>
      <c r="I171" s="236">
        <v>9</v>
      </c>
      <c r="J171" s="90"/>
      <c r="K171" s="90"/>
      <c r="L171" s="90" t="str">
        <f t="shared" si="13"/>
        <v>12BX-103</v>
      </c>
      <c r="M171" s="62"/>
      <c r="N171" s="62" t="str">
        <f t="shared" si="16"/>
        <v>ag_Group</v>
      </c>
    </row>
    <row r="172" spans="1:14">
      <c r="A172" s="89">
        <f t="shared" si="14"/>
        <v>46227</v>
      </c>
      <c r="B172" s="70">
        <f>'CHICLETS MASTER S2'!I41</f>
        <v>0.74305555555555602</v>
      </c>
      <c r="C172" s="71" t="s">
        <v>218</v>
      </c>
      <c r="D172" s="71" t="str">
        <f t="shared" si="15"/>
        <v>GOLDEN WEST COLLEGE 2</v>
      </c>
      <c r="E172" s="216">
        <v>107</v>
      </c>
      <c r="F172" s="90" t="str">
        <f>A134</f>
        <v>ag_R2(1stL)-CARLSBAD A</v>
      </c>
      <c r="G172" s="236">
        <v>26</v>
      </c>
      <c r="H172" s="90" t="str">
        <f>A135</f>
        <v>ag_R3(W58)-CIU GOLD</v>
      </c>
      <c r="I172" s="236">
        <v>2</v>
      </c>
      <c r="J172" s="90"/>
      <c r="K172" s="90"/>
      <c r="L172" s="90" t="str">
        <f t="shared" si="13"/>
        <v>12BX-107</v>
      </c>
      <c r="M172" s="62"/>
      <c r="N172" s="62" t="str">
        <f t="shared" si="16"/>
        <v>ag_Group</v>
      </c>
    </row>
    <row r="173" spans="1:14" ht="17.25" thickBot="1">
      <c r="A173" s="78"/>
      <c r="B173" s="79"/>
      <c r="C173" s="60"/>
      <c r="D173" s="60"/>
      <c r="E173" s="60"/>
      <c r="F173" s="60" t="s">
        <v>418</v>
      </c>
      <c r="G173" s="64"/>
      <c r="H173" s="60" t="s">
        <v>418</v>
      </c>
      <c r="I173" s="60"/>
      <c r="J173" s="60"/>
      <c r="K173" s="60"/>
      <c r="L173" s="60"/>
      <c r="M173" s="62"/>
      <c r="N173" s="62"/>
    </row>
    <row r="174" spans="1:14" ht="17.25" thickBot="1">
      <c r="A174" s="78"/>
      <c r="B174" s="79"/>
      <c r="C174" s="60"/>
      <c r="D174" s="68" t="str">
        <f>'CHICLETS MASTER S2'!M27</f>
        <v>SAN CLEMENTE HS</v>
      </c>
      <c r="E174" s="60"/>
      <c r="F174" s="60"/>
      <c r="G174" s="64"/>
      <c r="H174" s="60"/>
      <c r="I174" s="60"/>
      <c r="J174" s="60"/>
      <c r="K174" s="60"/>
      <c r="L174" s="60"/>
      <c r="M174" s="62"/>
      <c r="N174" s="62"/>
    </row>
    <row r="175" spans="1:14">
      <c r="A175" s="214" t="s">
        <v>124</v>
      </c>
      <c r="B175" s="214" t="s">
        <v>125</v>
      </c>
      <c r="C175" s="214" t="s">
        <v>126</v>
      </c>
      <c r="D175" s="214" t="s">
        <v>127</v>
      </c>
      <c r="E175" s="214" t="s">
        <v>128</v>
      </c>
      <c r="F175" s="214" t="s">
        <v>129</v>
      </c>
      <c r="G175" s="214" t="s">
        <v>130</v>
      </c>
      <c r="H175" s="214" t="s">
        <v>131</v>
      </c>
      <c r="I175" s="214" t="s">
        <v>130</v>
      </c>
      <c r="J175" s="214" t="s">
        <v>132</v>
      </c>
      <c r="K175" s="214" t="s">
        <v>133</v>
      </c>
      <c r="L175" s="214" t="s">
        <v>134</v>
      </c>
      <c r="M175" s="62"/>
      <c r="N175" s="62"/>
    </row>
    <row r="176" spans="1:14">
      <c r="A176" s="89">
        <f t="shared" ref="A176:A187" si="17">$A$159</f>
        <v>46227</v>
      </c>
      <c r="B176" s="70">
        <f>'CHICLETS MASTER S2'!K30</f>
        <v>0.36111111111111099</v>
      </c>
      <c r="C176" s="71" t="s">
        <v>218</v>
      </c>
      <c r="D176" s="71" t="str">
        <f>$D$174</f>
        <v>SAN CLEMENTE HS</v>
      </c>
      <c r="E176" s="227" t="s">
        <v>1037</v>
      </c>
      <c r="F176" s="90" t="str">
        <f>C129</f>
        <v>ag_O2(1stN)-LAGUNA BEACH</v>
      </c>
      <c r="G176" s="236">
        <v>7</v>
      </c>
      <c r="H176" s="90" t="str">
        <f>C130</f>
        <v>ag_O3(W62)-LB SHORE</v>
      </c>
      <c r="I176" s="236">
        <v>1</v>
      </c>
      <c r="J176" s="90"/>
      <c r="K176" s="90"/>
      <c r="L176" s="90" t="str">
        <f t="shared" ref="L176:L187" si="18">IF(E176="","",$L$66&amp;"-"&amp;TEXT(E176,"000"))</f>
        <v>12BX-65B</v>
      </c>
      <c r="M176" s="62"/>
      <c r="N176" s="62" t="str">
        <f t="shared" ref="N176:N187" si="19">$M$158&amp;C176</f>
        <v>ag_Group</v>
      </c>
    </row>
    <row r="177" spans="1:14">
      <c r="A177" s="89">
        <f t="shared" si="17"/>
        <v>46227</v>
      </c>
      <c r="B177" s="70">
        <f>'CHICLETS MASTER S2'!K31</f>
        <v>0.39583333333333398</v>
      </c>
      <c r="C177" s="71" t="s">
        <v>218</v>
      </c>
      <c r="D177" s="71" t="str">
        <f t="shared" ref="D177:D187" si="20">$D$174</f>
        <v>SAN CLEMENTE HS</v>
      </c>
      <c r="E177" s="216">
        <v>68</v>
      </c>
      <c r="F177" s="90" t="str">
        <f>D129</f>
        <v>ag_P2(1stM)-SAN CLEMENTE BLACK</v>
      </c>
      <c r="G177" s="236">
        <v>17</v>
      </c>
      <c r="H177" s="90" t="str">
        <f>D130</f>
        <v xml:space="preserve">ag_P3(W59)-CIU BLACK	</v>
      </c>
      <c r="I177" s="236">
        <v>3</v>
      </c>
      <c r="J177" s="90"/>
      <c r="K177" s="90"/>
      <c r="L177" s="90" t="str">
        <f t="shared" si="18"/>
        <v>12BX-068</v>
      </c>
      <c r="M177" s="62"/>
      <c r="N177" s="62" t="str">
        <f t="shared" si="19"/>
        <v>ag_Group</v>
      </c>
    </row>
    <row r="178" spans="1:14">
      <c r="A178" s="89">
        <f t="shared" si="17"/>
        <v>46227</v>
      </c>
      <c r="B178" s="70">
        <f>'CHICLETS MASTER S2'!K32</f>
        <v>0.43055555555555602</v>
      </c>
      <c r="C178" s="71" t="s">
        <v>218</v>
      </c>
      <c r="D178" s="71" t="str">
        <f t="shared" si="20"/>
        <v>SAN CLEMENTE HS</v>
      </c>
      <c r="E178" s="216">
        <v>72</v>
      </c>
      <c r="F178" s="90" t="str">
        <f>D133</f>
        <v>ag_U1(1stH)-CC UNITED BLUE</v>
      </c>
      <c r="G178" s="236">
        <v>15</v>
      </c>
      <c r="H178" s="90" t="str">
        <f>D134</f>
        <v xml:space="preserve">ag_U2(1stI)-BACK BAY	</v>
      </c>
      <c r="I178" s="236">
        <v>7</v>
      </c>
      <c r="J178" s="90"/>
      <c r="K178" s="90"/>
      <c r="L178" s="90" t="str">
        <f t="shared" si="18"/>
        <v>12BX-072</v>
      </c>
      <c r="M178" s="62"/>
      <c r="N178" s="62" t="str">
        <f t="shared" si="19"/>
        <v>ag_Group</v>
      </c>
    </row>
    <row r="179" spans="1:14">
      <c r="A179" s="89">
        <f t="shared" si="17"/>
        <v>46227</v>
      </c>
      <c r="B179" s="70">
        <f>'CHICLETS MASTER S2'!K33</f>
        <v>0.46527777777777801</v>
      </c>
      <c r="C179" s="71" t="s">
        <v>218</v>
      </c>
      <c r="D179" s="71" t="str">
        <f t="shared" si="20"/>
        <v>SAN CLEMENTE HS</v>
      </c>
      <c r="E179" s="216">
        <v>76</v>
      </c>
      <c r="F179" s="90" t="str">
        <f>C133</f>
        <v>ag_T1(1stG)-LOS ALAMITOS</v>
      </c>
      <c r="G179" s="236">
        <v>9</v>
      </c>
      <c r="H179" s="90" t="str">
        <f>C134</f>
        <v>ag_T2(1stJ)-TROJAN CARDINAL</v>
      </c>
      <c r="I179" s="236">
        <v>5</v>
      </c>
      <c r="J179" s="90"/>
      <c r="K179" s="90"/>
      <c r="L179" s="90" t="str">
        <f t="shared" si="18"/>
        <v>12BX-076</v>
      </c>
      <c r="M179" s="62"/>
      <c r="N179" s="62" t="str">
        <f t="shared" si="19"/>
        <v>ag_Group</v>
      </c>
    </row>
    <row r="180" spans="1:14">
      <c r="A180" s="89">
        <f t="shared" si="17"/>
        <v>46227</v>
      </c>
      <c r="B180" s="70">
        <f>'CHICLETS MASTER S2'!K34</f>
        <v>0.5</v>
      </c>
      <c r="C180" s="71" t="s">
        <v>218</v>
      </c>
      <c r="D180" s="71" t="str">
        <f t="shared" si="20"/>
        <v>SAN CLEMENTE HS</v>
      </c>
      <c r="E180" s="216">
        <v>80</v>
      </c>
      <c r="F180" s="90" t="str">
        <f>C128</f>
        <v>ag_O1(1stC)-MISSION B</v>
      </c>
      <c r="G180" s="236">
        <v>11</v>
      </c>
      <c r="H180" s="90" t="str">
        <f>C130</f>
        <v>ag_O3(W62)-LB SHORE</v>
      </c>
      <c r="I180" s="236">
        <v>2</v>
      </c>
      <c r="J180" s="90"/>
      <c r="K180" s="90"/>
      <c r="L180" s="90" t="str">
        <f t="shared" si="18"/>
        <v>12BX-080</v>
      </c>
      <c r="M180" s="62"/>
      <c r="N180" s="62" t="str">
        <f t="shared" si="19"/>
        <v>ag_Group</v>
      </c>
    </row>
    <row r="181" spans="1:14">
      <c r="A181" s="89">
        <f t="shared" si="17"/>
        <v>46227</v>
      </c>
      <c r="B181" s="70">
        <f>'CHICLETS MASTER S2'!K35</f>
        <v>0.53472222222222199</v>
      </c>
      <c r="C181" s="71" t="s">
        <v>218</v>
      </c>
      <c r="D181" s="71" t="str">
        <f t="shared" si="20"/>
        <v>SAN CLEMENTE HS</v>
      </c>
      <c r="E181" s="216">
        <v>84</v>
      </c>
      <c r="F181" s="90" t="str">
        <f>D128</f>
        <v>ag_P1(1stD)-OCWPC BLUE</v>
      </c>
      <c r="G181" s="236">
        <v>17</v>
      </c>
      <c r="H181" s="90" t="str">
        <f>D130</f>
        <v xml:space="preserve">ag_P3(W59)-CIU BLACK	</v>
      </c>
      <c r="I181" s="236">
        <v>1</v>
      </c>
      <c r="J181" s="90"/>
      <c r="K181" s="90"/>
      <c r="L181" s="90" t="str">
        <f t="shared" si="18"/>
        <v>12BX-084</v>
      </c>
      <c r="M181" s="62"/>
      <c r="N181" s="62" t="str">
        <f t="shared" si="19"/>
        <v>ag_Group</v>
      </c>
    </row>
    <row r="182" spans="1:14">
      <c r="A182" s="89">
        <f t="shared" si="17"/>
        <v>46227</v>
      </c>
      <c r="B182" s="70">
        <f>'CHICLETS MASTER S2'!K36</f>
        <v>0.56944444444444497</v>
      </c>
      <c r="C182" s="71" t="s">
        <v>218</v>
      </c>
      <c r="D182" s="71" t="str">
        <f t="shared" si="20"/>
        <v>SAN CLEMENTE HS</v>
      </c>
      <c r="E182" s="216">
        <v>88</v>
      </c>
      <c r="F182" s="90" t="str">
        <f>D133</f>
        <v>ag_U1(1stH)-CC UNITED BLUE</v>
      </c>
      <c r="G182" s="236">
        <v>19</v>
      </c>
      <c r="H182" s="90" t="str">
        <f>D135</f>
        <v>ag_U3(W61)-NORCAL BLACK</v>
      </c>
      <c r="I182" s="236">
        <v>5</v>
      </c>
      <c r="J182" s="90"/>
      <c r="K182" s="90"/>
      <c r="L182" s="90" t="str">
        <f t="shared" si="18"/>
        <v>12BX-088</v>
      </c>
      <c r="M182" s="62"/>
      <c r="N182" s="62" t="str">
        <f t="shared" si="19"/>
        <v>ag_Group</v>
      </c>
    </row>
    <row r="183" spans="1:14">
      <c r="A183" s="89">
        <f t="shared" si="17"/>
        <v>46227</v>
      </c>
      <c r="B183" s="70">
        <f>'CHICLETS MASTER S2'!K37</f>
        <v>0.60416666666666696</v>
      </c>
      <c r="C183" s="71" t="s">
        <v>218</v>
      </c>
      <c r="D183" s="71" t="str">
        <f t="shared" si="20"/>
        <v>SAN CLEMENTE HS</v>
      </c>
      <c r="E183" s="216">
        <v>92</v>
      </c>
      <c r="F183" s="90" t="str">
        <f>C133</f>
        <v>ag_T1(1stG)-LOS ALAMITOS</v>
      </c>
      <c r="G183" s="236">
        <v>11</v>
      </c>
      <c r="H183" s="90" t="str">
        <f>C135</f>
        <v>ag_T3(W64)-PATRIOT RED</v>
      </c>
      <c r="I183" s="236">
        <v>6</v>
      </c>
      <c r="J183" s="90"/>
      <c r="K183" s="90"/>
      <c r="L183" s="90" t="str">
        <f t="shared" si="18"/>
        <v>12BX-092</v>
      </c>
      <c r="M183" s="62"/>
      <c r="N183" s="62" t="str">
        <f t="shared" si="19"/>
        <v>ag_Group</v>
      </c>
    </row>
    <row r="184" spans="1:14">
      <c r="A184" s="89">
        <f t="shared" si="17"/>
        <v>46227</v>
      </c>
      <c r="B184" s="70">
        <f>'CHICLETS MASTER S2'!K38</f>
        <v>0.63888888888888895</v>
      </c>
      <c r="C184" s="71" t="s">
        <v>218</v>
      </c>
      <c r="D184" s="71" t="str">
        <f t="shared" si="20"/>
        <v>SAN CLEMENTE HS</v>
      </c>
      <c r="E184" s="216">
        <v>96</v>
      </c>
      <c r="F184" s="90" t="str">
        <f>C128</f>
        <v>ag_O1(1stC)-MISSION B</v>
      </c>
      <c r="G184" s="236">
        <v>24</v>
      </c>
      <c r="H184" s="90" t="str">
        <f>C129</f>
        <v>ag_O2(1stN)-LAGUNA BEACH</v>
      </c>
      <c r="I184" s="236">
        <v>5</v>
      </c>
      <c r="J184" s="90"/>
      <c r="K184" s="90"/>
      <c r="L184" s="90" t="str">
        <f t="shared" si="18"/>
        <v>12BX-096</v>
      </c>
      <c r="M184" s="62"/>
      <c r="N184" s="62" t="str">
        <f t="shared" si="19"/>
        <v>ag_Group</v>
      </c>
    </row>
    <row r="185" spans="1:14">
      <c r="A185" s="89">
        <f t="shared" si="17"/>
        <v>46227</v>
      </c>
      <c r="B185" s="70">
        <f>'CHICLETS MASTER S2'!K39</f>
        <v>0.67361111111111105</v>
      </c>
      <c r="C185" s="71" t="s">
        <v>218</v>
      </c>
      <c r="D185" s="71" t="str">
        <f t="shared" si="20"/>
        <v>SAN CLEMENTE HS</v>
      </c>
      <c r="E185" s="216">
        <v>100</v>
      </c>
      <c r="F185" s="90" t="str">
        <f>D128</f>
        <v>ag_P1(1stD)-OCWPC BLUE</v>
      </c>
      <c r="G185" s="236">
        <v>15</v>
      </c>
      <c r="H185" s="90" t="str">
        <f>D129</f>
        <v>ag_P2(1stM)-SAN CLEMENTE BLACK</v>
      </c>
      <c r="I185" s="236">
        <v>8</v>
      </c>
      <c r="J185" s="90"/>
      <c r="K185" s="90"/>
      <c r="L185" s="90" t="str">
        <f t="shared" si="18"/>
        <v>12BX-100</v>
      </c>
      <c r="M185" s="62"/>
      <c r="N185" s="62" t="str">
        <f t="shared" si="19"/>
        <v>ag_Group</v>
      </c>
    </row>
    <row r="186" spans="1:14">
      <c r="A186" s="89">
        <f t="shared" si="17"/>
        <v>46227</v>
      </c>
      <c r="B186" s="70">
        <f>'CHICLETS MASTER S2'!K40</f>
        <v>0.70833333333333404</v>
      </c>
      <c r="C186" s="71" t="s">
        <v>218</v>
      </c>
      <c r="D186" s="71" t="str">
        <f t="shared" si="20"/>
        <v>SAN CLEMENTE HS</v>
      </c>
      <c r="E186" s="216">
        <v>104</v>
      </c>
      <c r="F186" s="90" t="str">
        <f>D134</f>
        <v xml:space="preserve">ag_U2(1stI)-BACK BAY	</v>
      </c>
      <c r="G186" s="236">
        <v>10</v>
      </c>
      <c r="H186" s="90" t="str">
        <f>D135</f>
        <v>ag_U3(W61)-NORCAL BLACK</v>
      </c>
      <c r="I186" s="236">
        <v>8</v>
      </c>
      <c r="J186" s="90"/>
      <c r="K186" s="90"/>
      <c r="L186" s="90" t="str">
        <f t="shared" si="18"/>
        <v>12BX-104</v>
      </c>
      <c r="M186" s="62"/>
      <c r="N186" s="62" t="str">
        <f t="shared" si="19"/>
        <v>ag_Group</v>
      </c>
    </row>
    <row r="187" spans="1:14">
      <c r="A187" s="89">
        <f t="shared" si="17"/>
        <v>46227</v>
      </c>
      <c r="B187" s="70">
        <f>'CHICLETS MASTER S2'!K41</f>
        <v>0.74305555555555602</v>
      </c>
      <c r="C187" s="71" t="s">
        <v>218</v>
      </c>
      <c r="D187" s="71" t="str">
        <f t="shared" si="20"/>
        <v>SAN CLEMENTE HS</v>
      </c>
      <c r="E187" s="216">
        <v>108</v>
      </c>
      <c r="F187" s="90" t="str">
        <f>C134</f>
        <v>ag_T2(1stJ)-TROJAN CARDINAL</v>
      </c>
      <c r="G187" s="236">
        <v>5</v>
      </c>
      <c r="H187" s="90" t="str">
        <f>C135</f>
        <v>ag_T3(W64)-PATRIOT RED</v>
      </c>
      <c r="I187" s="236">
        <v>3</v>
      </c>
      <c r="J187" s="90"/>
      <c r="K187" s="90"/>
      <c r="L187" s="90" t="str">
        <f t="shared" si="18"/>
        <v>12BX-108</v>
      </c>
      <c r="M187" s="62"/>
      <c r="N187" s="62" t="str">
        <f t="shared" si="19"/>
        <v>ag_Group</v>
      </c>
    </row>
    <row r="188" spans="1:14" ht="17.25" thickBot="1">
      <c r="A188" s="78"/>
      <c r="B188" s="60"/>
      <c r="C188" s="60"/>
      <c r="D188" s="60"/>
      <c r="E188" s="60"/>
      <c r="F188" s="60" t="s">
        <v>418</v>
      </c>
      <c r="G188" s="64" t="s">
        <v>418</v>
      </c>
      <c r="H188" s="64"/>
      <c r="I188" s="60"/>
      <c r="J188" s="60"/>
      <c r="K188" s="60"/>
      <c r="L188" s="60"/>
      <c r="M188" s="62"/>
      <c r="N188" s="62"/>
    </row>
    <row r="189" spans="1:14" ht="17.25" thickBot="1">
      <c r="A189" s="62"/>
      <c r="B189" s="60"/>
      <c r="C189" s="60"/>
      <c r="D189" s="68" t="str">
        <f>'CHICLETS MASTER S2'!H27</f>
        <v>OCEAN VIEW HS 2</v>
      </c>
      <c r="E189" s="62"/>
      <c r="F189" s="60"/>
      <c r="G189" s="64"/>
      <c r="H189" s="60"/>
      <c r="I189" s="60"/>
      <c r="J189" s="60"/>
      <c r="K189" s="60"/>
      <c r="L189" s="60"/>
      <c r="M189" s="62"/>
      <c r="N189" s="62"/>
    </row>
    <row r="190" spans="1:14">
      <c r="A190" s="214" t="s">
        <v>124</v>
      </c>
      <c r="B190" s="214" t="s">
        <v>125</v>
      </c>
      <c r="C190" s="214" t="s">
        <v>126</v>
      </c>
      <c r="D190" s="214" t="s">
        <v>127</v>
      </c>
      <c r="E190" s="214" t="s">
        <v>128</v>
      </c>
      <c r="F190" s="214" t="s">
        <v>129</v>
      </c>
      <c r="G190" s="214" t="s">
        <v>130</v>
      </c>
      <c r="H190" s="214" t="s">
        <v>131</v>
      </c>
      <c r="I190" s="214" t="s">
        <v>130</v>
      </c>
      <c r="J190" s="214" t="s">
        <v>132</v>
      </c>
      <c r="K190" s="214" t="s">
        <v>133</v>
      </c>
      <c r="L190" s="214" t="s">
        <v>134</v>
      </c>
      <c r="M190" s="62"/>
      <c r="N190" s="62"/>
    </row>
    <row r="191" spans="1:14">
      <c r="A191" s="89">
        <f t="shared" ref="A191:A204" si="21">$A$159</f>
        <v>46227</v>
      </c>
      <c r="B191" s="70">
        <f>'CHICLETS MASTER S2'!A28</f>
        <v>0.29166666666666669</v>
      </c>
      <c r="C191" s="71" t="s">
        <v>218</v>
      </c>
      <c r="D191" s="71" t="str">
        <f>$D$189</f>
        <v>OCEAN VIEW HS 2</v>
      </c>
      <c r="E191" s="227" t="s">
        <v>1038</v>
      </c>
      <c r="F191" s="277" t="str">
        <f>B139</f>
        <v>bz_N1(L65)-LAMORINDA B</v>
      </c>
      <c r="G191" s="278">
        <v>12</v>
      </c>
      <c r="H191" s="278" t="str">
        <f>B140</f>
        <v>bz_N2(3rdF)-PUNAHOU</v>
      </c>
      <c r="I191" s="278">
        <v>8</v>
      </c>
      <c r="J191" s="278"/>
      <c r="K191" s="278"/>
      <c r="L191" s="278" t="str">
        <f t="shared" ref="L191:L201" si="22">IF(E191="","",$L$66&amp;"-"&amp;TEXT(E191,"000"))</f>
        <v>12BX-65C</v>
      </c>
      <c r="M191" s="62"/>
      <c r="N191" s="62" t="str">
        <f>$M$159&amp;C191</f>
        <v>bz_Group</v>
      </c>
    </row>
    <row r="192" spans="1:14">
      <c r="A192" s="89">
        <f t="shared" si="21"/>
        <v>46227</v>
      </c>
      <c r="B192" s="70">
        <f>'CHICLETS MASTER S2'!A29</f>
        <v>0.3263888888888889</v>
      </c>
      <c r="C192" s="71" t="s">
        <v>218</v>
      </c>
      <c r="D192" s="71" t="str">
        <f t="shared" ref="D192:D204" si="23">$D$189</f>
        <v>OCEAN VIEW HS 2</v>
      </c>
      <c r="E192" s="216">
        <v>69</v>
      </c>
      <c r="F192" s="278" t="str">
        <f>A140</f>
        <v>bz_M2(3rdE)-YOLO</v>
      </c>
      <c r="G192" s="278">
        <v>8</v>
      </c>
      <c r="H192" s="278" t="str">
        <f>A141</f>
        <v>bz_M3(3rdL)-TEXAS THUNDER</v>
      </c>
      <c r="I192" s="278">
        <v>13</v>
      </c>
      <c r="J192" s="278"/>
      <c r="K192" s="278"/>
      <c r="L192" s="278" t="str">
        <f>IF(E192="","",$L$66&amp;"-"&amp;TEXT(E192,"000"))</f>
        <v>12BX-069</v>
      </c>
      <c r="M192" s="62"/>
      <c r="N192" s="62" t="str">
        <f t="shared" ref="N192:N204" si="24">$M$159&amp;C192</f>
        <v>bz_Group</v>
      </c>
    </row>
    <row r="193" spans="1:14">
      <c r="A193" s="89">
        <f t="shared" si="21"/>
        <v>46227</v>
      </c>
      <c r="B193" s="70">
        <f>'CHICLETS MASTER S2'!A30</f>
        <v>0.36111111111111099</v>
      </c>
      <c r="C193" s="237" t="s">
        <v>1039</v>
      </c>
      <c r="D193" s="71" t="str">
        <f t="shared" si="23"/>
        <v>OCEAN VIEW HS 2</v>
      </c>
      <c r="E193" s="216">
        <v>73</v>
      </c>
      <c r="F193" s="238" t="str">
        <f>A145</f>
        <v>bz_R1(L63)-908 BLUE</v>
      </c>
      <c r="G193" s="307">
        <v>8</v>
      </c>
      <c r="H193" s="238" t="str">
        <f>A148</f>
        <v>bz_R4(4thL)-PARK CITY</v>
      </c>
      <c r="I193" s="307">
        <v>8.3000000000000007</v>
      </c>
      <c r="J193" s="241">
        <v>93</v>
      </c>
      <c r="K193" s="241" t="s">
        <v>1040</v>
      </c>
      <c r="L193" s="241" t="str">
        <f t="shared" si="22"/>
        <v>12BX-073</v>
      </c>
      <c r="M193" s="62"/>
      <c r="N193" s="62" t="str">
        <f t="shared" si="24"/>
        <v>bz_R Group of 4</v>
      </c>
    </row>
    <row r="194" spans="1:14">
      <c r="A194" s="89">
        <f t="shared" si="21"/>
        <v>46227</v>
      </c>
      <c r="B194" s="70">
        <f>'CHICLETS MASTER S2'!A31</f>
        <v>0.39583333333333398</v>
      </c>
      <c r="C194" s="237" t="s">
        <v>1039</v>
      </c>
      <c r="D194" s="71" t="str">
        <f t="shared" si="23"/>
        <v>OCEAN VIEW HS 2</v>
      </c>
      <c r="E194" s="216" t="s">
        <v>1041</v>
      </c>
      <c r="F194" s="238" t="str">
        <f>A146</f>
        <v>bz_R2(3rdA)-SANTA BARBARA WPC B</v>
      </c>
      <c r="G194" s="239">
        <v>13</v>
      </c>
      <c r="H194" s="238" t="str">
        <f>A147</f>
        <v>bz_R3(3rdP)-ARROYO GRANDE</v>
      </c>
      <c r="I194" s="240">
        <v>8</v>
      </c>
      <c r="J194" s="241">
        <v>93</v>
      </c>
      <c r="K194" s="241" t="s">
        <v>1040</v>
      </c>
      <c r="L194" s="241" t="str">
        <f t="shared" si="22"/>
        <v>12BX-73A</v>
      </c>
      <c r="M194" s="62"/>
      <c r="N194" s="62" t="str">
        <f t="shared" si="24"/>
        <v>bz_R Group of 4</v>
      </c>
    </row>
    <row r="195" spans="1:14">
      <c r="A195" s="89">
        <f t="shared" si="21"/>
        <v>46227</v>
      </c>
      <c r="B195" s="70">
        <f>'CHICLETS MASTER S2'!A32</f>
        <v>0.43055555555555602</v>
      </c>
      <c r="C195" s="242" t="s">
        <v>1042</v>
      </c>
      <c r="D195" s="71" t="str">
        <f t="shared" si="23"/>
        <v>OCEAN VIEW HS 2</v>
      </c>
      <c r="E195" s="216">
        <v>77</v>
      </c>
      <c r="F195" s="239" t="str">
        <f>B146</f>
        <v>bz_S2(3rdB)-AMERICAN RIVER</v>
      </c>
      <c r="G195" s="239">
        <v>8</v>
      </c>
      <c r="H195" s="239" t="str">
        <f>B147</f>
        <v>bz_S3(3rdO)-ORWP RED</v>
      </c>
      <c r="I195" s="239">
        <v>4</v>
      </c>
      <c r="J195" s="239">
        <v>97</v>
      </c>
      <c r="K195" s="239">
        <v>111</v>
      </c>
      <c r="L195" s="243" t="str">
        <f>IF(E195="","",$L$66&amp;"-"&amp;TEXT(E195,"000"))</f>
        <v>12BX-077</v>
      </c>
      <c r="M195" s="95"/>
      <c r="N195" s="95" t="str">
        <f t="shared" si="24"/>
        <v>bz_S Group of 4</v>
      </c>
    </row>
    <row r="196" spans="1:14">
      <c r="A196" s="89">
        <f t="shared" si="21"/>
        <v>46227</v>
      </c>
      <c r="B196" s="70">
        <f>'CHICLETS MASTER S2'!A33</f>
        <v>0.46527777777777801</v>
      </c>
      <c r="C196" s="242" t="s">
        <v>1042</v>
      </c>
      <c r="D196" s="71" t="str">
        <f t="shared" si="23"/>
        <v>OCEAN VIEW HS 2</v>
      </c>
      <c r="E196" s="216">
        <v>81</v>
      </c>
      <c r="F196" s="239" t="str">
        <f>B145</f>
        <v>bz_S1(L60)-NORTH IRVINE RED</v>
      </c>
      <c r="G196" s="239">
        <v>13</v>
      </c>
      <c r="H196" s="239" t="str">
        <f>B148</f>
        <v>bz_S4(4thK)-FOOTHILL BLACK</v>
      </c>
      <c r="I196" s="239">
        <v>6</v>
      </c>
      <c r="J196" s="239">
        <v>97</v>
      </c>
      <c r="K196" s="239">
        <v>111</v>
      </c>
      <c r="L196" s="243" t="str">
        <f>IF(E196="","",$L$66&amp;"-"&amp;TEXT(E196,"000"))</f>
        <v>12BX-081</v>
      </c>
      <c r="M196" s="95"/>
      <c r="N196" s="95" t="str">
        <f t="shared" si="24"/>
        <v>bz_S Group of 4</v>
      </c>
    </row>
    <row r="197" spans="1:14">
      <c r="A197" s="89">
        <f t="shared" si="21"/>
        <v>46227</v>
      </c>
      <c r="B197" s="70">
        <f>'CHICLETS MASTER S2'!A34</f>
        <v>0.5</v>
      </c>
      <c r="C197" s="71" t="s">
        <v>218</v>
      </c>
      <c r="D197" s="71" t="str">
        <f t="shared" si="23"/>
        <v>OCEAN VIEW HS 2</v>
      </c>
      <c r="E197" s="216">
        <v>85</v>
      </c>
      <c r="F197" s="241" t="str">
        <f>B139</f>
        <v>bz_N1(L65)-LAMORINDA B</v>
      </c>
      <c r="G197" s="239">
        <v>16</v>
      </c>
      <c r="H197" s="241" t="str">
        <f>B141</f>
        <v>bz_N3(3rdK)-680 DRIVERS</v>
      </c>
      <c r="I197" s="239">
        <v>3</v>
      </c>
      <c r="J197" s="241"/>
      <c r="K197" s="241"/>
      <c r="L197" s="241" t="str">
        <f t="shared" si="22"/>
        <v>12BX-085</v>
      </c>
      <c r="M197" s="62"/>
      <c r="N197" s="62" t="str">
        <f t="shared" si="24"/>
        <v>bz_Group</v>
      </c>
    </row>
    <row r="198" spans="1:14">
      <c r="A198" s="89">
        <f t="shared" si="21"/>
        <v>46227</v>
      </c>
      <c r="B198" s="70">
        <f>'CHICLETS MASTER S2'!A35</f>
        <v>0.53472222222222199</v>
      </c>
      <c r="C198" s="71" t="s">
        <v>218</v>
      </c>
      <c r="D198" s="71" t="str">
        <f t="shared" si="23"/>
        <v>OCEAN VIEW HS 2</v>
      </c>
      <c r="E198" s="216">
        <v>89</v>
      </c>
      <c r="F198" s="241" t="str">
        <f>A139</f>
        <v>bz_M1(L58)-CARLSBAD B</v>
      </c>
      <c r="G198" s="239">
        <v>12</v>
      </c>
      <c r="H198" s="241" t="str">
        <f>A141</f>
        <v>bz_M3(3rdL)-TEXAS THUNDER</v>
      </c>
      <c r="I198" s="239">
        <v>11</v>
      </c>
      <c r="J198" s="241"/>
      <c r="K198" s="241"/>
      <c r="L198" s="241" t="str">
        <f>IF(E198="","",$L$66&amp;"-"&amp;TEXT(E198,"000"))</f>
        <v>12BX-089</v>
      </c>
      <c r="M198" s="62"/>
      <c r="N198" s="62" t="str">
        <f t="shared" si="24"/>
        <v>bz_Group</v>
      </c>
    </row>
    <row r="199" spans="1:14">
      <c r="A199" s="89">
        <f t="shared" si="21"/>
        <v>46227</v>
      </c>
      <c r="B199" s="70">
        <f>'CHICLETS MASTER S2'!A36</f>
        <v>0.56944444444444497</v>
      </c>
      <c r="C199" s="237" t="s">
        <v>1043</v>
      </c>
      <c r="D199" s="71" t="str">
        <f t="shared" si="23"/>
        <v>OCEAN VIEW HS 2</v>
      </c>
      <c r="E199" s="237">
        <v>93</v>
      </c>
      <c r="F199" s="241" t="str">
        <f>IF(G193="","W#R1/R4",IF(G193&gt;I193,_xlfn.CONCAT("W#R1/R4-",RIGHT(F193,LEN(F193) - FIND("-",F193))), _xlfn.CONCAT("W#R1/R4-",RIGHT(H193,LEN(H193) - FIND("-",H193)))))</f>
        <v>W#R1/R4-PARK CITY</v>
      </c>
      <c r="G199" s="239">
        <v>9</v>
      </c>
      <c r="H199" s="241" t="str">
        <f>IF(G194="","W#R2/R3",IF(G194&gt;I194,_xlfn.CONCAT("W#R2/R3-",RIGHT(F194,LEN(F194) - FIND("-",F194))), _xlfn.CONCAT("W#R2/R3-",RIGHT(H194,LEN(H194) - FIND("-",H194)))))</f>
        <v>W#R2/R3-SANTA BARBARA WPC B</v>
      </c>
      <c r="I199" s="239">
        <v>7</v>
      </c>
      <c r="J199" s="241">
        <v>121</v>
      </c>
      <c r="K199" s="241">
        <v>134</v>
      </c>
      <c r="L199" s="241" t="str">
        <f t="shared" si="22"/>
        <v>12BX-093</v>
      </c>
      <c r="M199" s="62"/>
      <c r="N199" s="62" t="str">
        <f t="shared" si="24"/>
        <v>bz_1st/2ndR</v>
      </c>
    </row>
    <row r="200" spans="1:14">
      <c r="A200" s="89">
        <f t="shared" si="21"/>
        <v>46227</v>
      </c>
      <c r="B200" s="70">
        <f>'CHICLETS MASTER S2'!A37</f>
        <v>0.60416666666666696</v>
      </c>
      <c r="C200" s="71" t="s">
        <v>1044</v>
      </c>
      <c r="D200" s="71" t="str">
        <f t="shared" si="23"/>
        <v>OCEAN VIEW HS 2</v>
      </c>
      <c r="E200" s="216">
        <v>97</v>
      </c>
      <c r="F200" s="241" t="str">
        <f>IF(G195="","W#S1/S4",IF(G195&gt;I195,_xlfn.CONCAT("W#S1/S4-",RIGHT(F195,LEN(F195) - FIND("-",F195))), _xlfn.CONCAT("W#S1/S4-",RIGHT(H195,LEN(H195) - FIND("-",H195)))))</f>
        <v>W#S1/S4-AMERICAN RIVER</v>
      </c>
      <c r="G200" s="239">
        <v>3</v>
      </c>
      <c r="H200" s="239" t="str">
        <f>IF(G196="","W#S2/S3",IF(G196&gt;I196,_xlfn.CONCAT("W#S2/S3-",RIGHT(F196,LEN(F196) - FIND("-",F196))), _xlfn.CONCAT("W#S2/S3-",RIGHT(H196,LEN(H196) - FIND("-",H196)))))</f>
        <v>W#S2/S3-NORTH IRVINE RED</v>
      </c>
      <c r="I200" s="239">
        <v>7</v>
      </c>
      <c r="J200" s="239">
        <v>116</v>
      </c>
      <c r="K200" s="239">
        <v>131</v>
      </c>
      <c r="L200" s="243" t="str">
        <f t="shared" si="22"/>
        <v>12BX-097</v>
      </c>
      <c r="M200" s="95"/>
      <c r="N200" s="95" t="str">
        <f t="shared" si="24"/>
        <v>bz_1st/2ndS</v>
      </c>
    </row>
    <row r="201" spans="1:14">
      <c r="A201" s="89">
        <f t="shared" si="21"/>
        <v>46227</v>
      </c>
      <c r="B201" s="70">
        <f>'CHICLETS MASTER S2'!A38</f>
        <v>0.63888888888888895</v>
      </c>
      <c r="C201" s="237" t="s">
        <v>1045</v>
      </c>
      <c r="D201" s="71" t="str">
        <f t="shared" si="23"/>
        <v>OCEAN VIEW HS 2</v>
      </c>
      <c r="E201" s="237" t="s">
        <v>1040</v>
      </c>
      <c r="F201" s="239" t="str">
        <f>IF(G193="","L#R1/R4",IF(G193&lt;I193,_xlfn.CONCAT("L#R1/R4-",RIGHT(F193,LEN(F193) - FIND("-",F193))), _xlfn.CONCAT("L#R1/R4-",RIGHT(H193,LEN(H193) - FIND("-",H193)))))</f>
        <v>L#R1/R4-908 BLUE</v>
      </c>
      <c r="G201" s="239">
        <v>14</v>
      </c>
      <c r="H201" s="239" t="str">
        <f>IF(G194="","L#R2/R4",IF(G194&lt;I194,_xlfn.CONCAT("L#R2/R4-",RIGHT(F194,LEN(F194) - FIND("-",F194))), _xlfn.CONCAT("L#R2/R4-",RIGHT(H194,LEN(H194) - FIND("-",H194)))))</f>
        <v>L#R2/R4-ARROYO GRANDE</v>
      </c>
      <c r="I201" s="239">
        <v>5</v>
      </c>
      <c r="J201" s="239">
        <v>201</v>
      </c>
      <c r="K201" s="239" t="s">
        <v>1046</v>
      </c>
      <c r="L201" s="243" t="str">
        <f t="shared" si="22"/>
        <v>12BX-97A</v>
      </c>
      <c r="M201" s="95"/>
      <c r="N201" s="95" t="str">
        <f t="shared" si="24"/>
        <v>bz_3rd/4thR</v>
      </c>
    </row>
    <row r="202" spans="1:14">
      <c r="A202" s="89">
        <f t="shared" si="21"/>
        <v>46227</v>
      </c>
      <c r="B202" s="70">
        <f>'CHICLETS MASTER S2'!A39</f>
        <v>0.67361111111111105</v>
      </c>
      <c r="C202" s="71" t="s">
        <v>218</v>
      </c>
      <c r="D202" s="71" t="str">
        <f t="shared" si="23"/>
        <v>OCEAN VIEW HS 2</v>
      </c>
      <c r="E202" s="216">
        <v>101</v>
      </c>
      <c r="F202" s="241" t="str">
        <f>A139</f>
        <v>bz_M1(L58)-CARLSBAD B</v>
      </c>
      <c r="G202" s="239">
        <v>13</v>
      </c>
      <c r="H202" s="241" t="str">
        <f>A140</f>
        <v>bz_M2(3rdE)-YOLO</v>
      </c>
      <c r="I202" s="239">
        <v>5</v>
      </c>
      <c r="J202" s="241"/>
      <c r="K202" s="241"/>
      <c r="L202" s="241" t="str">
        <f>IF(E202="","",$L$66&amp;"-"&amp;TEXT(E202,"000"))</f>
        <v>12BX-101</v>
      </c>
      <c r="M202" s="62"/>
      <c r="N202" s="62" t="str">
        <f t="shared" si="24"/>
        <v>bz_Group</v>
      </c>
    </row>
    <row r="203" spans="1:14">
      <c r="A203" s="89">
        <f t="shared" si="21"/>
        <v>46227</v>
      </c>
      <c r="B203" s="70">
        <f>'CHICLETS MASTER S2'!A40</f>
        <v>0.70833333333333404</v>
      </c>
      <c r="C203" s="71" t="s">
        <v>218</v>
      </c>
      <c r="D203" s="71" t="str">
        <f t="shared" si="23"/>
        <v>OCEAN VIEW HS 2</v>
      </c>
      <c r="E203" s="216">
        <v>105</v>
      </c>
      <c r="F203" s="241" t="str">
        <f>B140</f>
        <v>bz_N2(3rdF)-PUNAHOU</v>
      </c>
      <c r="G203" s="239">
        <v>19</v>
      </c>
      <c r="H203" s="241" t="str">
        <f>B141</f>
        <v>bz_N3(3rdK)-680 DRIVERS</v>
      </c>
      <c r="I203" s="239">
        <v>4</v>
      </c>
      <c r="J203" s="241"/>
      <c r="K203" s="241"/>
      <c r="L203" s="241" t="str">
        <f>IF(E203="","",$L$66&amp;"-"&amp;TEXT(E203,"000"))</f>
        <v>12BX-105</v>
      </c>
      <c r="M203" s="62"/>
      <c r="N203" s="62" t="str">
        <f t="shared" si="24"/>
        <v>bz_Group</v>
      </c>
    </row>
    <row r="204" spans="1:14">
      <c r="A204" s="89">
        <f t="shared" si="21"/>
        <v>46227</v>
      </c>
      <c r="B204" s="70">
        <f>'CHICLETS MASTER S2'!A41</f>
        <v>0.74305555555555602</v>
      </c>
      <c r="C204" s="71" t="s">
        <v>1047</v>
      </c>
      <c r="D204" s="71" t="str">
        <f t="shared" si="23"/>
        <v>OCEAN VIEW HS 2</v>
      </c>
      <c r="E204" s="216">
        <v>111</v>
      </c>
      <c r="F204" s="239" t="str">
        <f>IF(G195="","L#S1/S4",IF(G195&lt;I195,_xlfn.CONCAT("L#S1/S4-",RIGHT(F195,LEN(F195) - FIND("-",F195))), _xlfn.CONCAT("L#S1/S4-",RIGHT(H195,LEN(H195) - FIND("-",H195)))))</f>
        <v>L#S1/S4-ORWP RED</v>
      </c>
      <c r="G204" s="239">
        <v>1</v>
      </c>
      <c r="H204" s="239" t="str">
        <f>IF(G196="","L#S2/S3",IF(G196&lt;I196,_xlfn.CONCAT("L#S2/S3-",RIGHT(F196,LEN(F196) - FIND("-",F196))), _xlfn.CONCAT("L#S2/S3-",RIGHT(H196,LEN(H196) - FIND("-",H196)))))</f>
        <v>L#S2/S3-FOOTHILL BLACK</v>
      </c>
      <c r="I204" s="239">
        <v>11</v>
      </c>
      <c r="J204" s="239">
        <v>203</v>
      </c>
      <c r="K204" s="239" t="s">
        <v>1048</v>
      </c>
      <c r="L204" s="243" t="str">
        <f>IF(E204="","",$L$66&amp;"-"&amp;TEXT(E204,"000"))</f>
        <v>12BX-111</v>
      </c>
      <c r="M204" s="95"/>
      <c r="N204" s="95" t="str">
        <f t="shared" si="24"/>
        <v>bz_3rd/4thS</v>
      </c>
    </row>
    <row r="205" spans="1:14" ht="17.25" thickBot="1">
      <c r="A205" s="78"/>
      <c r="B205" s="79"/>
      <c r="C205" s="60"/>
      <c r="D205" s="60"/>
      <c r="E205" s="60"/>
    </row>
    <row r="206" spans="1:14" ht="17.25" thickBot="1">
      <c r="A206" s="60"/>
      <c r="B206" s="60"/>
      <c r="C206" s="60"/>
      <c r="D206" s="68" t="str">
        <f>'CHICLETS MASTER S2'!F27</f>
        <v>CAPISTRANO VALLEY HS 2</v>
      </c>
      <c r="E206" s="62"/>
      <c r="F206" s="60"/>
      <c r="G206" s="64"/>
      <c r="H206" s="60"/>
      <c r="I206" s="60"/>
      <c r="J206" s="62"/>
      <c r="K206" s="62"/>
      <c r="L206" s="62"/>
      <c r="M206" s="62"/>
      <c r="N206" s="62"/>
    </row>
    <row r="207" spans="1:14">
      <c r="A207" s="214" t="s">
        <v>124</v>
      </c>
      <c r="B207" s="214" t="s">
        <v>125</v>
      </c>
      <c r="C207" s="214" t="s">
        <v>126</v>
      </c>
      <c r="D207" s="214" t="s">
        <v>127</v>
      </c>
      <c r="E207" s="214" t="s">
        <v>128</v>
      </c>
      <c r="F207" s="214" t="s">
        <v>129</v>
      </c>
      <c r="G207" s="214" t="s">
        <v>130</v>
      </c>
      <c r="H207" s="214" t="s">
        <v>131</v>
      </c>
      <c r="I207" s="214" t="s">
        <v>130</v>
      </c>
      <c r="J207" s="214" t="s">
        <v>132</v>
      </c>
      <c r="K207" s="214" t="s">
        <v>133</v>
      </c>
      <c r="L207" s="214" t="s">
        <v>134</v>
      </c>
      <c r="M207" s="62"/>
      <c r="N207" s="62"/>
    </row>
    <row r="208" spans="1:14">
      <c r="A208" s="89">
        <f t="shared" ref="A208:A222" si="25">$A$159</f>
        <v>46227</v>
      </c>
      <c r="B208" s="70">
        <f>'CHICLETS MASTER S2'!A28</f>
        <v>0.29166666666666669</v>
      </c>
      <c r="C208" s="71" t="s">
        <v>218</v>
      </c>
      <c r="D208" s="71" t="str">
        <f t="shared" ref="D208:D222" si="26">$D$206</f>
        <v>CAPISTRANO VALLEY HS 2</v>
      </c>
      <c r="E208" s="216">
        <v>66</v>
      </c>
      <c r="F208" s="241" t="str">
        <f>C139</f>
        <v>bz_O1(L64)-LA JOLLA UNITED B</v>
      </c>
      <c r="G208" s="239">
        <v>9</v>
      </c>
      <c r="H208" s="241" t="str">
        <f>C140</f>
        <v>bz_O2(3rdG)-CLOVIS</v>
      </c>
      <c r="I208" s="239">
        <v>6</v>
      </c>
      <c r="J208" s="241"/>
      <c r="K208" s="241"/>
      <c r="L208" s="241" t="str">
        <f t="shared" ref="L208:L222" si="27">IF(E208="","",$L$66&amp;"-"&amp;TEXT(E208,"000"))</f>
        <v>12BX-066</v>
      </c>
      <c r="M208" s="62"/>
      <c r="N208" s="62" t="str">
        <f t="shared" ref="N208:N222" si="28">$M$159&amp;C208</f>
        <v>bz_Group</v>
      </c>
    </row>
    <row r="209" spans="1:14">
      <c r="A209" s="89">
        <f t="shared" si="25"/>
        <v>46227</v>
      </c>
      <c r="B209" s="70">
        <f>'CHICLETS MASTER S2'!A29</f>
        <v>0.3263888888888889</v>
      </c>
      <c r="C209" s="71" t="s">
        <v>1049</v>
      </c>
      <c r="D209" s="71" t="str">
        <f t="shared" si="26"/>
        <v>CAPISTRANO VALLEY HS 2</v>
      </c>
      <c r="E209" s="216">
        <v>70</v>
      </c>
      <c r="F209" s="241" t="str">
        <f>D145</f>
        <v xml:space="preserve">bz_U1(L59)-STANFORD WHITE	</v>
      </c>
      <c r="G209" s="239">
        <v>18</v>
      </c>
      <c r="H209" s="243" t="str">
        <f>D148</f>
        <v>bz_U4(4thE)-CAL REPUBLIC RED</v>
      </c>
      <c r="I209" s="239">
        <v>4</v>
      </c>
      <c r="J209" s="241">
        <v>90</v>
      </c>
      <c r="K209" s="241" t="s">
        <v>1050</v>
      </c>
      <c r="L209" s="241" t="str">
        <f t="shared" si="27"/>
        <v>12BX-070</v>
      </c>
      <c r="M209" s="62"/>
      <c r="N209" s="62" t="str">
        <f t="shared" si="28"/>
        <v>bz_U Group of 4</v>
      </c>
    </row>
    <row r="210" spans="1:14">
      <c r="A210" s="89">
        <f t="shared" si="25"/>
        <v>46227</v>
      </c>
      <c r="B210" s="70">
        <f>'CHICLETS MASTER S2'!A30</f>
        <v>0.36111111111111099</v>
      </c>
      <c r="C210" s="71" t="s">
        <v>1049</v>
      </c>
      <c r="D210" s="71" t="str">
        <f t="shared" si="26"/>
        <v>CAPISTRANO VALLEY HS 2</v>
      </c>
      <c r="E210" s="216">
        <v>106</v>
      </c>
      <c r="F210" s="239" t="str">
        <f>D146</f>
        <v>bz_U2(3rdD)-SD DONS GOLD</v>
      </c>
      <c r="G210" s="239">
        <v>4</v>
      </c>
      <c r="H210" s="239" t="str">
        <f>D147</f>
        <v>bz_U3(3rdM)-OCWPC RED</v>
      </c>
      <c r="I210" s="239">
        <v>16</v>
      </c>
      <c r="J210" s="241">
        <v>90</v>
      </c>
      <c r="K210" s="241" t="s">
        <v>1050</v>
      </c>
      <c r="L210" s="241" t="str">
        <f>IF(E210="","",$L$66&amp;"-"&amp;TEXT(E210,"000"))</f>
        <v>12BX-106</v>
      </c>
      <c r="M210" s="62"/>
      <c r="N210" s="62" t="str">
        <f t="shared" si="28"/>
        <v>bz_U Group of 4</v>
      </c>
    </row>
    <row r="211" spans="1:14">
      <c r="A211" s="89">
        <f t="shared" si="25"/>
        <v>46227</v>
      </c>
      <c r="B211" s="70">
        <f>'CHICLETS MASTER S2'!A31</f>
        <v>0.39583333333333398</v>
      </c>
      <c r="C211" s="226" t="s">
        <v>1051</v>
      </c>
      <c r="D211" s="71" t="str">
        <f t="shared" si="26"/>
        <v>CAPISTRANO VALLEY HS 2</v>
      </c>
      <c r="E211" s="216">
        <v>74</v>
      </c>
      <c r="F211" s="244" t="str">
        <f>D139</f>
        <v>bz_P1(L61)-680 WHITE</v>
      </c>
      <c r="G211" s="245">
        <v>10</v>
      </c>
      <c r="H211" s="244" t="str">
        <f>D142</f>
        <v>bz_P4(4thM)-TROJAN GOLD</v>
      </c>
      <c r="I211" s="239">
        <v>6</v>
      </c>
      <c r="J211" s="241">
        <v>94</v>
      </c>
      <c r="K211" s="241">
        <v>110</v>
      </c>
      <c r="L211" s="241" t="str">
        <f t="shared" si="27"/>
        <v>12BX-074</v>
      </c>
      <c r="M211" s="62"/>
      <c r="N211" s="246" t="str">
        <f t="shared" si="28"/>
        <v>bz_P group of 4</v>
      </c>
    </row>
    <row r="212" spans="1:14">
      <c r="A212" s="89">
        <f t="shared" si="25"/>
        <v>46227</v>
      </c>
      <c r="B212" s="70">
        <f>'CHICLETS MASTER S2'!A32</f>
        <v>0.43055555555555602</v>
      </c>
      <c r="C212" s="226" t="s">
        <v>1051</v>
      </c>
      <c r="D212" s="71" t="str">
        <f t="shared" si="26"/>
        <v>CAPISTRANO VALLEY HS 2</v>
      </c>
      <c r="E212" s="216" t="s">
        <v>1052</v>
      </c>
      <c r="F212" s="244" t="str">
        <f>D140</f>
        <v xml:space="preserve">bz_P2(3rdH)-LAMORINDA C	</v>
      </c>
      <c r="G212" s="245">
        <v>11</v>
      </c>
      <c r="H212" s="244" t="str">
        <f>D141</f>
        <v>bz_P3(3rdI)-BROOKYLN HUSTLE</v>
      </c>
      <c r="I212" s="239">
        <v>12</v>
      </c>
      <c r="J212" s="241">
        <v>94</v>
      </c>
      <c r="K212" s="241">
        <v>110</v>
      </c>
      <c r="L212" s="241" t="str">
        <f t="shared" si="27"/>
        <v>12BX-74A</v>
      </c>
      <c r="M212" s="62"/>
      <c r="N212" s="246" t="str">
        <f t="shared" si="28"/>
        <v>bz_P group of 4</v>
      </c>
    </row>
    <row r="213" spans="1:14">
      <c r="A213" s="89">
        <f t="shared" si="25"/>
        <v>46227</v>
      </c>
      <c r="B213" s="70">
        <f>'CHICLETS MASTER S2'!A33</f>
        <v>0.46527777777777801</v>
      </c>
      <c r="C213" s="71" t="s">
        <v>1053</v>
      </c>
      <c r="D213" s="71" t="str">
        <f t="shared" si="26"/>
        <v>CAPISTRANO VALLEY HS 2</v>
      </c>
      <c r="E213" s="216">
        <v>78</v>
      </c>
      <c r="F213" s="239" t="str">
        <f>C146</f>
        <v>bz_T2(3rdC)-CC UNITED WHITE</v>
      </c>
      <c r="G213" s="239">
        <v>17</v>
      </c>
      <c r="H213" s="239" t="str">
        <f>C147</f>
        <v>bz_T3(3rdN)-DAVIS WHITE</v>
      </c>
      <c r="I213" s="239">
        <v>1</v>
      </c>
      <c r="J213" s="239">
        <v>98</v>
      </c>
      <c r="K213" s="239">
        <v>112</v>
      </c>
      <c r="L213" s="243" t="str">
        <f t="shared" si="27"/>
        <v>12BX-078</v>
      </c>
      <c r="M213" s="95"/>
      <c r="N213" s="95" t="str">
        <f t="shared" si="28"/>
        <v>bz_T group of 4</v>
      </c>
    </row>
    <row r="214" spans="1:14">
      <c r="A214" s="89">
        <f t="shared" si="25"/>
        <v>46227</v>
      </c>
      <c r="B214" s="70">
        <f>'CHICLETS MASTER S2'!A34</f>
        <v>0.5</v>
      </c>
      <c r="C214" s="71" t="s">
        <v>1053</v>
      </c>
      <c r="D214" s="71" t="str">
        <f t="shared" si="26"/>
        <v>CAPISTRANO VALLEY HS 2</v>
      </c>
      <c r="E214" s="216">
        <v>82</v>
      </c>
      <c r="F214" s="239" t="str">
        <f>C145</f>
        <v>bz_T1(L62)-DIABLO ALLIANCE A</v>
      </c>
      <c r="G214" s="239">
        <v>8</v>
      </c>
      <c r="H214" s="239" t="str">
        <f>C148</f>
        <v>bz_T4(4thF)-SHAQ WHITE</v>
      </c>
      <c r="I214" s="239">
        <v>9</v>
      </c>
      <c r="J214" s="239">
        <v>98</v>
      </c>
      <c r="K214" s="239">
        <v>112</v>
      </c>
      <c r="L214" s="243" t="str">
        <f t="shared" si="27"/>
        <v>12BX-082</v>
      </c>
      <c r="M214" s="95"/>
      <c r="N214" s="95" t="str">
        <f t="shared" si="28"/>
        <v>bz_T group of 4</v>
      </c>
    </row>
    <row r="215" spans="1:14">
      <c r="A215" s="89">
        <f t="shared" si="25"/>
        <v>46227</v>
      </c>
      <c r="B215" s="70">
        <f>'CHICLETS MASTER S2'!A35</f>
        <v>0.53472222222222199</v>
      </c>
      <c r="C215" s="71" t="s">
        <v>218</v>
      </c>
      <c r="D215" s="71" t="str">
        <f t="shared" si="26"/>
        <v>CAPISTRANO VALLEY HS 2</v>
      </c>
      <c r="E215" s="216">
        <v>86</v>
      </c>
      <c r="F215" s="241" t="str">
        <f>C139</f>
        <v>bz_O1(L64)-LA JOLLA UNITED B</v>
      </c>
      <c r="G215" s="239">
        <v>6.4</v>
      </c>
      <c r="H215" s="241" t="str">
        <f>C141</f>
        <v>bz_O3(3rdJ)-CDM WHITE</v>
      </c>
      <c r="I215" s="239">
        <v>6.5</v>
      </c>
      <c r="J215" s="243"/>
      <c r="K215" s="243"/>
      <c r="L215" s="241" t="str">
        <f t="shared" si="27"/>
        <v>12BX-086</v>
      </c>
      <c r="M215" s="95"/>
      <c r="N215" s="62" t="str">
        <f t="shared" si="28"/>
        <v>bz_Group</v>
      </c>
    </row>
    <row r="216" spans="1:14">
      <c r="A216" s="89">
        <f t="shared" si="25"/>
        <v>46227</v>
      </c>
      <c r="B216" s="70">
        <f>'CHICLETS MASTER S2'!A36</f>
        <v>0.56944444444444497</v>
      </c>
      <c r="C216" s="71" t="s">
        <v>1054</v>
      </c>
      <c r="D216" s="71" t="str">
        <f t="shared" si="26"/>
        <v>CAPISTRANO VALLEY HS 2</v>
      </c>
      <c r="E216" s="216">
        <v>90</v>
      </c>
      <c r="F216" s="241" t="str">
        <f>IF(G209="","W#U1/U4",IF(G209&gt;I209,_xlfn.CONCAT("W#U1/U4-",RIGHT(F209,LEN(F209) - FIND("-",F209))), _xlfn.CONCAT("W#U1/U4-",RIGHT(H209,LEN(H209) - FIND("-",H209)))))</f>
        <v xml:space="preserve">W#U1/U4-STANFORD WHITE	</v>
      </c>
      <c r="G216" s="239">
        <v>13</v>
      </c>
      <c r="H216" s="239" t="str">
        <f>IF(G210="","W#U2/U3",IF(G210&gt;I210,_xlfn.CONCAT("W#U2/U3-",RIGHT(F210,LEN(F210) - FIND("-",F210))), _xlfn.CONCAT("W#U2/U3-",RIGHT(H210,LEN(H210) - FIND("-",H210)))))</f>
        <v>W#U2/U3-OCWPC RED</v>
      </c>
      <c r="I216" s="239">
        <v>8</v>
      </c>
      <c r="J216" s="241">
        <v>115</v>
      </c>
      <c r="K216" s="241">
        <v>125</v>
      </c>
      <c r="L216" s="241" t="str">
        <f t="shared" si="27"/>
        <v>12BX-090</v>
      </c>
      <c r="M216" s="95"/>
      <c r="N216" s="62" t="str">
        <f t="shared" si="28"/>
        <v>bz_1st/2ndU</v>
      </c>
    </row>
    <row r="217" spans="1:14">
      <c r="A217" s="89">
        <f t="shared" si="25"/>
        <v>46227</v>
      </c>
      <c r="B217" s="70">
        <f>'CHICLETS MASTER S2'!A37</f>
        <v>0.60416666666666696</v>
      </c>
      <c r="C217" s="71" t="s">
        <v>1055</v>
      </c>
      <c r="D217" s="71" t="str">
        <f t="shared" si="26"/>
        <v>CAPISTRANO VALLEY HS 2</v>
      </c>
      <c r="E217" s="247" t="s">
        <v>1050</v>
      </c>
      <c r="F217" s="241" t="str">
        <f>IF(G209="","L#U1/U4",IF(G209&lt;I209,_xlfn.CONCAT("L#U1/U4-",RIGHT(F209,LEN(F209) - FIND("-",F209))), _xlfn.CONCAT("L#U1/U4-",RIGHT(H209,LEN(H209) - FIND("-",H209)))))</f>
        <v>L#U1/U4-CAL REPUBLIC RED</v>
      </c>
      <c r="G217" s="239">
        <v>5</v>
      </c>
      <c r="H217" s="241" t="str">
        <f>IF(G210="","L#U2/U3",IF(G210&lt;I210,_xlfn.CONCAT("L#U2/U3-",RIGHT(F210,LEN(F210) - FIND("-",F210))), _xlfn.CONCAT("L#U2/U3-",RIGHT(H210,LEN(H210) - FIND("-",H210)))))</f>
        <v>L#U2/U3-SD DONS GOLD</v>
      </c>
      <c r="I217" s="239">
        <v>13</v>
      </c>
      <c r="J217" s="241">
        <v>204</v>
      </c>
      <c r="K217" s="241" t="s">
        <v>1056</v>
      </c>
      <c r="L217" s="248" t="str">
        <f t="shared" si="27"/>
        <v>12BX-90A</v>
      </c>
      <c r="M217" s="95"/>
      <c r="N217" s="62" t="str">
        <f t="shared" si="28"/>
        <v>bz_3rd/4thU</v>
      </c>
    </row>
    <row r="218" spans="1:14">
      <c r="A218" s="89">
        <f t="shared" si="25"/>
        <v>46227</v>
      </c>
      <c r="B218" s="70">
        <f>'CHICLETS MASTER S2'!A38</f>
        <v>0.63888888888888895</v>
      </c>
      <c r="C218" s="226" t="s">
        <v>1057</v>
      </c>
      <c r="D218" s="71" t="str">
        <f t="shared" si="26"/>
        <v>CAPISTRANO VALLEY HS 2</v>
      </c>
      <c r="E218" s="216">
        <v>94</v>
      </c>
      <c r="F218" s="245" t="str">
        <f>IF(G211="","W#P1/P4",IF(G211&gt;I211,_xlfn.CONCAT("W#P1/P4-",RIGHT(F211,LEN(F211) - FIND("-",F211))), _xlfn.CONCAT("W#P1/P4-",RIGHT(H211,LEN(H211) - FIND("-",H211)))))</f>
        <v>W#P1/P4-680 WHITE</v>
      </c>
      <c r="G218" s="245">
        <v>12</v>
      </c>
      <c r="H218" s="245" t="str">
        <f>IF(G212="","W#P2/P3",IF(G212&gt;I212,_xlfn.CONCAT("W#P2/P3-",RIGHT(F212,LEN(F212) - FIND("-",F212))), _xlfn.CONCAT("W#P2/P3-",RIGHT(H212,LEN(H212) - FIND("-",H212)))))</f>
        <v>W#P2/P3-BROOKYLN HUSTLE</v>
      </c>
      <c r="I218" s="239">
        <v>7</v>
      </c>
      <c r="J218" s="241">
        <v>120</v>
      </c>
      <c r="K218" s="241">
        <v>130</v>
      </c>
      <c r="L218" s="241" t="str">
        <f t="shared" si="27"/>
        <v>12BX-094</v>
      </c>
      <c r="M218" s="95"/>
      <c r="N218" s="62" t="str">
        <f t="shared" si="28"/>
        <v>bz_1st/2ndP</v>
      </c>
    </row>
    <row r="219" spans="1:14">
      <c r="A219" s="89">
        <f t="shared" si="25"/>
        <v>46227</v>
      </c>
      <c r="B219" s="70">
        <f>'CHICLETS MASTER S2'!A39</f>
        <v>0.67361111111111105</v>
      </c>
      <c r="C219" s="226" t="s">
        <v>1058</v>
      </c>
      <c r="D219" s="71" t="str">
        <f t="shared" si="26"/>
        <v>CAPISTRANO VALLEY HS 2</v>
      </c>
      <c r="E219" s="216">
        <v>110</v>
      </c>
      <c r="F219" s="245" t="str">
        <f>IF(G211="","L#P1/P4",IF(G211&lt;I211,_xlfn.CONCAT("L#P1/P4-",RIGHT(F211,LEN(F211) - FIND("-",F211))), _xlfn.CONCAT("L#P1/P4-",RIGHT(H211,LEN(H211) - FIND("-",H211)))))</f>
        <v>L#P1/P4-TROJAN GOLD</v>
      </c>
      <c r="G219" s="245">
        <v>10</v>
      </c>
      <c r="H219" s="245" t="str">
        <f>IF(G212="","L#P2/P3",IF(G212&lt;I212,_xlfn.CONCAT("L#P2/P3-",RIGHT(F212,LEN(F212) - FIND("-",F212))), _xlfn.CONCAT("L#P2/P3-",RIGHT(H212,LEN(H212) - FIND("-",H212)))))</f>
        <v xml:space="preserve">L#P2/P3-LAMORINDA C	</v>
      </c>
      <c r="I219" s="239">
        <v>9</v>
      </c>
      <c r="J219" s="241">
        <v>202</v>
      </c>
      <c r="K219" s="241" t="s">
        <v>1048</v>
      </c>
      <c r="L219" s="241" t="str">
        <f>IF(E219="","",$L$66&amp;"-"&amp;TEXT(E219,"000"))</f>
        <v>12BX-110</v>
      </c>
      <c r="M219" s="62"/>
      <c r="N219" s="62" t="str">
        <f>$M$159&amp;C219</f>
        <v>bz_3rd/4thP</v>
      </c>
    </row>
    <row r="220" spans="1:14">
      <c r="A220" s="89">
        <f t="shared" si="25"/>
        <v>46227</v>
      </c>
      <c r="B220" s="70">
        <f>'CHICLETS MASTER S2'!A40</f>
        <v>0.70833333333333404</v>
      </c>
      <c r="C220" s="71" t="s">
        <v>1059</v>
      </c>
      <c r="D220" s="71" t="str">
        <f t="shared" si="26"/>
        <v>CAPISTRANO VALLEY HS 2</v>
      </c>
      <c r="E220" s="216">
        <v>98</v>
      </c>
      <c r="F220" s="239" t="str">
        <f>IF(G214="","W#T1/T4",IF(G214&gt;I214,_xlfn.CONCAT("W#T1/T4-",RIGHT(F214,LEN(F214) - FIND("-",F214))), _xlfn.CONCAT("W#T1/T4-",RIGHT(H214,LEN(H214) - FIND("-",H214)))))</f>
        <v>W#T1/T4-SHAQ WHITE</v>
      </c>
      <c r="G220" s="239">
        <v>6</v>
      </c>
      <c r="H220" s="239" t="str">
        <f>IF(G213="","W#T2/T3",IF(G213&gt;I213,_xlfn.CONCAT("W#T2/T3-",RIGHT(F213,LEN(F213) - FIND("-",F213))), _xlfn.CONCAT("W#T2/T3-",RIGHT(H213,LEN(H213) - FIND("-",H213)))))</f>
        <v>W#T2/T3-CC UNITED WHITE</v>
      </c>
      <c r="I220" s="239">
        <v>12</v>
      </c>
      <c r="J220" s="239">
        <v>120</v>
      </c>
      <c r="K220" s="239">
        <v>130</v>
      </c>
      <c r="L220" s="243" t="str">
        <f t="shared" si="27"/>
        <v>12BX-098</v>
      </c>
      <c r="M220" s="95"/>
      <c r="N220" s="95" t="str">
        <f t="shared" si="28"/>
        <v>bz_1st/2ndT</v>
      </c>
    </row>
    <row r="221" spans="1:14">
      <c r="A221" s="89">
        <f t="shared" si="25"/>
        <v>46227</v>
      </c>
      <c r="B221" s="70">
        <f>'CHICLETS MASTER S2'!A41</f>
        <v>0.74305555555555602</v>
      </c>
      <c r="C221" s="71" t="s">
        <v>218</v>
      </c>
      <c r="D221" s="71" t="str">
        <f t="shared" si="26"/>
        <v>CAPISTRANO VALLEY HS 2</v>
      </c>
      <c r="E221" s="216">
        <v>102</v>
      </c>
      <c r="F221" s="239" t="str">
        <f>C140</f>
        <v>bz_O2(3rdG)-CLOVIS</v>
      </c>
      <c r="G221" s="239">
        <v>10</v>
      </c>
      <c r="H221" s="239" t="str">
        <f>C141</f>
        <v>bz_O3(3rdJ)-CDM WHITE</v>
      </c>
      <c r="I221" s="239">
        <v>8</v>
      </c>
      <c r="J221" s="243"/>
      <c r="K221" s="243"/>
      <c r="L221" s="241" t="str">
        <f t="shared" si="27"/>
        <v>12BX-102</v>
      </c>
      <c r="M221" s="95"/>
      <c r="N221" s="62" t="str">
        <f t="shared" si="28"/>
        <v>bz_Group</v>
      </c>
    </row>
    <row r="222" spans="1:14">
      <c r="A222" s="89">
        <f t="shared" si="25"/>
        <v>46227</v>
      </c>
      <c r="B222" s="70">
        <f>'CHICLETS MASTER S2'!A42</f>
        <v>0.77777777777777801</v>
      </c>
      <c r="C222" s="71" t="s">
        <v>1060</v>
      </c>
      <c r="D222" s="71" t="str">
        <f t="shared" si="26"/>
        <v>CAPISTRANO VALLEY HS 2</v>
      </c>
      <c r="E222" s="216">
        <v>112</v>
      </c>
      <c r="F222" s="239" t="str">
        <f>IF(G214="","L#T1/T4",IF(G214&lt;I214,_xlfn.CONCAT("L#T1/T4-",RIGHT(F214,LEN(F214) - FIND("-",F214))), _xlfn.CONCAT("L#T1/T4-",RIGHT(H214,LEN(H214) - FIND("-",H214)))))</f>
        <v>L#T1/T4-DIABLO ALLIANCE A</v>
      </c>
      <c r="G222" s="239">
        <v>13</v>
      </c>
      <c r="H222" s="239" t="str">
        <f>IF(G213="","L#T2/T3",IF(G213&lt;I213,_xlfn.CONCAT("L#T2/T3-",RIGHT(F213,LEN(F213) - FIND("-",F213))), _xlfn.CONCAT("L#T2/T3-",RIGHT(H213,LEN(H213) - FIND("-",H213)))))</f>
        <v>L#T2/T3-DAVIS WHITE</v>
      </c>
      <c r="I222" s="239">
        <v>6</v>
      </c>
      <c r="J222" s="239">
        <v>202</v>
      </c>
      <c r="K222" s="239" t="s">
        <v>1061</v>
      </c>
      <c r="L222" s="243" t="str">
        <f t="shared" si="27"/>
        <v>12BX-112</v>
      </c>
      <c r="M222" s="95"/>
      <c r="N222" s="95" t="str">
        <f t="shared" si="28"/>
        <v>bz_3rd/4thT</v>
      </c>
    </row>
    <row r="223" spans="1:14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</row>
    <row r="224" spans="1:14">
      <c r="A224" s="62"/>
      <c r="B224" s="62"/>
      <c r="C224" s="62"/>
      <c r="D224" s="62"/>
      <c r="E224" s="62"/>
      <c r="K224" s="62"/>
      <c r="L224" s="62"/>
      <c r="M224" s="62"/>
      <c r="N224" s="62"/>
    </row>
    <row r="225" spans="1:23">
      <c r="B225" s="200" t="s">
        <v>1062</v>
      </c>
      <c r="D225" s="62"/>
      <c r="E225" s="62"/>
      <c r="K225" s="62"/>
      <c r="L225" s="62"/>
      <c r="M225" s="62"/>
      <c r="N225" s="62"/>
    </row>
    <row r="226" spans="1:23">
      <c r="A226" s="200" t="s">
        <v>1063</v>
      </c>
      <c r="B226" s="200" t="s">
        <v>988</v>
      </c>
      <c r="C226" s="213" t="s">
        <v>1064</v>
      </c>
      <c r="D226" s="90" t="s">
        <v>1065</v>
      </c>
      <c r="F226" s="249" t="s">
        <v>1066</v>
      </c>
      <c r="G226" s="249" t="s">
        <v>1066</v>
      </c>
      <c r="H226" s="249" t="s">
        <v>1066</v>
      </c>
      <c r="K226" s="62"/>
      <c r="L226" s="62"/>
      <c r="M226" s="62"/>
      <c r="N226" s="62"/>
    </row>
    <row r="227" spans="1:23">
      <c r="A227" s="200" t="s">
        <v>1067</v>
      </c>
      <c r="B227" s="200" t="s">
        <v>994</v>
      </c>
      <c r="C227" s="213" t="s">
        <v>1068</v>
      </c>
      <c r="D227" s="90" t="s">
        <v>1069</v>
      </c>
      <c r="F227" s="250" t="s">
        <v>1070</v>
      </c>
      <c r="G227" s="250" t="s">
        <v>1071</v>
      </c>
      <c r="H227" s="251" t="s">
        <v>1072</v>
      </c>
      <c r="K227" s="62"/>
      <c r="L227" s="62"/>
      <c r="M227" s="62"/>
      <c r="N227" s="62"/>
    </row>
    <row r="228" spans="1:23">
      <c r="A228" s="200" t="s">
        <v>1073</v>
      </c>
      <c r="B228" s="200" t="s">
        <v>1000</v>
      </c>
      <c r="C228" s="213" t="s">
        <v>1074</v>
      </c>
      <c r="D228" s="90" t="s">
        <v>1075</v>
      </c>
      <c r="F228" s="245" t="str">
        <f>IF(G276="","bz_V1(L203)",IF(G276&lt;I276,_xlfn.CONCAT("bz_V1(L203)-",RIGHT(F276,LEN(F276) - FIND("-",F276))), _xlfn.CONCAT("bz_V1(L203)-",RIGHT(H276,LEN(H276) - FIND("-",H276)))))</f>
        <v>bz_V1(L203)-YOLO</v>
      </c>
      <c r="G228" s="252" t="str">
        <f>IF(G277="","bz_W1(L204)",IF(G277&lt;I277,_xlfn.CONCAT("bz_W1(L204)-",RIGHT(F277,LEN(F277) - FIND("-",F277))), _xlfn.CONCAT("bz_W1(L204)-",RIGHT(H277,LEN(H277) - FIND("-",H277)))))</f>
        <v>bz_W1(L204)-SD DONS GOLD</v>
      </c>
      <c r="H228" s="253" t="str">
        <f>IF(G292="","bz_X1(L201)",IF(G292&lt;I292,_xlfn.CONCAT("bz_X1(L201)-",RIGHT(F292,LEN(F292) - FIND("-",F292))), _xlfn.CONCAT("bz_X1(L201)-",RIGHT(H292,LEN(H292) - FIND("-",H292)))))</f>
        <v>bz_X1(L201)-680 DRIVERS</v>
      </c>
      <c r="K228" s="62"/>
      <c r="L228" s="62"/>
      <c r="M228" s="62"/>
      <c r="N228" s="62"/>
    </row>
    <row r="229" spans="1:23">
      <c r="A229" s="200" t="s">
        <v>1076</v>
      </c>
      <c r="B229" s="200" t="s">
        <v>1006</v>
      </c>
      <c r="C229" s="213" t="s">
        <v>1077</v>
      </c>
      <c r="D229" s="90" t="s">
        <v>1078</v>
      </c>
      <c r="F229" s="245" t="str">
        <f>IF(G201="","bz_V2(4th_bz_R)(L97A)",IF(G201&lt;I201,_xlfn.CONCAT("bz_V2(4th_bz_R)(L97A)-",RIGHT(F201,LEN(F201) - FIND("-",F201))), _xlfn.CONCAT("bz_V2(4th_bz_R)(L97A)-",RIGHT(H201,LEN(H201) - FIND("-",H201)))))</f>
        <v>bz_V2(4th_bz_R)(L97A)-ARROYO GRANDE</v>
      </c>
      <c r="G229" s="253" t="str">
        <f>IF(G204="","bz_W2(4th_bz_S)(L111)",IF(G204&lt;I204,_xlfn.CONCAT("bz_W2(4th_bz_S)(L111)-",RIGHT(F204,LEN(F204) - FIND("-",F204))), _xlfn.CONCAT("bz_W2(4th_bz_S)(L111)-",RIGHT(H204,LEN(H204) - FIND("-",H204)))))</f>
        <v>bz_W2(4th_bz_S)(L111)-ORWP RED</v>
      </c>
      <c r="H229" s="252" t="str">
        <f>IF(G293="","bz_X2(L202)",IF(G293&lt;I293,_xlfn.CONCAT("bz_X2(L202)-",RIGHT(F293,LEN(F293) - FIND("-",F293))), _xlfn.CONCAT("bz_X2(L202)-",RIGHT(H293,LEN(H293) - FIND("-",H293)))))</f>
        <v>bz_X2(L202)-DIABLO ALLIANCE A</v>
      </c>
      <c r="K229" s="62"/>
      <c r="L229" s="62"/>
      <c r="M229" s="62"/>
      <c r="N229" s="62"/>
    </row>
    <row r="230" spans="1:23">
      <c r="C230" s="213"/>
      <c r="D230" s="62"/>
      <c r="E230" s="62"/>
      <c r="F230" s="245" t="str">
        <f>IF(G219="","bz_V3(4th_bz_P)(L110)",IF(G219&lt;I219,_xlfn.CONCAT("bz_V3(4th_bz_P)(L110)-",RIGHT(F219,LEN(F219) - FIND("-",F219))), _xlfn.CONCAT("bz_V3(4th_bz_P)(L110)-",RIGHT(H219,LEN(H219) - FIND("-",H219)))))</f>
        <v xml:space="preserve">bz_V3(4th_bz_P)(L110)-LAMORINDA C	</v>
      </c>
      <c r="G230" s="253" t="str">
        <f>IF(G222="","bz_W3(4th_bz_T)(L112)",IF(G222&lt;I222,_xlfn.CONCAT("bz_W3(4th_bz_T)(L112)-",RIGHT(F222,LEN(F222) - FIND("-",F222))), _xlfn.CONCAT("bz_W3(4th_bz_T)(L112)-",RIGHT(H222,LEN(H222) - FIND("-",H222)))))</f>
        <v>bz_W3(4th_bz_T)(L112)-DAVIS WHITE</v>
      </c>
      <c r="H230" s="253" t="str">
        <f>IF(G217="","bz_X3(4th_bz_U)(L90A)",IF(G217&lt;I217,_xlfn.CONCAT("bz_X3(4th_bz_U)(L90A)-",RIGHT(F217,LEN(F217) - FIND("-",F217))), _xlfn.CONCAT("bz_X3(4th_bz_U)(L90A)-",RIGHT(H217,LEN(H217) - FIND("-",H217)))))</f>
        <v>bz_X3(4th_bz_U)(L90A)-CAL REPUBLIC RED</v>
      </c>
      <c r="K230" s="62"/>
      <c r="L230" s="62"/>
      <c r="M230" s="62"/>
      <c r="N230" s="62"/>
    </row>
    <row r="231" spans="1:23">
      <c r="B231" s="200" t="s">
        <v>1079</v>
      </c>
      <c r="C231" s="213"/>
      <c r="D231" s="62"/>
      <c r="G231" s="200"/>
      <c r="L231" s="62"/>
      <c r="N231" s="62"/>
      <c r="W231" s="62"/>
    </row>
    <row r="232" spans="1:23">
      <c r="A232" s="200" t="s">
        <v>1013</v>
      </c>
      <c r="B232" s="200" t="s">
        <v>1014</v>
      </c>
      <c r="C232" s="213" t="s">
        <v>1015</v>
      </c>
      <c r="D232" s="62"/>
      <c r="F232" s="250" t="s">
        <v>1080</v>
      </c>
      <c r="G232" s="251" t="s">
        <v>1081</v>
      </c>
      <c r="H232" s="251" t="s">
        <v>1082</v>
      </c>
      <c r="L232" s="62"/>
      <c r="N232" s="62"/>
    </row>
    <row r="233" spans="1:23">
      <c r="A233" s="200" t="s">
        <v>1019</v>
      </c>
      <c r="B233" s="200" t="s">
        <v>1020</v>
      </c>
      <c r="C233" s="213" t="s">
        <v>1021</v>
      </c>
      <c r="D233" s="62"/>
      <c r="F233" s="252" t="s">
        <v>1083</v>
      </c>
      <c r="G233" s="252" t="s">
        <v>1084</v>
      </c>
      <c r="H233" s="252" t="s">
        <v>1085</v>
      </c>
      <c r="L233" s="62"/>
      <c r="N233" s="62"/>
    </row>
    <row r="234" spans="1:23">
      <c r="A234" s="200" t="s">
        <v>1025</v>
      </c>
      <c r="B234" s="200" t="s">
        <v>1026</v>
      </c>
      <c r="C234" s="213" t="s">
        <v>1027</v>
      </c>
      <c r="D234" s="62"/>
      <c r="F234" s="253" t="s">
        <v>1086</v>
      </c>
      <c r="G234" s="253" t="s">
        <v>1087</v>
      </c>
      <c r="H234" s="253" t="s">
        <v>1088</v>
      </c>
      <c r="L234" s="62"/>
      <c r="N234" s="62"/>
    </row>
    <row r="235" spans="1:23">
      <c r="A235" s="200" t="s">
        <v>1031</v>
      </c>
      <c r="B235" s="200" t="s">
        <v>1032</v>
      </c>
      <c r="C235" s="213" t="s">
        <v>1033</v>
      </c>
      <c r="D235" s="62"/>
      <c r="F235" s="253" t="s">
        <v>1089</v>
      </c>
      <c r="G235" s="253" t="s">
        <v>1090</v>
      </c>
      <c r="H235" s="253" t="s">
        <v>1091</v>
      </c>
      <c r="L235" s="62"/>
      <c r="N235" s="62"/>
    </row>
    <row r="236" spans="1:23">
      <c r="A236" s="62"/>
      <c r="B236" s="62"/>
      <c r="C236" s="62"/>
      <c r="D236" s="62"/>
      <c r="L236" s="62"/>
      <c r="N236" s="62"/>
    </row>
    <row r="237" spans="1:23" ht="17.25" thickBo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N237" s="62"/>
    </row>
    <row r="238" spans="1:23" ht="18" thickTop="1" thickBot="1">
      <c r="A238" s="68" t="s">
        <v>236</v>
      </c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N238" s="62"/>
    </row>
    <row r="239" spans="1:23" ht="17.25" thickBot="1">
      <c r="A239" s="61">
        <v>46228</v>
      </c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N239" s="62"/>
    </row>
    <row r="240" spans="1:23" ht="17.25" thickBot="1">
      <c r="A240" s="62"/>
      <c r="B240" s="62"/>
      <c r="C240" s="62"/>
      <c r="D240" s="68" t="str">
        <f>'CHICLETS MASTER S2'!G51</f>
        <v>TUSTIN HS 2</v>
      </c>
      <c r="E240" s="62"/>
      <c r="F240" s="62"/>
      <c r="G240" s="62"/>
      <c r="H240" s="62"/>
      <c r="I240" s="62"/>
      <c r="J240" s="62"/>
      <c r="K240" s="62"/>
      <c r="L240" s="62"/>
    </row>
    <row r="241" spans="1:14">
      <c r="A241" s="214" t="s">
        <v>124</v>
      </c>
      <c r="B241" s="214" t="s">
        <v>125</v>
      </c>
      <c r="C241" s="214" t="s">
        <v>126</v>
      </c>
      <c r="D241" s="214" t="s">
        <v>127</v>
      </c>
      <c r="E241" s="214" t="s">
        <v>128</v>
      </c>
      <c r="F241" s="214" t="s">
        <v>129</v>
      </c>
      <c r="G241" s="214" t="s">
        <v>130</v>
      </c>
      <c r="H241" s="214" t="s">
        <v>131</v>
      </c>
      <c r="I241" s="214" t="s">
        <v>130</v>
      </c>
      <c r="J241" s="214" t="s">
        <v>132</v>
      </c>
      <c r="K241" s="214" t="s">
        <v>133</v>
      </c>
      <c r="L241" s="214" t="s">
        <v>134</v>
      </c>
      <c r="M241" s="62"/>
      <c r="N241" s="62"/>
    </row>
    <row r="242" spans="1:14">
      <c r="A242" s="69">
        <f>$A$239</f>
        <v>46228</v>
      </c>
      <c r="B242" s="130">
        <f>'CHICLETS MASTER S2'!A53</f>
        <v>0.33333333333333331</v>
      </c>
      <c r="C242" s="242" t="s">
        <v>1092</v>
      </c>
      <c r="D242" s="71" t="str">
        <f t="shared" ref="D242:D255" si="29">$D$240</f>
        <v>TUSTIN HS 2</v>
      </c>
      <c r="E242" s="254">
        <v>113</v>
      </c>
      <c r="F242" s="90" t="str">
        <f>A226</f>
        <v xml:space="preserve">1st ag_M-FOOTHILL RED	</v>
      </c>
      <c r="G242" s="236">
        <v>14</v>
      </c>
      <c r="H242" s="90" t="str">
        <f>C226</f>
        <v>1st ag_S-CHAWP</v>
      </c>
      <c r="I242" s="236">
        <v>1</v>
      </c>
      <c r="J242" s="90">
        <v>133</v>
      </c>
      <c r="K242" s="90">
        <v>139</v>
      </c>
      <c r="L242" s="90" t="str">
        <f t="shared" ref="L242:L243" si="30">IF(E242="","",$L$66&amp;"-"&amp;TEXT(E242,"000"))</f>
        <v>12BX-113</v>
      </c>
      <c r="M242" s="62"/>
      <c r="N242" s="95" t="str">
        <f t="shared" ref="N242:N255" si="31">$M$158&amp;C242</f>
        <v>ag_1v6 QF</v>
      </c>
    </row>
    <row r="243" spans="1:14">
      <c r="A243" s="69">
        <f>$A$239</f>
        <v>46228</v>
      </c>
      <c r="B243" s="130">
        <f>'CHICLETS MASTER S2'!A54</f>
        <v>0.36805555555555558</v>
      </c>
      <c r="C243" s="242" t="s">
        <v>1093</v>
      </c>
      <c r="D243" s="71" t="str">
        <f t="shared" si="29"/>
        <v>TUSTIN HS 2</v>
      </c>
      <c r="E243" s="254">
        <v>118</v>
      </c>
      <c r="F243" s="90" t="str">
        <f>A227</f>
        <v>1st ag_N-PATRIOT NAVY</v>
      </c>
      <c r="G243" s="236">
        <v>7</v>
      </c>
      <c r="H243" s="90" t="str">
        <f>C227</f>
        <v>1st ag_R-CARLSBAD A</v>
      </c>
      <c r="I243" s="236">
        <v>3</v>
      </c>
      <c r="J243" s="90">
        <v>136</v>
      </c>
      <c r="K243" s="90">
        <v>142</v>
      </c>
      <c r="L243" s="90" t="str">
        <f t="shared" si="30"/>
        <v>12BX-118</v>
      </c>
      <c r="M243" s="62"/>
      <c r="N243" s="95" t="str">
        <f t="shared" si="31"/>
        <v>ag_2v5 QF</v>
      </c>
    </row>
    <row r="244" spans="1:14">
      <c r="A244" s="69">
        <f t="shared" ref="A244:A322" si="32">$A$239</f>
        <v>46228</v>
      </c>
      <c r="B244" s="130">
        <f>'CHICLETS MASTER S2'!A55</f>
        <v>0.40277777777777801</v>
      </c>
      <c r="C244" s="71" t="s">
        <v>1094</v>
      </c>
      <c r="D244" s="71" t="str">
        <f t="shared" si="29"/>
        <v>TUSTIN HS 2</v>
      </c>
      <c r="E244" s="216">
        <v>124</v>
      </c>
      <c r="F244" s="236" t="s">
        <v>1095</v>
      </c>
      <c r="G244" s="236">
        <v>14</v>
      </c>
      <c r="H244" s="255" t="s">
        <v>1096</v>
      </c>
      <c r="I244" s="236">
        <v>9</v>
      </c>
      <c r="J244" s="236">
        <v>143</v>
      </c>
      <c r="K244" s="236">
        <v>151</v>
      </c>
      <c r="L244" s="90" t="str">
        <f>IF(E244="","",$L$66&amp;"-"&amp;TEXT(E244,"000"))</f>
        <v>12BX-124</v>
      </c>
      <c r="M244" s="62"/>
      <c r="N244" s="62" t="str">
        <f t="shared" si="31"/>
        <v>ag_9-16 QF</v>
      </c>
    </row>
    <row r="245" spans="1:14">
      <c r="A245" s="69">
        <f t="shared" si="32"/>
        <v>46228</v>
      </c>
      <c r="B245" s="130">
        <f>'CHICLETS MASTER S2'!A56</f>
        <v>0.4375</v>
      </c>
      <c r="C245" s="71" t="s">
        <v>1094</v>
      </c>
      <c r="D245" s="71" t="str">
        <f t="shared" si="29"/>
        <v>TUSTIN HS 2</v>
      </c>
      <c r="E245" s="216">
        <v>127</v>
      </c>
      <c r="F245" s="236" t="s">
        <v>1097</v>
      </c>
      <c r="G245" s="236">
        <v>4</v>
      </c>
      <c r="H245" s="255" t="s">
        <v>1098</v>
      </c>
      <c r="I245" s="236">
        <v>6</v>
      </c>
      <c r="J245" s="236">
        <v>146</v>
      </c>
      <c r="K245" s="236">
        <v>156</v>
      </c>
      <c r="L245" s="90" t="str">
        <f>IF(E245="","",$L$66&amp;"-"&amp;TEXT(E245,"000"))</f>
        <v>12BX-127</v>
      </c>
      <c r="M245" s="62"/>
      <c r="N245" s="62" t="str">
        <f t="shared" si="31"/>
        <v>ag_9-16 QF</v>
      </c>
    </row>
    <row r="246" spans="1:14">
      <c r="A246" s="69">
        <f>$A$239</f>
        <v>46228</v>
      </c>
      <c r="B246" s="130">
        <f>'CHICLETS MASTER S2'!A57</f>
        <v>0.47222222222222199</v>
      </c>
      <c r="C246" s="71" t="s">
        <v>1099</v>
      </c>
      <c r="D246" s="71" t="str">
        <f t="shared" si="29"/>
        <v>TUSTIN HS 2</v>
      </c>
      <c r="E246" s="216">
        <v>133</v>
      </c>
      <c r="F246" s="256" t="str">
        <f>IF(G242="","W113",IF(G242&gt;I242,_xlfn.CONCAT("W113-",RIGHT(F242,LEN(F242) - FIND("-",F242))), _xlfn.CONCAT("W113-",RIGHT(H242,LEN(H242) - FIND("-",H242)))))</f>
        <v xml:space="preserve">W113-FOOTHILL RED	</v>
      </c>
      <c r="G246" s="236">
        <v>8</v>
      </c>
      <c r="H246" s="257" t="str">
        <f>IF(G260="","W119",IF(G260&gt;I260,_xlfn.CONCAT("W119-",RIGHT(F260,LEN(F260) - FIND("-",F260))), _xlfn.CONCAT("W119-",RIGHT(H260,LEN(H260) - FIND("-",H260)))))</f>
        <v>W119-LOS ALAMITOS</v>
      </c>
      <c r="I246" s="236">
        <v>10</v>
      </c>
      <c r="J246" s="236">
        <v>171</v>
      </c>
      <c r="K246" s="90">
        <v>159</v>
      </c>
      <c r="L246" s="90" t="str">
        <f t="shared" ref="L246:L255" si="33">IF(E246="","",$L$66&amp;"-"&amp;TEXT(E246,"000"))</f>
        <v>12BX-133</v>
      </c>
      <c r="M246" s="62"/>
      <c r="N246" s="62" t="str">
        <f t="shared" si="31"/>
        <v>ag_W to semi, L to play-in 1v4</v>
      </c>
    </row>
    <row r="247" spans="1:14">
      <c r="A247" s="69">
        <f>$A$239</f>
        <v>46228</v>
      </c>
      <c r="B247" s="130">
        <f>'CHICLETS MASTER S2'!A58</f>
        <v>0.50694444444444398</v>
      </c>
      <c r="C247" s="71" t="s">
        <v>1100</v>
      </c>
      <c r="D247" s="71" t="str">
        <f t="shared" si="29"/>
        <v>TUSTIN HS 2</v>
      </c>
      <c r="E247" s="216">
        <v>136</v>
      </c>
      <c r="F247" s="193" t="str">
        <f>IF(G259="","W114",IF(G259&gt;I259,_xlfn.CONCAT("W114-",RIGHT(F259,LEN(F259) - FIND("-",F259))), _xlfn.CONCAT("W114-",RIGHT(H259,LEN(H259) - FIND("-",H259)))))</f>
        <v>W114-MISSION B</v>
      </c>
      <c r="G247" s="236">
        <v>5</v>
      </c>
      <c r="H247" s="90" t="str">
        <f>IF(G243="","W118",IF(G243&gt;I243,_xlfn.CONCAT("W118-",RIGHT(F243,LEN(F243) - FIND("-",F243))), _xlfn.CONCAT("W118-",RIGHT(H243,LEN(H243) - FIND("-",H243)))))</f>
        <v>W118-PATRIOT NAVY</v>
      </c>
      <c r="I247" s="236">
        <v>8</v>
      </c>
      <c r="J247" s="236">
        <v>172</v>
      </c>
      <c r="K247" s="90">
        <v>162</v>
      </c>
      <c r="L247" s="90" t="str">
        <f t="shared" si="33"/>
        <v>12BX-136</v>
      </c>
      <c r="M247" s="62"/>
      <c r="N247" s="62" t="str">
        <f t="shared" si="31"/>
        <v>ag_W to semi, L to play-in 2v3</v>
      </c>
    </row>
    <row r="248" spans="1:14">
      <c r="A248" s="69">
        <f>$A$239</f>
        <v>46228</v>
      </c>
      <c r="B248" s="130">
        <f>'CHICLETS MASTER S2'!A59</f>
        <v>0.54166666666666696</v>
      </c>
      <c r="C248" s="71" t="s">
        <v>1101</v>
      </c>
      <c r="D248" s="71" t="str">
        <f t="shared" si="29"/>
        <v>TUSTIN HS 2</v>
      </c>
      <c r="E248" s="216">
        <v>139</v>
      </c>
      <c r="F248" s="90" t="str">
        <f>IF(G242="","L113",IF(G242&lt;I242,_xlfn.CONCAT("L113-",RIGHT(F242,LEN(F242) - FIND("-",F242))), _xlfn.CONCAT("L113-",RIGHT(H242,LEN(H242) - FIND("-",H242)))))</f>
        <v>L113-CHAWP</v>
      </c>
      <c r="G248" s="236">
        <v>6</v>
      </c>
      <c r="H248" s="193" t="str">
        <f>IF(G260="","L119",IF(G260&lt;I260,_xlfn.CONCAT("L119-",RIGHT(F260,LEN(F260) - FIND("-",F260))), _xlfn.CONCAT("L119-",RIGHT(H260,LEN(H260) - FIND("-",H260)))))</f>
        <v>L119-OCWPC BLUE</v>
      </c>
      <c r="I248" s="236">
        <v>13</v>
      </c>
      <c r="J248" s="90">
        <v>159</v>
      </c>
      <c r="K248" s="236">
        <v>191</v>
      </c>
      <c r="L248" s="90" t="str">
        <f t="shared" si="33"/>
        <v>12BX-139</v>
      </c>
      <c r="M248" s="62"/>
      <c r="N248" s="71" t="str">
        <f t="shared" si="31"/>
        <v>ag_W to play-in</v>
      </c>
    </row>
    <row r="249" spans="1:14">
      <c r="A249" s="69">
        <f>$A$239</f>
        <v>46228</v>
      </c>
      <c r="B249" s="130">
        <f>'CHICLETS MASTER S2'!A60</f>
        <v>0.57638888888888895</v>
      </c>
      <c r="C249" s="71" t="s">
        <v>1101</v>
      </c>
      <c r="D249" s="71" t="str">
        <f t="shared" si="29"/>
        <v>TUSTIN HS 2</v>
      </c>
      <c r="E249" s="216">
        <v>142</v>
      </c>
      <c r="F249" s="193" t="str">
        <f>IF(G259="","L114",IF(G259&lt;I259,_xlfn.CONCAT("L114-",RIGHT(F259,LEN(F259) - FIND("-",F259))), _xlfn.CONCAT("L114-",RIGHT(H259,LEN(H259) - FIND("-",H259)))))</f>
        <v>L114-CC UNITED BLUE</v>
      </c>
      <c r="G249" s="236">
        <v>8</v>
      </c>
      <c r="H249" s="90" t="str">
        <f>IF(G243="","L118",IF(G243&lt;I243,_xlfn.CONCAT("L118-",RIGHT(F243,LEN(F243) - FIND("-",F243))), _xlfn.CONCAT("L118-",RIGHT(H243,LEN(H243) - FIND("-",H243)))))</f>
        <v>L118-CARLSBAD A</v>
      </c>
      <c r="I249" s="236">
        <v>4</v>
      </c>
      <c r="J249" s="90">
        <v>162</v>
      </c>
      <c r="K249" s="236">
        <v>191</v>
      </c>
      <c r="L249" s="90" t="str">
        <f t="shared" si="33"/>
        <v>12BX-142</v>
      </c>
      <c r="M249" s="62"/>
      <c r="N249" s="71" t="str">
        <f t="shared" si="31"/>
        <v>ag_W to play-in</v>
      </c>
    </row>
    <row r="250" spans="1:14">
      <c r="A250" s="69">
        <f t="shared" ref="A250:A251" si="34">$A$239</f>
        <v>46228</v>
      </c>
      <c r="B250" s="130">
        <f>'CHICLETS MASTER S2'!A61</f>
        <v>0.61111111111111105</v>
      </c>
      <c r="C250" s="71" t="s">
        <v>1102</v>
      </c>
      <c r="D250" s="71" t="str">
        <f t="shared" si="29"/>
        <v>TUSTIN HS 2</v>
      </c>
      <c r="E250" s="216">
        <v>145</v>
      </c>
      <c r="F250" s="193" t="str">
        <f>IF(G263="","L137",IF(G263&lt;I263,_xlfn.CONCAT("L137-",RIGHT(F263,LEN(F263) - FIND("-",F263))), _xlfn.CONCAT("L137-",RIGHT(H263,LEN(H263) - FIND("-",H263)))))</f>
        <v>L137-WHITTIER</v>
      </c>
      <c r="G250" s="236">
        <v>12</v>
      </c>
      <c r="H250" s="193" t="str">
        <f>IF(G264="","L140",IF(G264&lt;I264,_xlfn.CONCAT("L140-",RIGHT(F264,LEN(F264) - FIND("-",F264))), _xlfn.CONCAT("L140-",RIGHT(H264,LEN(H264) - FIND("-",H264)))))</f>
        <v>L140-CIU GOLD</v>
      </c>
      <c r="I250" s="236">
        <v>10</v>
      </c>
      <c r="J250" s="236">
        <v>177</v>
      </c>
      <c r="K250" s="236">
        <v>175</v>
      </c>
      <c r="L250" s="90" t="str">
        <f t="shared" si="33"/>
        <v>12BX-145</v>
      </c>
      <c r="M250" s="62"/>
      <c r="N250" s="71" t="str">
        <f t="shared" si="31"/>
        <v>ag_21st-24th</v>
      </c>
    </row>
    <row r="251" spans="1:14">
      <c r="A251" s="69">
        <f t="shared" si="34"/>
        <v>46228</v>
      </c>
      <c r="B251" s="130">
        <f>'CHICLETS MASTER S2'!A62</f>
        <v>0.64583333333333304</v>
      </c>
      <c r="C251" s="71" t="s">
        <v>1102</v>
      </c>
      <c r="D251" s="71" t="str">
        <f t="shared" si="29"/>
        <v>TUSTIN HS 2</v>
      </c>
      <c r="E251" s="216">
        <v>148</v>
      </c>
      <c r="F251" s="193" t="str">
        <f>IF(G261="","L123",IF(G261&lt;I261,_xlfn.CONCAT("L123-",RIGHT(F261,LEN(F261) - FIND("-",F261))), _xlfn.CONCAT("L123-",RIGHT(H261,LEN(H261) - FIND("-",H261)))))</f>
        <v>L123-NORCAL BLACK</v>
      </c>
      <c r="G251" s="236">
        <v>9</v>
      </c>
      <c r="H251" s="193" t="str">
        <f>IF(G262="","L126",IF(G262&lt;I262,_xlfn.CONCAT("L126-",RIGHT(F262,LEN(F262) - FIND("-",F262))), _xlfn.CONCAT("L126-",RIGHT(H262,LEN(H262) - FIND("-",H262)))))</f>
        <v>L126-CIU BLACK</v>
      </c>
      <c r="I251" s="236">
        <v>3</v>
      </c>
      <c r="J251" s="236">
        <v>177</v>
      </c>
      <c r="K251" s="236">
        <v>175</v>
      </c>
      <c r="L251" s="90" t="str">
        <f t="shared" si="33"/>
        <v>12BX-148</v>
      </c>
      <c r="M251" s="62"/>
      <c r="N251" s="71" t="str">
        <f t="shared" si="31"/>
        <v>ag_21st-24th</v>
      </c>
    </row>
    <row r="252" spans="1:14">
      <c r="A252" s="69">
        <f>$A$239</f>
        <v>46228</v>
      </c>
      <c r="B252" s="130">
        <f>'CHICLETS MASTER S2'!A63</f>
        <v>0.68055555555555602</v>
      </c>
      <c r="C252" s="71" t="s">
        <v>1103</v>
      </c>
      <c r="D252" s="71" t="str">
        <f t="shared" si="29"/>
        <v>TUSTIN HS 2</v>
      </c>
      <c r="E252" s="216">
        <v>151</v>
      </c>
      <c r="F252" s="236" t="str">
        <f>IF(G244="","L124",IF(G244&lt;I244,_xlfn.CONCAT("L124-",RIGHT(F244,LEN(F244) - FIND("-",F244))), _xlfn.CONCAT("L124-",RIGHT(H244,LEN(H244) - FIND("-",H244)))))</f>
        <v>L124-ASPHALT GREEN</v>
      </c>
      <c r="G252" s="236">
        <v>13</v>
      </c>
      <c r="H252" s="193" t="str">
        <f>IF(G266="","L122",IF(G266&lt;I266,_xlfn.CONCAT("L122-",RIGHT(F266,LEN(F266) - FIND("-",F266))), _xlfn.CONCAT("L122-",RIGHT(H266,LEN(H266) - FIND("-",H266)))))</f>
        <v>L122-TROJAN CARDINAL</v>
      </c>
      <c r="I252" s="236">
        <v>18</v>
      </c>
      <c r="J252" s="236">
        <v>185</v>
      </c>
      <c r="K252" s="236">
        <v>183</v>
      </c>
      <c r="L252" s="90" t="str">
        <f t="shared" si="33"/>
        <v>12BX-151</v>
      </c>
      <c r="M252" s="62"/>
      <c r="N252" s="62" t="str">
        <f t="shared" si="31"/>
        <v>ag_13th-16th</v>
      </c>
    </row>
    <row r="253" spans="1:14">
      <c r="A253" s="69">
        <f>$A$239</f>
        <v>46228</v>
      </c>
      <c r="B253" s="130">
        <f>'CHICLETS MASTER S2'!A64</f>
        <v>0.71527777777777801</v>
      </c>
      <c r="C253" s="71" t="s">
        <v>1103</v>
      </c>
      <c r="D253" s="71" t="str">
        <f t="shared" si="29"/>
        <v>TUSTIN HS 2</v>
      </c>
      <c r="E253" s="216">
        <v>156</v>
      </c>
      <c r="F253" s="193" t="str">
        <f>IF(G265="","L117",IF(G265&lt;I265,_xlfn.CONCAT("L117-",RIGHT(F265,LEN(F265) - FIND("-",F265))), _xlfn.CONCAT("L117-",RIGHT(H265,LEN(H265) - FIND("-",H265)))))</f>
        <v>L117-LAGUNA BEACH</v>
      </c>
      <c r="G253" s="236">
        <v>4</v>
      </c>
      <c r="H253" s="236" t="str">
        <f>IF(G245="","L127",IF(G245&lt;I245,_xlfn.CONCAT("L127-",RIGHT(F245,LEN(F245) - FIND("-",F245))), _xlfn.CONCAT("L127-",RIGHT(H245,LEN(H245) - FIND("-",H245)))))</f>
        <v>L127-NEWPORT BEACH WHITE</v>
      </c>
      <c r="I253" s="236">
        <v>8</v>
      </c>
      <c r="J253" s="236">
        <v>185</v>
      </c>
      <c r="K253" s="236">
        <v>183</v>
      </c>
      <c r="L253" s="90" t="str">
        <f t="shared" si="33"/>
        <v>12BX-156</v>
      </c>
      <c r="M253" s="62"/>
      <c r="N253" s="62" t="str">
        <f t="shared" si="31"/>
        <v>ag_13th-16th</v>
      </c>
    </row>
    <row r="254" spans="1:14">
      <c r="A254" s="69">
        <f>$A$239</f>
        <v>46228</v>
      </c>
      <c r="B254" s="130">
        <f>'CHICLETS MASTER S2'!A65</f>
        <v>0.75</v>
      </c>
      <c r="C254" s="71" t="s">
        <v>1104</v>
      </c>
      <c r="D254" s="71" t="str">
        <f t="shared" si="29"/>
        <v>TUSTIN HS 2</v>
      </c>
      <c r="E254" s="216">
        <v>159</v>
      </c>
      <c r="F254" s="236" t="str">
        <f>IF(G246="","L133",IF(G246&lt;I246,_xlfn.CONCAT("L133-",RIGHT(F246,LEN(F246) - FIND("-",F246))), _xlfn.CONCAT("L133-",RIGHT(H246,LEN(H246) - FIND("-",H246)))))</f>
        <v xml:space="preserve">L133-FOOTHILL RED	</v>
      </c>
      <c r="G254" s="236">
        <v>7</v>
      </c>
      <c r="H254" s="90" t="str">
        <f>IF(G248="","W139",IF(G248&gt;I248,_xlfn.CONCAT("W139-",RIGHT(F248,LEN(F248) - FIND("-",F248))), _xlfn.CONCAT("W139-",RIGHT(H248,LEN(H248) - FIND("-",H248)))))</f>
        <v>W139-OCWPC BLUE</v>
      </c>
      <c r="I254" s="236">
        <v>6</v>
      </c>
      <c r="J254" s="236">
        <v>172</v>
      </c>
      <c r="K254" s="236">
        <v>193</v>
      </c>
      <c r="L254" s="90" t="str">
        <f t="shared" si="33"/>
        <v>12BX-159</v>
      </c>
      <c r="M254" s="62"/>
      <c r="N254" s="62" t="str">
        <f t="shared" si="31"/>
        <v>ag_play to semi, L to 5th</v>
      </c>
    </row>
    <row r="255" spans="1:14">
      <c r="A255" s="69">
        <f>$A$239</f>
        <v>46228</v>
      </c>
      <c r="B255" s="130">
        <f>'CHICLETS MASTER S2'!A66</f>
        <v>0.78472222222222199</v>
      </c>
      <c r="C255" s="71" t="s">
        <v>1104</v>
      </c>
      <c r="D255" s="71" t="str">
        <f t="shared" si="29"/>
        <v>TUSTIN HS 2</v>
      </c>
      <c r="E255" s="216">
        <v>162</v>
      </c>
      <c r="F255" s="236" t="str">
        <f>IF(G247="","L136",IF(G247&lt;I247,_xlfn.CONCAT("L136-",RIGHT(F247,LEN(F247) - FIND("-",F247))), _xlfn.CONCAT("L136-",RIGHT(H247,LEN(H247) - FIND("-",H247)))))</f>
        <v>L136-MISSION B</v>
      </c>
      <c r="G255" s="236">
        <v>10</v>
      </c>
      <c r="H255" s="90" t="str">
        <f>IF(G249="","W142",IF(G249&gt;I249,_xlfn.CONCAT("W142-",RIGHT(F249,LEN(F249) - FIND("-",F249))), _xlfn.CONCAT("W142-",RIGHT(H249,LEN(H249) - FIND("-",H249)))))</f>
        <v>W142-CC UNITED BLUE</v>
      </c>
      <c r="I255" s="236">
        <v>8</v>
      </c>
      <c r="J255" s="236">
        <v>171</v>
      </c>
      <c r="K255" s="236">
        <v>193</v>
      </c>
      <c r="L255" s="90" t="str">
        <f t="shared" si="33"/>
        <v>12BX-162</v>
      </c>
      <c r="M255" s="62"/>
      <c r="N255" s="62" t="str">
        <f t="shared" si="31"/>
        <v>ag_play to semi, L to 5th</v>
      </c>
    </row>
    <row r="256" spans="1:14" ht="17.25" thickBot="1">
      <c r="A256" s="62"/>
      <c r="B256" s="62"/>
      <c r="C256" s="62"/>
      <c r="D256" s="62"/>
      <c r="E256" s="62"/>
      <c r="F256" s="95"/>
      <c r="G256" s="95"/>
      <c r="H256" s="95"/>
      <c r="I256" s="62"/>
      <c r="J256" s="95"/>
      <c r="K256" s="95"/>
      <c r="L256" s="62"/>
      <c r="M256" s="62"/>
      <c r="N256" s="62"/>
    </row>
    <row r="257" spans="1:14" ht="17.25" thickBot="1">
      <c r="A257" s="78"/>
      <c r="B257" s="79"/>
      <c r="C257" s="62"/>
      <c r="D257" s="68" t="str">
        <f>'CHICLETS MASTER S2'!$E$51</f>
        <v>BECKMAN HS 2</v>
      </c>
      <c r="E257" s="62"/>
      <c r="F257" s="95" t="s">
        <v>418</v>
      </c>
      <c r="G257" s="258" t="s">
        <v>418</v>
      </c>
      <c r="H257" s="95" t="s">
        <v>418</v>
      </c>
      <c r="I257" s="60"/>
      <c r="J257" s="95"/>
      <c r="K257" s="95"/>
      <c r="L257" s="60"/>
      <c r="M257" s="62"/>
      <c r="N257" s="62"/>
    </row>
    <row r="258" spans="1:14">
      <c r="A258" s="214" t="s">
        <v>124</v>
      </c>
      <c r="B258" s="214" t="s">
        <v>125</v>
      </c>
      <c r="C258" s="214" t="s">
        <v>126</v>
      </c>
      <c r="D258" s="214" t="s">
        <v>127</v>
      </c>
      <c r="E258" s="214" t="s">
        <v>128</v>
      </c>
      <c r="F258" s="214" t="s">
        <v>129</v>
      </c>
      <c r="G258" s="214" t="s">
        <v>130</v>
      </c>
      <c r="H258" s="214" t="s">
        <v>131</v>
      </c>
      <c r="I258" s="214" t="s">
        <v>130</v>
      </c>
      <c r="J258" s="214" t="s">
        <v>132</v>
      </c>
      <c r="K258" s="214" t="s">
        <v>133</v>
      </c>
      <c r="L258" s="214" t="s">
        <v>134</v>
      </c>
      <c r="M258" s="62"/>
      <c r="N258" s="62"/>
    </row>
    <row r="259" spans="1:14">
      <c r="A259" s="69">
        <f t="shared" si="32"/>
        <v>46228</v>
      </c>
      <c r="B259" s="130">
        <f>'CHICLETS MASTER S2'!A53</f>
        <v>0.33333333333333331</v>
      </c>
      <c r="C259" s="242" t="s">
        <v>1105</v>
      </c>
      <c r="D259" s="71" t="str">
        <f>$D$257</f>
        <v>BECKMAN HS 2</v>
      </c>
      <c r="E259" s="254">
        <v>114</v>
      </c>
      <c r="F259" s="236" t="str">
        <f>A228</f>
        <v>1st ag_O-MISSION B</v>
      </c>
      <c r="G259" s="236">
        <v>13</v>
      </c>
      <c r="H259" s="236" t="str">
        <f>C228</f>
        <v>1st ag_U-CC UNITED BLUE</v>
      </c>
      <c r="I259" s="236">
        <v>5</v>
      </c>
      <c r="J259" s="236">
        <v>136</v>
      </c>
      <c r="K259" s="236">
        <v>142</v>
      </c>
      <c r="L259" s="236" t="str">
        <f t="shared" ref="L259:L272" si="35">IF(E259="","",$L$66&amp;"-"&amp;TEXT(E259,"000"))</f>
        <v>12BX-114</v>
      </c>
      <c r="M259" s="95"/>
      <c r="N259" s="95" t="str">
        <f t="shared" ref="N259:N266" si="36">$M$158&amp;C259</f>
        <v>ag_3v8 QF</v>
      </c>
    </row>
    <row r="260" spans="1:14">
      <c r="A260" s="69">
        <f t="shared" si="32"/>
        <v>46228</v>
      </c>
      <c r="B260" s="130">
        <f>'CHICLETS MASTER S2'!A54</f>
        <v>0.36805555555555558</v>
      </c>
      <c r="C260" s="242" t="s">
        <v>1106</v>
      </c>
      <c r="D260" s="71" t="str">
        <f t="shared" ref="D260:D272" si="37">$D$257</f>
        <v>BECKMAN HS 2</v>
      </c>
      <c r="E260" s="254">
        <v>119</v>
      </c>
      <c r="F260" s="236" t="str">
        <f>A229</f>
        <v>1st ag_P-OCWPC BLUE</v>
      </c>
      <c r="G260" s="236">
        <v>7</v>
      </c>
      <c r="H260" s="236" t="str">
        <f>C229</f>
        <v>1st ag_T-LOS ALAMITOS</v>
      </c>
      <c r="I260" s="236">
        <v>10</v>
      </c>
      <c r="J260" s="236">
        <v>133</v>
      </c>
      <c r="K260" s="236">
        <v>139</v>
      </c>
      <c r="L260" s="236" t="str">
        <f t="shared" si="35"/>
        <v>12BX-119</v>
      </c>
      <c r="M260" s="95"/>
      <c r="N260" s="95" t="str">
        <f t="shared" si="36"/>
        <v>ag_4v7 QF</v>
      </c>
    </row>
    <row r="261" spans="1:14">
      <c r="A261" s="69">
        <f t="shared" si="32"/>
        <v>46228</v>
      </c>
      <c r="B261" s="130">
        <f>'CHICLETS MASTER S2'!A55</f>
        <v>0.40277777777777801</v>
      </c>
      <c r="C261" s="71" t="s">
        <v>1107</v>
      </c>
      <c r="D261" s="71" t="str">
        <f t="shared" si="37"/>
        <v>BECKMAN HS 2</v>
      </c>
      <c r="E261" s="216">
        <v>123</v>
      </c>
      <c r="F261" s="90" t="s">
        <v>1108</v>
      </c>
      <c r="G261" s="236">
        <v>11</v>
      </c>
      <c r="H261" s="90" t="s">
        <v>1109</v>
      </c>
      <c r="I261" s="236">
        <v>9</v>
      </c>
      <c r="J261" s="236">
        <v>160</v>
      </c>
      <c r="K261" s="236">
        <v>148</v>
      </c>
      <c r="L261" s="90" t="str">
        <f t="shared" si="35"/>
        <v>12BX-123</v>
      </c>
      <c r="M261" s="62"/>
      <c r="N261" s="71" t="str">
        <f t="shared" si="36"/>
        <v>ag_17th-24th</v>
      </c>
    </row>
    <row r="262" spans="1:14">
      <c r="A262" s="69">
        <f t="shared" si="32"/>
        <v>46228</v>
      </c>
      <c r="B262" s="130">
        <f>'CHICLETS MASTER S2'!A56</f>
        <v>0.4375</v>
      </c>
      <c r="C262" s="71" t="s">
        <v>1107</v>
      </c>
      <c r="D262" s="71" t="str">
        <f t="shared" si="37"/>
        <v>BECKMAN HS 2</v>
      </c>
      <c r="E262" s="216">
        <v>126</v>
      </c>
      <c r="F262" s="90" t="s">
        <v>1110</v>
      </c>
      <c r="G262" s="236">
        <v>1</v>
      </c>
      <c r="H262" s="90" t="s">
        <v>1111</v>
      </c>
      <c r="I262" s="236">
        <v>13</v>
      </c>
      <c r="J262" s="236">
        <v>160</v>
      </c>
      <c r="K262" s="236">
        <v>148</v>
      </c>
      <c r="L262" s="90" t="str">
        <f t="shared" si="35"/>
        <v>12BX-126</v>
      </c>
      <c r="M262" s="62"/>
      <c r="N262" s="71" t="str">
        <f t="shared" si="36"/>
        <v>ag_17th-24th</v>
      </c>
    </row>
    <row r="263" spans="1:14">
      <c r="A263" s="69">
        <f t="shared" si="32"/>
        <v>46228</v>
      </c>
      <c r="B263" s="130">
        <f>'CHICLETS MASTER S2'!A57</f>
        <v>0.47222222222222199</v>
      </c>
      <c r="C263" s="71" t="s">
        <v>1107</v>
      </c>
      <c r="D263" s="71" t="str">
        <f t="shared" si="37"/>
        <v>BECKMAN HS 2</v>
      </c>
      <c r="E263" s="216">
        <v>137</v>
      </c>
      <c r="F263" s="93" t="s">
        <v>1112</v>
      </c>
      <c r="G263" s="255">
        <v>8</v>
      </c>
      <c r="H263" s="93" t="s">
        <v>1113</v>
      </c>
      <c r="I263" s="255">
        <v>11</v>
      </c>
      <c r="J263" s="236">
        <v>157</v>
      </c>
      <c r="K263" s="236">
        <v>145</v>
      </c>
      <c r="L263" s="90" t="str">
        <f t="shared" si="35"/>
        <v>12BX-137</v>
      </c>
      <c r="M263" s="62"/>
      <c r="N263" s="71" t="str">
        <f t="shared" si="36"/>
        <v>ag_17th-24th</v>
      </c>
    </row>
    <row r="264" spans="1:14">
      <c r="A264" s="69">
        <f t="shared" si="32"/>
        <v>46228</v>
      </c>
      <c r="B264" s="130">
        <f>'CHICLETS MASTER S2'!A58</f>
        <v>0.50694444444444398</v>
      </c>
      <c r="C264" s="71" t="s">
        <v>1107</v>
      </c>
      <c r="D264" s="71" t="str">
        <f t="shared" si="37"/>
        <v>BECKMAN HS 2</v>
      </c>
      <c r="E264" s="216">
        <v>140</v>
      </c>
      <c r="F264" s="93" t="s">
        <v>1114</v>
      </c>
      <c r="G264" s="255">
        <v>11</v>
      </c>
      <c r="H264" s="93" t="s">
        <v>1115</v>
      </c>
      <c r="I264" s="236">
        <v>8</v>
      </c>
      <c r="J264" s="236">
        <v>157</v>
      </c>
      <c r="K264" s="236">
        <v>145</v>
      </c>
      <c r="L264" s="90" t="str">
        <f t="shared" si="35"/>
        <v>12BX-140</v>
      </c>
      <c r="M264" s="62"/>
      <c r="N264" s="71" t="str">
        <f t="shared" si="36"/>
        <v>ag_17th-24th</v>
      </c>
    </row>
    <row r="265" spans="1:14">
      <c r="A265" s="69">
        <f t="shared" si="32"/>
        <v>46228</v>
      </c>
      <c r="B265" s="130">
        <f>'CHICLETS MASTER S2'!A59</f>
        <v>0.54166666666666696</v>
      </c>
      <c r="C265" s="71" t="s">
        <v>1094</v>
      </c>
      <c r="D265" s="71" t="str">
        <f t="shared" si="37"/>
        <v>BECKMAN HS 2</v>
      </c>
      <c r="E265" s="216">
        <v>117</v>
      </c>
      <c r="F265" s="236" t="s">
        <v>1116</v>
      </c>
      <c r="G265" s="236">
        <v>9</v>
      </c>
      <c r="H265" s="255" t="s">
        <v>1117</v>
      </c>
      <c r="I265" s="236">
        <v>11</v>
      </c>
      <c r="J265" s="236">
        <v>146</v>
      </c>
      <c r="K265" s="236">
        <v>156</v>
      </c>
      <c r="L265" s="90" t="str">
        <f t="shared" si="35"/>
        <v>12BX-117</v>
      </c>
      <c r="M265" s="62"/>
      <c r="N265" s="62" t="str">
        <f t="shared" si="36"/>
        <v>ag_9-16 QF</v>
      </c>
    </row>
    <row r="266" spans="1:14">
      <c r="A266" s="69">
        <f t="shared" si="32"/>
        <v>46228</v>
      </c>
      <c r="B266" s="130">
        <f>'CHICLETS MASTER S2'!A60</f>
        <v>0.57638888888888895</v>
      </c>
      <c r="C266" s="71" t="s">
        <v>1094</v>
      </c>
      <c r="D266" s="71" t="str">
        <f t="shared" si="37"/>
        <v>BECKMAN HS 2</v>
      </c>
      <c r="E266" s="216">
        <v>122</v>
      </c>
      <c r="F266" s="236" t="s">
        <v>1118</v>
      </c>
      <c r="G266" s="236">
        <v>7</v>
      </c>
      <c r="H266" s="255" t="s">
        <v>1119</v>
      </c>
      <c r="I266" s="236">
        <v>4</v>
      </c>
      <c r="J266" s="236">
        <v>143</v>
      </c>
      <c r="K266" s="236">
        <v>151</v>
      </c>
      <c r="L266" s="90" t="str">
        <f t="shared" si="35"/>
        <v>12BX-122</v>
      </c>
      <c r="M266" s="62"/>
      <c r="N266" s="62" t="str">
        <f t="shared" si="36"/>
        <v>ag_9-16 QF</v>
      </c>
    </row>
    <row r="267" spans="1:14">
      <c r="A267" s="69">
        <f t="shared" si="32"/>
        <v>46228</v>
      </c>
      <c r="B267" s="130">
        <f>'CHICLETS MASTER S2'!A61</f>
        <v>0.61111111111111105</v>
      </c>
      <c r="C267" s="242" t="s">
        <v>260</v>
      </c>
      <c r="D267" s="71" t="str">
        <f t="shared" si="37"/>
        <v>BECKMAN HS 2</v>
      </c>
      <c r="E267" s="259">
        <v>128</v>
      </c>
      <c r="F267" s="239" t="str">
        <f>IF(G292="","W201",IF(G292&gt;I292,_xlfn.CONCAT("W201-",RIGHT(F292,LEN(F292) - FIND("-",F292))), _xlfn.CONCAT("W201-",RIGHT(H292,LEN(H292) - FIND("-",H292)))))</f>
        <v>W201-908 BLUE</v>
      </c>
      <c r="G267" s="239">
        <v>14</v>
      </c>
      <c r="H267" s="239" t="str">
        <f>IF(G293="","W202",IF(G293&gt;I293,_xlfn.CONCAT("W202-",RIGHT(F293,LEN(F293) - FIND("-",F293))), _xlfn.CONCAT("W202-",RIGHT(H293,LEN(H293) - FIND("-",H293)))))</f>
        <v>W202-TROJAN GOLD</v>
      </c>
      <c r="I267" s="239">
        <v>6</v>
      </c>
      <c r="J267" s="241">
        <v>167</v>
      </c>
      <c r="K267" s="241">
        <v>168</v>
      </c>
      <c r="L267" s="241" t="str">
        <f t="shared" si="35"/>
        <v>12BX-128</v>
      </c>
      <c r="M267" s="62"/>
      <c r="N267" s="62" t="str">
        <f t="shared" ref="N267:N268" si="38">$M$159&amp;C267</f>
        <v>bz_17-20 semi</v>
      </c>
    </row>
    <row r="268" spans="1:14">
      <c r="A268" s="69">
        <f t="shared" si="32"/>
        <v>46228</v>
      </c>
      <c r="B268" s="130">
        <f>'CHICLETS MASTER S2'!A62</f>
        <v>0.64583333333333304</v>
      </c>
      <c r="C268" s="242" t="s">
        <v>260</v>
      </c>
      <c r="D268" s="71" t="str">
        <f t="shared" si="37"/>
        <v>BECKMAN HS 2</v>
      </c>
      <c r="E268" s="260">
        <v>129</v>
      </c>
      <c r="F268" s="261" t="str">
        <f>IF(G276="","W203",IF(G276&gt;I276,_xlfn.CONCAT("W203-",RIGHT(F276,LEN(F276) - FIND("-",F276))), _xlfn.CONCAT("W203-",RIGHT(H276,LEN(H276) - FIND("-",H276)))))</f>
        <v>W203-FOOTHILL BLACK</v>
      </c>
      <c r="G268" s="239">
        <v>9</v>
      </c>
      <c r="H268" s="261" t="str">
        <f>IF(G277="","W204",IF(G277&gt;I277,_xlfn.CONCAT("W204-",RIGHT(F277,LEN(F277) - FIND("-",F277))), _xlfn.CONCAT("W204-",RIGHT(H277,LEN(H277) - FIND("-",H277)))))</f>
        <v>W204-CDM WHITE</v>
      </c>
      <c r="I268" s="239">
        <v>12</v>
      </c>
      <c r="J268" s="241">
        <v>167</v>
      </c>
      <c r="K268" s="241">
        <v>168</v>
      </c>
      <c r="L268" s="241" t="str">
        <f t="shared" si="35"/>
        <v>12BX-129</v>
      </c>
      <c r="M268" s="62"/>
      <c r="N268" s="62" t="str">
        <f t="shared" si="38"/>
        <v>bz_17-20 semi</v>
      </c>
    </row>
    <row r="269" spans="1:14">
      <c r="A269" s="69">
        <f t="shared" si="32"/>
        <v>46228</v>
      </c>
      <c r="B269" s="130">
        <f>'CHICLETS MASTER S2'!A63</f>
        <v>0.68055555555555602</v>
      </c>
      <c r="C269" s="71" t="s">
        <v>1120</v>
      </c>
      <c r="D269" s="71" t="str">
        <f t="shared" si="37"/>
        <v>BECKMAN HS 2</v>
      </c>
      <c r="E269" s="216">
        <v>157</v>
      </c>
      <c r="F269" s="256" t="str">
        <f>IF(G263="","W137",IF(G263&gt;I263,_xlfn.CONCAT("W137-",RIGHT(F263,LEN(F263) - FIND("-",F263))), _xlfn.CONCAT("W137-",RIGHT(H263,LEN(H263) - FIND("-",H263)))))</f>
        <v>W137-CMAC</v>
      </c>
      <c r="G269" s="236">
        <v>10</v>
      </c>
      <c r="H269" s="90" t="str">
        <f>IF(G264="","W140",IF(G264&gt;I264,_xlfn.CONCAT("W140-",RIGHT(F264,LEN(F264) - FIND("-",F264))), _xlfn.CONCAT("W140-",RIGHT(H264,LEN(H264) - FIND("-",H264)))))</f>
        <v>W140-SAN JOSE FOUNDATION BLACK</v>
      </c>
      <c r="I269" s="236">
        <v>4</v>
      </c>
      <c r="J269" s="236">
        <v>181</v>
      </c>
      <c r="K269" s="236">
        <v>179</v>
      </c>
      <c r="L269" s="90" t="str">
        <f t="shared" si="35"/>
        <v>12BX-157</v>
      </c>
      <c r="M269" s="62"/>
      <c r="N269" s="71" t="str">
        <f t="shared" ref="N269:N272" si="39">$M$158&amp;C269</f>
        <v>ag_17th-20th</v>
      </c>
    </row>
    <row r="270" spans="1:14">
      <c r="A270" s="69">
        <f t="shared" si="32"/>
        <v>46228</v>
      </c>
      <c r="B270" s="130">
        <f>'CHICLETS MASTER S2'!A64</f>
        <v>0.71527777777777801</v>
      </c>
      <c r="C270" s="71" t="s">
        <v>1120</v>
      </c>
      <c r="D270" s="71" t="str">
        <f t="shared" si="37"/>
        <v>BECKMAN HS 2</v>
      </c>
      <c r="E270" s="216">
        <v>160</v>
      </c>
      <c r="F270" s="256" t="str">
        <f>IF(G261="","W123",IF(G261&gt;I261,_xlfn.CONCAT("W123-",RIGHT(F261,LEN(F261) - FIND("-",F261))), _xlfn.CONCAT("W123-",RIGHT(H261,LEN(H261) - FIND("-",H261)))))</f>
        <v>W123-LB SHORE</v>
      </c>
      <c r="G270" s="255">
        <v>6</v>
      </c>
      <c r="H270" s="90" t="str">
        <f>IF(G262="","W126",IF(G262&gt;I262,_xlfn.CONCAT("W126-",RIGHT(F262,LEN(F262) - FIND("-",F262))), _xlfn.CONCAT("W126-",RIGHT(H262,LEN(H262) - FIND("-",H262)))))</f>
        <v>W126-PATRIOT RED</v>
      </c>
      <c r="I270" s="236">
        <v>12</v>
      </c>
      <c r="J270" s="236">
        <v>181</v>
      </c>
      <c r="K270" s="236">
        <v>179</v>
      </c>
      <c r="L270" s="90" t="str">
        <f t="shared" si="35"/>
        <v>12BX-160</v>
      </c>
      <c r="M270" s="62"/>
      <c r="N270" s="71" t="str">
        <f t="shared" si="39"/>
        <v>ag_17th-20th</v>
      </c>
    </row>
    <row r="271" spans="1:14">
      <c r="A271" s="69">
        <f>$A$239</f>
        <v>46228</v>
      </c>
      <c r="B271" s="130">
        <f>'CHICLETS MASTER S2'!A65</f>
        <v>0.75</v>
      </c>
      <c r="C271" s="69" t="s">
        <v>1121</v>
      </c>
      <c r="D271" s="71" t="str">
        <f t="shared" si="37"/>
        <v>BECKMAN HS 2</v>
      </c>
      <c r="E271" s="216">
        <v>143</v>
      </c>
      <c r="F271" s="193" t="str">
        <f>IF(G244="","W124",IF(G244&gt;I244,_xlfn.CONCAT("W124-",RIGHT(F244,LEN(F244) - FIND("-",F244))), _xlfn.CONCAT("W124-",RIGHT(H244,LEN(H244) - FIND("-",H244)))))</f>
        <v>W124-ECA</v>
      </c>
      <c r="G271" s="236">
        <v>9</v>
      </c>
      <c r="H271" s="193" t="str">
        <f>IF(G266="","W122",IF(G266&gt;I266,_xlfn.CONCAT("W122-",RIGHT(F266,LEN(F266) - FIND("-",F266))), _xlfn.CONCAT("W122-",RIGHT(H266,LEN(H266) - FIND("-",H266)))))</f>
        <v>W122-SAN CLEMENTE BLACK</v>
      </c>
      <c r="I271" s="236">
        <v>12</v>
      </c>
      <c r="J271" s="236">
        <v>189</v>
      </c>
      <c r="K271" s="236">
        <v>187</v>
      </c>
      <c r="L271" s="90" t="str">
        <f t="shared" si="35"/>
        <v>12BX-143</v>
      </c>
      <c r="M271" s="62"/>
      <c r="N271" s="62" t="str">
        <f t="shared" si="39"/>
        <v>ag_9th-12th</v>
      </c>
    </row>
    <row r="272" spans="1:14">
      <c r="A272" s="69">
        <f>$A$239</f>
        <v>46228</v>
      </c>
      <c r="B272" s="130">
        <f>'CHICLETS MASTER S2'!A66</f>
        <v>0.78472222222222199</v>
      </c>
      <c r="C272" s="69" t="s">
        <v>1121</v>
      </c>
      <c r="D272" s="71" t="str">
        <f t="shared" si="37"/>
        <v>BECKMAN HS 2</v>
      </c>
      <c r="E272" s="216">
        <v>146</v>
      </c>
      <c r="F272" s="193" t="str">
        <f>IF(G265="","W117",IF(G265&gt;I265,_xlfn.CONCAT("W117-",RIGHT(F265,LEN(F265) - FIND("-",F265))), _xlfn.CONCAT("W117-",RIGHT(H265,LEN(H265) - FIND("-",H265)))))</f>
        <v>W117-BACK BAY</v>
      </c>
      <c r="G272" s="255">
        <v>9</v>
      </c>
      <c r="H272" s="193" t="str">
        <f>IF(G245="","W127",IF(G245&gt;I245,_xlfn.CONCAT("W127-",RIGHT(F245,LEN(F245) - FIND("-",F245))), _xlfn.CONCAT("W127-",RIGHT(H245,LEN(H245) - FIND("-",H245)))))</f>
        <v>W127-ROUTE 66</v>
      </c>
      <c r="I272" s="255">
        <v>11</v>
      </c>
      <c r="J272" s="236">
        <v>189</v>
      </c>
      <c r="K272" s="236">
        <v>187</v>
      </c>
      <c r="L272" s="90" t="str">
        <f t="shared" si="35"/>
        <v>12BX-146</v>
      </c>
      <c r="M272" s="62"/>
      <c r="N272" s="62" t="str">
        <f t="shared" si="39"/>
        <v>ag_9th-12th</v>
      </c>
    </row>
    <row r="273" spans="1:14" ht="17.25" thickBot="1">
      <c r="A273" s="78"/>
      <c r="B273" s="78"/>
      <c r="C273" s="60"/>
      <c r="D273" s="60"/>
      <c r="E273" s="60"/>
      <c r="F273" s="95"/>
      <c r="G273" s="258"/>
      <c r="H273" s="95"/>
      <c r="I273" s="60"/>
      <c r="J273" s="95"/>
      <c r="K273" s="95"/>
      <c r="L273" s="60"/>
      <c r="M273" s="62"/>
      <c r="N273" s="62"/>
    </row>
    <row r="274" spans="1:14" ht="17.25" thickBot="1">
      <c r="A274" s="62"/>
      <c r="B274" s="60"/>
      <c r="C274" s="60"/>
      <c r="D274" s="68" t="str">
        <f>'CHICLETS MASTER S2'!$H$51</f>
        <v>OCEAN VIEW HS 2</v>
      </c>
      <c r="E274" s="60"/>
      <c r="F274" s="250" t="s">
        <v>1070</v>
      </c>
      <c r="G274" s="250" t="s">
        <v>1071</v>
      </c>
      <c r="H274" s="251" t="s">
        <v>1072</v>
      </c>
      <c r="I274" s="60"/>
      <c r="J274" s="95"/>
      <c r="K274" s="95"/>
      <c r="L274" s="60"/>
      <c r="M274" s="62"/>
      <c r="N274" s="62"/>
    </row>
    <row r="275" spans="1:14">
      <c r="A275" s="262" t="s">
        <v>124</v>
      </c>
      <c r="B275" s="262" t="s">
        <v>125</v>
      </c>
      <c r="C275" s="262" t="s">
        <v>126</v>
      </c>
      <c r="D275" s="262" t="s">
        <v>127</v>
      </c>
      <c r="E275" s="262" t="s">
        <v>128</v>
      </c>
      <c r="F275" s="262" t="s">
        <v>129</v>
      </c>
      <c r="G275" s="262" t="s">
        <v>130</v>
      </c>
      <c r="H275" s="262" t="s">
        <v>131</v>
      </c>
      <c r="I275" s="262" t="s">
        <v>130</v>
      </c>
      <c r="J275" s="262" t="s">
        <v>132</v>
      </c>
      <c r="K275" s="262" t="s">
        <v>133</v>
      </c>
      <c r="L275" s="262" t="s">
        <v>134</v>
      </c>
      <c r="M275" s="62"/>
      <c r="N275" s="62"/>
    </row>
    <row r="276" spans="1:14">
      <c r="A276" s="69">
        <f t="shared" si="32"/>
        <v>46228</v>
      </c>
      <c r="B276" s="263">
        <f>'CHICLETS MASTER S2'!K52</f>
        <v>0.29166666666666669</v>
      </c>
      <c r="C276" s="264" t="s">
        <v>1122</v>
      </c>
      <c r="D276" s="71" t="str">
        <f t="shared" ref="D276:D285" si="40">$D$274</f>
        <v>OCEAN VIEW HS 2</v>
      </c>
      <c r="E276" s="264">
        <v>203</v>
      </c>
      <c r="F276" s="278" t="s">
        <v>1123</v>
      </c>
      <c r="G276" s="278">
        <v>7</v>
      </c>
      <c r="H276" s="279" t="str">
        <f>IF(G204="","3rd bz_S (W111)",IF(G204&gt;I204,_xlfn.CONCAT("3rd bz_S (W111)-",RIGHT(F204,LEN(F204) - FIND("-",F204))), _xlfn.CONCAT("3rd bz_S (W111)-",RIGHT(H204,LEN(H204) - FIND("-",H204)))))</f>
        <v>3rd bz_S (W111)-FOOTHILL BLACK</v>
      </c>
      <c r="I276" s="278">
        <v>9</v>
      </c>
      <c r="J276" s="278">
        <v>129</v>
      </c>
      <c r="K276" s="278" t="s">
        <v>1124</v>
      </c>
      <c r="L276" s="278" t="str">
        <f>IF(E276="","",$L$66&amp;"-"&amp;TEXT(E276,"000"))</f>
        <v>12BX-203</v>
      </c>
      <c r="N276" s="200" t="str">
        <f>$M$159&amp;C276</f>
        <v>bz_17-24 QF</v>
      </c>
    </row>
    <row r="277" spans="1:14">
      <c r="A277" s="69">
        <f t="shared" si="32"/>
        <v>46228</v>
      </c>
      <c r="B277" s="130">
        <f>'CHICLETS MASTER S2'!K53</f>
        <v>0.33333333333333331</v>
      </c>
      <c r="C277" s="264" t="s">
        <v>1122</v>
      </c>
      <c r="D277" s="71" t="str">
        <f t="shared" si="40"/>
        <v>OCEAN VIEW HS 2</v>
      </c>
      <c r="E277" s="264">
        <v>204</v>
      </c>
      <c r="F277" s="278" t="s">
        <v>1125</v>
      </c>
      <c r="G277" s="278">
        <v>9</v>
      </c>
      <c r="H277" s="279" t="str">
        <f>IF(G217="","3rd bz_U(W90A)",IF(G217&gt;I217,_xlfn.CONCAT("3rd bz_U(W90A)-",RIGHT(F217,LEN(F217) - FIND("-",F217))), _xlfn.CONCAT("3rd bz_U(W90A)-",RIGHT(H217,LEN(H217) - FIND("-",H217)))))</f>
        <v>3rd bz_U(W90A)-SD DONS GOLD</v>
      </c>
      <c r="I277" s="278">
        <v>7</v>
      </c>
      <c r="J277" s="278">
        <v>129</v>
      </c>
      <c r="K277" s="278" t="s">
        <v>1126</v>
      </c>
      <c r="L277" s="278" t="str">
        <f>IF(E277="","",$L$66&amp;"-"&amp;TEXT(E277,"000"))</f>
        <v>12BX-204</v>
      </c>
      <c r="N277" s="200" t="str">
        <f>$M$159&amp;C277</f>
        <v>bz_17-24 QF</v>
      </c>
    </row>
    <row r="278" spans="1:14">
      <c r="A278" s="69">
        <f t="shared" si="32"/>
        <v>46228</v>
      </c>
      <c r="B278" s="130">
        <f>'CHICLETS MASTER S2'!K54</f>
        <v>0.36805555555555558</v>
      </c>
      <c r="C278" s="265" t="s">
        <v>1070</v>
      </c>
      <c r="D278" s="71" t="str">
        <f t="shared" si="40"/>
        <v>OCEAN VIEW HS 2</v>
      </c>
      <c r="E278" s="216" t="s">
        <v>1127</v>
      </c>
      <c r="F278" s="252" t="str">
        <f>F229</f>
        <v>bz_V2(4th_bz_R)(L97A)-ARROYO GRANDE</v>
      </c>
      <c r="G278" s="266">
        <v>8</v>
      </c>
      <c r="H278" s="252" t="str">
        <f>F230</f>
        <v xml:space="preserve">bz_V3(4th_bz_P)(L110)-LAMORINDA C	</v>
      </c>
      <c r="I278" s="245">
        <v>12</v>
      </c>
      <c r="J278" s="267"/>
      <c r="K278" s="267"/>
      <c r="L278" s="244" t="str">
        <f>IF(E278="","",$L$66&amp;"-"&amp;TEXT(E278,"000"))</f>
        <v>12BX-147A</v>
      </c>
      <c r="M278" s="62"/>
      <c r="N278" s="200" t="str">
        <f>$M$159&amp;C278</f>
        <v>bz_V</v>
      </c>
    </row>
    <row r="279" spans="1:14">
      <c r="A279" s="69">
        <f t="shared" si="32"/>
        <v>46228</v>
      </c>
      <c r="B279" s="130">
        <f>'CHICLETS MASTER S2'!K55</f>
        <v>0.40277777777777801</v>
      </c>
      <c r="C279" s="265" t="s">
        <v>1071</v>
      </c>
      <c r="D279" s="71" t="str">
        <f t="shared" si="40"/>
        <v>OCEAN VIEW HS 2</v>
      </c>
      <c r="E279" s="216" t="s">
        <v>1128</v>
      </c>
      <c r="F279" s="252" t="str">
        <f>G229</f>
        <v>bz_W2(4th_bz_S)(L111)-ORWP RED</v>
      </c>
      <c r="G279" s="266">
        <v>9</v>
      </c>
      <c r="H279" s="252" t="str">
        <f>G230</f>
        <v>bz_W3(4th_bz_T)(L112)-DAVIS WHITE</v>
      </c>
      <c r="I279" s="245">
        <v>6</v>
      </c>
      <c r="J279" s="267"/>
      <c r="K279" s="245"/>
      <c r="L279" s="244" t="str">
        <f>IF(E279="","",$L$66&amp;"-"&amp;TEXT(E279,"000"))</f>
        <v>12BX-152A</v>
      </c>
      <c r="M279" s="62"/>
      <c r="N279" s="200" t="str">
        <f>$M$159&amp;C279</f>
        <v>bz_W</v>
      </c>
    </row>
    <row r="280" spans="1:14">
      <c r="A280" s="62"/>
      <c r="B280" s="62"/>
      <c r="C280" s="62"/>
      <c r="D280" s="268"/>
      <c r="E280" s="62"/>
      <c r="F280" s="62"/>
      <c r="G280" s="62"/>
      <c r="H280" s="62"/>
      <c r="I280" s="62"/>
      <c r="J280" s="62"/>
      <c r="K280" s="62"/>
      <c r="L280" s="62"/>
      <c r="M280" s="62"/>
      <c r="N280" s="62"/>
    </row>
    <row r="281" spans="1:14">
      <c r="A281" s="69">
        <f t="shared" si="32"/>
        <v>46228</v>
      </c>
      <c r="B281" s="130">
        <f>'CHICLETS MASTER S2'!K57</f>
        <v>0.47222222222222199</v>
      </c>
      <c r="C281" s="265" t="s">
        <v>1070</v>
      </c>
      <c r="D281" s="71" t="str">
        <f>$D$274</f>
        <v>OCEAN VIEW HS 2</v>
      </c>
      <c r="E281" s="216">
        <v>135</v>
      </c>
      <c r="F281" s="252" t="str">
        <f>F228</f>
        <v>bz_V1(L203)-YOLO</v>
      </c>
      <c r="G281" s="266">
        <v>7</v>
      </c>
      <c r="H281" s="252" t="str">
        <f>F230</f>
        <v xml:space="preserve">bz_V3(4th_bz_P)(L110)-LAMORINDA C	</v>
      </c>
      <c r="I281" s="245">
        <v>5</v>
      </c>
      <c r="J281" s="267"/>
      <c r="K281" s="267"/>
      <c r="L281" s="244" t="str">
        <f>IF(E281="","",$L$66&amp;"-"&amp;TEXT(E281,"000"))</f>
        <v>12BX-135</v>
      </c>
      <c r="M281" s="62"/>
      <c r="N281" s="200" t="str">
        <f t="shared" ref="N281:N285" si="41">$M$159&amp;C281</f>
        <v>bz_V</v>
      </c>
    </row>
    <row r="282" spans="1:14">
      <c r="A282" s="69">
        <f t="shared" si="32"/>
        <v>46228</v>
      </c>
      <c r="B282" s="130">
        <f>'CHICLETS MASTER S2'!K58</f>
        <v>0.50694444444444398</v>
      </c>
      <c r="C282" s="265" t="s">
        <v>1071</v>
      </c>
      <c r="D282" s="71" t="str">
        <f t="shared" si="40"/>
        <v>OCEAN VIEW HS 2</v>
      </c>
      <c r="E282" s="216">
        <v>147</v>
      </c>
      <c r="F282" s="252" t="str">
        <f>G228</f>
        <v>bz_W1(L204)-SD DONS GOLD</v>
      </c>
      <c r="G282" s="266">
        <v>5</v>
      </c>
      <c r="H282" s="252" t="str">
        <f>G230</f>
        <v>bz_W3(4th_bz_T)(L112)-DAVIS WHITE</v>
      </c>
      <c r="I282" s="245">
        <v>3</v>
      </c>
      <c r="J282" s="267"/>
      <c r="K282" s="267"/>
      <c r="L282" s="244" t="str">
        <f t="shared" ref="L282:L285" si="42">IF(E282="","",$L$66&amp;"-"&amp;TEXT(E282,"000"))</f>
        <v>12BX-147</v>
      </c>
      <c r="M282" s="62"/>
      <c r="N282" s="200" t="str">
        <f t="shared" si="41"/>
        <v>bz_W</v>
      </c>
    </row>
    <row r="283" spans="1:14">
      <c r="A283" s="62"/>
      <c r="B283" s="62"/>
      <c r="C283" s="62"/>
      <c r="D283" s="268"/>
      <c r="E283" s="62"/>
      <c r="F283" s="62"/>
      <c r="G283" s="62"/>
      <c r="H283" s="62"/>
      <c r="I283" s="62"/>
      <c r="J283" s="62"/>
      <c r="K283" s="62"/>
      <c r="L283" s="62"/>
      <c r="M283" s="62"/>
      <c r="N283" s="62"/>
    </row>
    <row r="284" spans="1:14">
      <c r="A284" s="69">
        <f t="shared" si="32"/>
        <v>46228</v>
      </c>
      <c r="B284" s="130">
        <f>'CHICLETS MASTER S2'!K60</f>
        <v>0.57638888888888895</v>
      </c>
      <c r="C284" s="265" t="s">
        <v>1070</v>
      </c>
      <c r="D284" s="71" t="str">
        <f t="shared" si="40"/>
        <v>OCEAN VIEW HS 2</v>
      </c>
      <c r="E284" s="265">
        <v>132</v>
      </c>
      <c r="F284" s="252" t="str">
        <f>F228</f>
        <v>bz_V1(L203)-YOLO</v>
      </c>
      <c r="G284" s="369">
        <v>10.199999999999999</v>
      </c>
      <c r="H284" s="252" t="str">
        <f>F229</f>
        <v>bz_V2(4th_bz_R)(L97A)-ARROYO GRANDE</v>
      </c>
      <c r="I284" s="245">
        <v>10.3</v>
      </c>
      <c r="J284" s="267"/>
      <c r="K284" s="252"/>
      <c r="L284" s="244" t="str">
        <f t="shared" si="42"/>
        <v>12BX-132</v>
      </c>
      <c r="M284" s="62"/>
      <c r="N284" s="200" t="str">
        <f t="shared" si="41"/>
        <v>bz_V</v>
      </c>
    </row>
    <row r="285" spans="1:14">
      <c r="A285" s="69">
        <f t="shared" si="32"/>
        <v>46228</v>
      </c>
      <c r="B285" s="130">
        <f>'CHICLETS MASTER S2'!K61</f>
        <v>0.61111111111111105</v>
      </c>
      <c r="C285" s="265" t="s">
        <v>1071</v>
      </c>
      <c r="D285" s="71" t="str">
        <f t="shared" si="40"/>
        <v>OCEAN VIEW HS 2</v>
      </c>
      <c r="E285" s="265">
        <v>144</v>
      </c>
      <c r="F285" s="252" t="str">
        <f>G228</f>
        <v>bz_W1(L204)-SD DONS GOLD</v>
      </c>
      <c r="G285" s="266">
        <v>9</v>
      </c>
      <c r="H285" s="252" t="str">
        <f>G229</f>
        <v>bz_W2(4th_bz_S)(L111)-ORWP RED</v>
      </c>
      <c r="I285" s="245">
        <v>11</v>
      </c>
      <c r="J285" s="267"/>
      <c r="K285" s="252"/>
      <c r="L285" s="244" t="str">
        <f t="shared" si="42"/>
        <v>12BX-144</v>
      </c>
      <c r="M285" s="62"/>
      <c r="N285" s="200" t="str">
        <f t="shared" si="41"/>
        <v>bz_W</v>
      </c>
    </row>
    <row r="286" spans="1:14">
      <c r="A286" s="62"/>
      <c r="B286" s="62"/>
      <c r="C286" s="62"/>
      <c r="D286" s="268"/>
      <c r="E286" s="62"/>
      <c r="F286" s="62"/>
      <c r="G286" s="62"/>
      <c r="H286" s="62"/>
      <c r="I286" s="62"/>
      <c r="J286" s="62"/>
      <c r="K286" s="62"/>
      <c r="L286" s="62"/>
      <c r="M286" s="62"/>
      <c r="N286" s="62"/>
    </row>
    <row r="287" spans="1:14">
      <c r="A287" s="62"/>
      <c r="B287" s="62"/>
      <c r="C287" s="62"/>
      <c r="D287" s="268"/>
      <c r="E287" s="62"/>
      <c r="F287" s="62"/>
      <c r="G287" s="62"/>
      <c r="H287" s="62"/>
      <c r="I287" s="62"/>
      <c r="J287" s="62"/>
      <c r="K287" s="62"/>
      <c r="L287" s="62"/>
      <c r="M287" s="62"/>
      <c r="N287" s="62"/>
    </row>
    <row r="288" spans="1:14">
      <c r="A288" s="69">
        <f t="shared" si="32"/>
        <v>46228</v>
      </c>
      <c r="B288" s="130">
        <f>'CHICLETS MASTER S2'!K66</f>
        <v>0.78472222222222199</v>
      </c>
      <c r="C288" s="118" t="s">
        <v>1129</v>
      </c>
      <c r="D288" s="71" t="str">
        <f t="shared" ref="D288" si="43">$D$274</f>
        <v>OCEAN VIEW HS 2</v>
      </c>
      <c r="E288" s="118">
        <v>302</v>
      </c>
      <c r="F288" s="252" t="str">
        <f>H233</f>
        <v>bz_AA1(3rd_bz_V)-ARROYO GRANDE</v>
      </c>
      <c r="G288" s="266">
        <v>11</v>
      </c>
      <c r="H288" s="252" t="str">
        <f>H235</f>
        <v>bz_AA3(3rd_bz_X)-CAL REPUBLIC RED</v>
      </c>
      <c r="I288" s="253">
        <v>6</v>
      </c>
      <c r="J288" s="269"/>
      <c r="K288" s="269"/>
      <c r="L288" s="244" t="str">
        <f t="shared" ref="L288" si="44">IF(E288="","",$L$66&amp;"-"&amp;TEXT(E288,"000"))</f>
        <v>12BX-302</v>
      </c>
      <c r="M288" s="62"/>
      <c r="N288" s="200" t="str">
        <f t="shared" ref="N288" si="45">$M$159&amp;C288</f>
        <v>bz_27-29 RR</v>
      </c>
    </row>
    <row r="289" spans="1:14" ht="17.25" thickBot="1">
      <c r="A289" s="78"/>
      <c r="B289" s="78"/>
      <c r="C289" s="60"/>
      <c r="D289" s="60"/>
      <c r="E289" s="60"/>
      <c r="F289" s="95"/>
      <c r="G289" s="258"/>
      <c r="H289" s="95"/>
      <c r="I289" s="60"/>
      <c r="J289" s="95"/>
      <c r="K289" s="95"/>
      <c r="L289" s="60"/>
      <c r="M289" s="62"/>
      <c r="N289" s="62"/>
    </row>
    <row r="290" spans="1:14" ht="17.25" thickBot="1">
      <c r="A290" s="62"/>
      <c r="B290" s="60"/>
      <c r="C290" s="60"/>
      <c r="D290" s="68" t="str">
        <f>'CHICLETS MASTER S2'!$O$51</f>
        <v>LAGUNA HILLS HS</v>
      </c>
      <c r="E290" s="60"/>
      <c r="F290" s="95"/>
      <c r="G290" s="258"/>
      <c r="H290" s="95"/>
      <c r="I290" s="60"/>
      <c r="J290" s="95"/>
      <c r="K290" s="95"/>
      <c r="L290" s="60"/>
      <c r="M290" s="62"/>
      <c r="N290" s="62"/>
    </row>
    <row r="291" spans="1:14">
      <c r="A291" s="214" t="s">
        <v>124</v>
      </c>
      <c r="B291" s="214" t="s">
        <v>125</v>
      </c>
      <c r="C291" s="214" t="s">
        <v>126</v>
      </c>
      <c r="D291" s="214" t="s">
        <v>127</v>
      </c>
      <c r="E291" s="214" t="s">
        <v>128</v>
      </c>
      <c r="F291" s="214" t="s">
        <v>129</v>
      </c>
      <c r="G291" s="214" t="s">
        <v>130</v>
      </c>
      <c r="H291" s="214" t="s">
        <v>131</v>
      </c>
      <c r="I291" s="214" t="s">
        <v>130</v>
      </c>
      <c r="J291" s="214" t="s">
        <v>132</v>
      </c>
      <c r="K291" s="214" t="s">
        <v>133</v>
      </c>
      <c r="L291" s="214" t="s">
        <v>134</v>
      </c>
      <c r="M291" s="62"/>
      <c r="N291" s="62"/>
    </row>
    <row r="292" spans="1:14">
      <c r="A292" s="69">
        <f t="shared" si="32"/>
        <v>46228</v>
      </c>
      <c r="B292" s="130">
        <f>'CHICLETS MASTER S2'!A53</f>
        <v>0.33333333333333331</v>
      </c>
      <c r="C292" s="264" t="s">
        <v>1122</v>
      </c>
      <c r="D292" s="270" t="str">
        <f>$D$290</f>
        <v>LAGUNA HILLS HS</v>
      </c>
      <c r="E292" s="264">
        <v>201</v>
      </c>
      <c r="F292" s="278" t="s">
        <v>1130</v>
      </c>
      <c r="G292" s="278">
        <v>6</v>
      </c>
      <c r="H292" s="279" t="str">
        <f>IF(G201="","3rd bz_R(W97A)",IF(G201&gt;I201,_xlfn.CONCAT("3rd bz_R(W97A)-",RIGHT(F201,LEN(F201) - FIND("-",F201))), _xlfn.CONCAT("3rd bz_R(W97A)-",RIGHT(H201,LEN(H201) - FIND("-",H201)))))</f>
        <v>3rd bz_R(W97A)-908 BLUE</v>
      </c>
      <c r="I292" s="278">
        <v>10</v>
      </c>
      <c r="J292" s="278">
        <v>128</v>
      </c>
      <c r="K292" s="278" t="s">
        <v>1131</v>
      </c>
      <c r="L292" s="278" t="str">
        <f t="shared" ref="L292:L301" si="46">IF(E292="","",$L$66&amp;"-"&amp;TEXT(E292,"000"))</f>
        <v>12BX-201</v>
      </c>
      <c r="N292" s="200" t="str">
        <f t="shared" ref="N292:N301" si="47">$M$159&amp;C292</f>
        <v>bz_17-24 QF</v>
      </c>
    </row>
    <row r="293" spans="1:14">
      <c r="A293" s="69">
        <f t="shared" si="32"/>
        <v>46228</v>
      </c>
      <c r="B293" s="130">
        <f>'CHICLETS MASTER S2'!A54</f>
        <v>0.36805555555555558</v>
      </c>
      <c r="C293" s="264" t="s">
        <v>1122</v>
      </c>
      <c r="D293" s="270" t="str">
        <f t="shared" ref="D293:D302" si="48">$D$290</f>
        <v>LAGUNA HILLS HS</v>
      </c>
      <c r="E293" s="264">
        <v>202</v>
      </c>
      <c r="F293" s="278" t="str">
        <f>IF(G219="","3rd bz_P(W110)",IF(G219&gt;I219,_xlfn.CONCAT("3rd bz_P(W110)-",RIGHT(F219,LEN(F219) - FIND("-",F219))), _xlfn.CONCAT("3rd bz_P(W110)-",RIGHT(H219,LEN(H219) - FIND("-",H219)))))</f>
        <v>3rd bz_P(W110)-TROJAN GOLD</v>
      </c>
      <c r="G293" s="278">
        <v>5</v>
      </c>
      <c r="H293" s="279" t="str">
        <f>IF(G222="","3rd bz_T (W112)",IF(G222&gt;I222,_xlfn.CONCAT("3rd bz_T (W112)-",RIGHT(F222,LEN(F222) - FIND("-",F222))), _xlfn.CONCAT("3rd bz_T (W112)-",RIGHT(H222,LEN(H222) - FIND("-",H222)))))</f>
        <v>3rd bz_T (W112)-DIABLO ALLIANCE A</v>
      </c>
      <c r="I293" s="278">
        <v>4</v>
      </c>
      <c r="J293" s="278">
        <v>128</v>
      </c>
      <c r="K293" s="278" t="s">
        <v>1132</v>
      </c>
      <c r="L293" s="278" t="str">
        <f t="shared" si="46"/>
        <v>12BX-202</v>
      </c>
      <c r="N293" s="200" t="str">
        <f t="shared" si="47"/>
        <v>bz_17-24 QF</v>
      </c>
    </row>
    <row r="294" spans="1:14">
      <c r="A294" s="69">
        <f t="shared" si="32"/>
        <v>46228</v>
      </c>
      <c r="B294" s="130">
        <f>'CHICLETS MASTER S2'!A55</f>
        <v>0.40277777777777801</v>
      </c>
      <c r="C294" s="71" t="s">
        <v>1094</v>
      </c>
      <c r="D294" s="270" t="str">
        <f t="shared" si="48"/>
        <v>LAGUNA HILLS HS</v>
      </c>
      <c r="E294" s="216">
        <v>131</v>
      </c>
      <c r="F294" s="278" t="s">
        <v>1133</v>
      </c>
      <c r="G294" s="278">
        <v>11</v>
      </c>
      <c r="H294" s="279" t="str">
        <f>IF(G200="","2nd bz_S(L97)",IF(G200&lt;I200,_xlfn.CONCAT("2nd bz_S(L97)-",RIGHT(F200,LEN(F200) - FIND("-",F200))), _xlfn.CONCAT("2nd bz_S(L97)-",RIGHT(H200,LEN(H200) - FIND("-",H200)))))</f>
        <v>2nd bz_S(L97)-AMERICAN RIVER</v>
      </c>
      <c r="I294" s="278">
        <v>2</v>
      </c>
      <c r="J294" s="278">
        <v>149</v>
      </c>
      <c r="K294" s="278">
        <v>158</v>
      </c>
      <c r="L294" s="278" t="str">
        <f t="shared" si="46"/>
        <v>12BX-131</v>
      </c>
      <c r="M294" s="62"/>
      <c r="N294" s="62" t="str">
        <f t="shared" si="47"/>
        <v>bz_9-16 QF</v>
      </c>
    </row>
    <row r="295" spans="1:14">
      <c r="A295" s="69">
        <f t="shared" si="32"/>
        <v>46228</v>
      </c>
      <c r="B295" s="130">
        <f>'CHICLETS MASTER S2'!A56</f>
        <v>0.4375</v>
      </c>
      <c r="C295" s="71" t="s">
        <v>1094</v>
      </c>
      <c r="D295" s="270" t="str">
        <f t="shared" si="48"/>
        <v>LAGUNA HILLS HS</v>
      </c>
      <c r="E295" s="216">
        <v>134</v>
      </c>
      <c r="F295" s="278" t="s">
        <v>1134</v>
      </c>
      <c r="G295" s="279">
        <v>20</v>
      </c>
      <c r="H295" s="279" t="str">
        <f>IF(G199="","2nd bz_R(L93)",IF(G199&lt;I199,_xlfn.CONCAT("2nd bz_R(L93)-",RIGHT(F199,LEN(F199) - FIND("-",F199))), _xlfn.CONCAT("2nd bz_R(L93)-",RIGHT(H199,LEN(H199) - FIND("-",H199)))))</f>
        <v>2nd bz_R(L93)-SANTA BARBARA WPC B</v>
      </c>
      <c r="I295" s="278">
        <v>9</v>
      </c>
      <c r="J295" s="278">
        <v>154</v>
      </c>
      <c r="K295" s="278">
        <v>161</v>
      </c>
      <c r="L295" s="278" t="str">
        <f t="shared" si="46"/>
        <v>12BX-134</v>
      </c>
      <c r="M295" s="62"/>
      <c r="N295" s="62" t="str">
        <f t="shared" si="47"/>
        <v>bz_9-16 QF</v>
      </c>
    </row>
    <row r="296" spans="1:14">
      <c r="A296" s="69">
        <f t="shared" si="32"/>
        <v>46228</v>
      </c>
      <c r="B296" s="130">
        <f>'CHICLETS MASTER S2'!A57</f>
        <v>0.47222222222222199</v>
      </c>
      <c r="C296" s="265" t="s">
        <v>1072</v>
      </c>
      <c r="D296" s="270" t="str">
        <f t="shared" si="48"/>
        <v>LAGUNA HILLS HS</v>
      </c>
      <c r="E296" s="216" t="s">
        <v>1135</v>
      </c>
      <c r="F296" s="252" t="str">
        <f>H228</f>
        <v>bz_X1(L201)-680 DRIVERS</v>
      </c>
      <c r="G296" s="266">
        <v>13</v>
      </c>
      <c r="H296" s="252" t="str">
        <f>H230</f>
        <v>bz_X3(4th_bz_U)(L90A)-CAL REPUBLIC RED</v>
      </c>
      <c r="I296" s="245">
        <v>4</v>
      </c>
      <c r="J296" s="267"/>
      <c r="K296" s="267"/>
      <c r="L296" s="244" t="str">
        <f>IF(E296="","",$L$66&amp;"-"&amp;TEXT(E296,"000"))</f>
        <v>12BX-135A</v>
      </c>
      <c r="M296" s="62"/>
      <c r="N296" s="200" t="str">
        <f>$M$159&amp;C296</f>
        <v>bz_X</v>
      </c>
    </row>
    <row r="297" spans="1:14">
      <c r="A297" s="69">
        <f t="shared" si="32"/>
        <v>46228</v>
      </c>
      <c r="B297" s="130">
        <f>'CHICLETS MASTER S2'!A58</f>
        <v>0.50694444444444398</v>
      </c>
      <c r="C297" s="71" t="s">
        <v>1094</v>
      </c>
      <c r="D297" s="270" t="str">
        <f t="shared" si="48"/>
        <v>LAGUNA HILLS HS</v>
      </c>
      <c r="E297" s="216">
        <v>130</v>
      </c>
      <c r="F297" s="278" t="str">
        <f>IF(G218="","2nd bz_P(L94)",IF(G218&lt;I218,_xlfn.CONCAT("2nd bz_P(L94)-",RIGHT(F218,LEN(F218) - FIND("-",F218))), _xlfn.CONCAT("2nd bz_P(L94)-",RIGHT(H218,LEN(H218) - FIND("-",H218)))))</f>
        <v>2nd bz_P(L94)-BROOKYLN HUSTLE</v>
      </c>
      <c r="G297" s="278">
        <v>10</v>
      </c>
      <c r="H297" s="279" t="str">
        <f>IF(G220="","2nd bz_T(L98)",IF(G220&lt;I220,_xlfn.CONCAT("2nd bz_T(L98)-",RIGHT(F220,LEN(F220) - FIND("-",F220))), _xlfn.CONCAT("2nd bz_T(L98)-",RIGHT(H220,LEN(H220) - FIND("-",H220)))))</f>
        <v>2nd bz_T(L98)-SHAQ WHITE</v>
      </c>
      <c r="I297" s="278">
        <v>12</v>
      </c>
      <c r="J297" s="278">
        <v>149</v>
      </c>
      <c r="K297" s="278">
        <v>158</v>
      </c>
      <c r="L297" s="278" t="str">
        <f t="shared" si="46"/>
        <v>12BX-130</v>
      </c>
      <c r="M297" s="62"/>
      <c r="N297" s="62" t="str">
        <f t="shared" si="47"/>
        <v>bz_9-16 QF</v>
      </c>
    </row>
    <row r="298" spans="1:14">
      <c r="A298" s="69">
        <f t="shared" si="32"/>
        <v>46228</v>
      </c>
      <c r="B298" s="130">
        <f>'CHICLETS MASTER S2'!A59</f>
        <v>0.54166666666666696</v>
      </c>
      <c r="C298" s="71" t="s">
        <v>1094</v>
      </c>
      <c r="D298" s="270" t="str">
        <f t="shared" si="48"/>
        <v>LAGUNA HILLS HS</v>
      </c>
      <c r="E298" s="216">
        <v>125</v>
      </c>
      <c r="F298" s="278" t="s">
        <v>1136</v>
      </c>
      <c r="G298" s="278">
        <v>8</v>
      </c>
      <c r="H298" s="279" t="str">
        <f>IF(G216="","2nd bz_U(L90)",IF(G216&lt;I216,_xlfn.CONCAT("2nd bz_U(L90)-",RIGHT(F216,LEN(F216) - FIND("-",F216))), _xlfn.CONCAT("2nd bz_U(L90)-",RIGHT(H216,LEN(H216) - FIND("-",H216)))))</f>
        <v>2nd bz_U(L90)-OCWPC RED</v>
      </c>
      <c r="I298" s="278">
        <v>11</v>
      </c>
      <c r="J298" s="278">
        <v>154</v>
      </c>
      <c r="K298" s="278">
        <v>161</v>
      </c>
      <c r="L298" s="278" t="str">
        <f t="shared" si="46"/>
        <v>12BX-125</v>
      </c>
      <c r="M298" s="62"/>
      <c r="N298" s="62" t="str">
        <f t="shared" si="47"/>
        <v>bz_9-16 QF</v>
      </c>
    </row>
    <row r="299" spans="1:14">
      <c r="A299" s="69">
        <f t="shared" si="32"/>
        <v>46228</v>
      </c>
      <c r="B299" s="130">
        <f>'CHICLETS MASTER S2'!A60</f>
        <v>0.57638888888888895</v>
      </c>
      <c r="C299" s="265" t="s">
        <v>1072</v>
      </c>
      <c r="D299" s="270" t="str">
        <f t="shared" si="48"/>
        <v>LAGUNA HILLS HS</v>
      </c>
      <c r="E299" s="265">
        <v>152</v>
      </c>
      <c r="F299" s="252" t="str">
        <f>H229</f>
        <v>bz_X2(L202)-DIABLO ALLIANCE A</v>
      </c>
      <c r="G299" s="266">
        <v>10</v>
      </c>
      <c r="H299" s="252" t="str">
        <f>H230</f>
        <v>bz_X3(4th_bz_U)(L90A)-CAL REPUBLIC RED</v>
      </c>
      <c r="I299" s="245">
        <v>2</v>
      </c>
      <c r="J299" s="267"/>
      <c r="K299" s="245"/>
      <c r="L299" s="244" t="str">
        <f>IF(E299="","",$L$66&amp;"-"&amp;TEXT(E299,"000"))</f>
        <v>12BX-152</v>
      </c>
      <c r="M299" s="62"/>
      <c r="N299" s="200" t="str">
        <f>$M$159&amp;C299</f>
        <v>bz_X</v>
      </c>
    </row>
    <row r="300" spans="1:14">
      <c r="A300" s="69">
        <f t="shared" si="32"/>
        <v>46228</v>
      </c>
      <c r="B300" s="130">
        <f>'CHICLETS MASTER S2'!A61</f>
        <v>0.61111111111111105</v>
      </c>
      <c r="C300" s="69" t="s">
        <v>1121</v>
      </c>
      <c r="D300" s="270" t="str">
        <f t="shared" si="48"/>
        <v>LAGUNA HILLS HS</v>
      </c>
      <c r="E300" s="216">
        <v>149</v>
      </c>
      <c r="F300" s="278" t="str">
        <f>IF(G294="","W131",IF(G294&gt;I294,_xlfn.CONCAT("W131-",RIGHT(F294,LEN(F294) - FIND("-",F294))), _xlfn.CONCAT("W131-",RIGHT(H294,LEN(H294) - FIND("-",H294)))))</f>
        <v>W131-TEXAS THUNDER</v>
      </c>
      <c r="G300" s="278">
        <v>10</v>
      </c>
      <c r="H300" s="278" t="str">
        <f>IF(G297="","W130",IF(G297&gt;I297,_xlfn.CONCAT("W130-",RIGHT(F297,LEN(F297) - FIND("-",F297))), _xlfn.CONCAT("W130-",RIGHT(H297,LEN(H297) - FIND("-",H297)))))</f>
        <v>W130-SHAQ WHITE</v>
      </c>
      <c r="I300" s="278">
        <v>7</v>
      </c>
      <c r="J300" s="278">
        <v>188</v>
      </c>
      <c r="K300" s="278">
        <v>186</v>
      </c>
      <c r="L300" s="278" t="str">
        <f t="shared" si="46"/>
        <v>12BX-149</v>
      </c>
      <c r="M300" s="62"/>
      <c r="N300" s="62" t="str">
        <f t="shared" si="47"/>
        <v>bz_9th-12th</v>
      </c>
    </row>
    <row r="301" spans="1:14">
      <c r="A301" s="69">
        <f t="shared" si="32"/>
        <v>46228</v>
      </c>
      <c r="B301" s="130">
        <f>'CHICLETS MASTER S2'!A62</f>
        <v>0.64583333333333304</v>
      </c>
      <c r="C301" s="69" t="s">
        <v>1121</v>
      </c>
      <c r="D301" s="270" t="str">
        <f t="shared" si="48"/>
        <v>LAGUNA HILLS HS</v>
      </c>
      <c r="E301" s="216">
        <v>154</v>
      </c>
      <c r="F301" s="278" t="str">
        <f>IF(G298="","W125",IF(G298&gt;I298,_xlfn.CONCAT("W125-",RIGHT(F298,LEN(F298) - FIND("-",F298))), _xlfn.CONCAT("W125-",RIGHT(H298,LEN(H298) - FIND("-",H298)))))</f>
        <v>W125-OCWPC RED</v>
      </c>
      <c r="G301" s="278">
        <v>8</v>
      </c>
      <c r="H301" s="278" t="str">
        <f>IF(G295="","W134",IF(G295&gt;I295,_xlfn.CONCAT("W134-",RIGHT(F295,LEN(F295) - FIND("-",F295))), _xlfn.CONCAT("W134-",RIGHT(H295,LEN(H295) - FIND("-",H295)))))</f>
        <v>W134-PUNAHOU</v>
      </c>
      <c r="I301" s="278">
        <v>15</v>
      </c>
      <c r="J301" s="278">
        <v>188</v>
      </c>
      <c r="K301" s="278">
        <v>186</v>
      </c>
      <c r="L301" s="278" t="str">
        <f t="shared" si="46"/>
        <v>12BX-154</v>
      </c>
      <c r="M301" s="62"/>
      <c r="N301" s="62" t="str">
        <f t="shared" si="47"/>
        <v>bz_9th-12th</v>
      </c>
    </row>
    <row r="302" spans="1:14">
      <c r="A302" s="69">
        <f t="shared" si="32"/>
        <v>46228</v>
      </c>
      <c r="B302" s="130">
        <f>'CHICLETS MASTER S2'!A63</f>
        <v>0.68055555555555602</v>
      </c>
      <c r="C302" s="265" t="s">
        <v>1072</v>
      </c>
      <c r="D302" s="270" t="str">
        <f t="shared" si="48"/>
        <v>LAGUNA HILLS HS</v>
      </c>
      <c r="E302" s="118" t="s">
        <v>1137</v>
      </c>
      <c r="F302" s="252" t="str">
        <f>H228</f>
        <v>bz_X1(L201)-680 DRIVERS</v>
      </c>
      <c r="G302" s="266">
        <v>3</v>
      </c>
      <c r="H302" s="252" t="str">
        <f>H229</f>
        <v>bz_X2(L202)-DIABLO ALLIANCE A</v>
      </c>
      <c r="I302" s="253">
        <v>11</v>
      </c>
      <c r="J302" s="269"/>
      <c r="K302" s="269"/>
      <c r="L302" s="244" t="str">
        <f>IF(E302="","",$L$66&amp;"-"&amp;TEXT(E302,"000"))</f>
        <v>12BX-144A</v>
      </c>
      <c r="M302" s="62"/>
      <c r="N302" s="200" t="str">
        <f>$M$159&amp;C302</f>
        <v>bz_X</v>
      </c>
    </row>
    <row r="303" spans="1:14">
      <c r="A303" s="62"/>
      <c r="B303" s="62"/>
      <c r="C303" s="62"/>
      <c r="D303" s="62"/>
      <c r="E303" s="62"/>
      <c r="F303" s="95"/>
      <c r="G303" s="95"/>
      <c r="H303" s="95"/>
      <c r="I303" s="62"/>
      <c r="J303" s="95"/>
      <c r="K303" s="95"/>
      <c r="L303" s="62"/>
      <c r="M303" s="62"/>
      <c r="N303" s="62"/>
    </row>
    <row r="304" spans="1:14">
      <c r="A304" s="62"/>
      <c r="B304" s="62"/>
      <c r="C304" s="62"/>
      <c r="D304" s="62"/>
      <c r="E304" s="62"/>
      <c r="F304" s="95"/>
      <c r="G304" s="95"/>
      <c r="H304" s="95"/>
      <c r="I304" s="62"/>
      <c r="J304" s="95"/>
      <c r="K304" s="95"/>
      <c r="L304" s="62"/>
      <c r="M304" s="62"/>
      <c r="N304" s="62"/>
    </row>
    <row r="305" spans="1:14">
      <c r="A305" s="69">
        <f t="shared" si="32"/>
        <v>46228</v>
      </c>
      <c r="B305" s="367">
        <f>'CHICLETS MASTER S2'!K66</f>
        <v>0.78472222222222199</v>
      </c>
      <c r="C305" s="265" t="s">
        <v>1138</v>
      </c>
      <c r="D305" s="368" t="str">
        <f t="shared" ref="D305:D306" si="49">$D$290</f>
        <v>LAGUNA HILLS HS</v>
      </c>
      <c r="E305" s="265">
        <v>300</v>
      </c>
      <c r="F305" s="252" t="str">
        <f>F233</f>
        <v>bz_Y1(1st_bz_V)-YOLO</v>
      </c>
      <c r="G305" s="266">
        <v>4</v>
      </c>
      <c r="H305" s="252" t="str">
        <f>F235</f>
        <v>bz(Y3(1st_bz_X)-DIABLO ALLIANCE A</v>
      </c>
      <c r="I305" s="253">
        <v>8</v>
      </c>
      <c r="J305" s="269"/>
      <c r="K305" s="269"/>
      <c r="L305" s="244" t="str">
        <f>IF(E305="","",$L$66&amp;"-"&amp;TEXT(E305,"000"))</f>
        <v>12BX-300</v>
      </c>
      <c r="M305" s="62"/>
      <c r="N305" s="200" t="str">
        <f>$M$159&amp;C305</f>
        <v>bz_21-23 RR</v>
      </c>
    </row>
    <row r="306" spans="1:14">
      <c r="A306" s="69">
        <f t="shared" si="32"/>
        <v>46228</v>
      </c>
      <c r="B306" s="367">
        <f>'CHICLETS MASTER S2'!K67</f>
        <v>0.81944444444444398</v>
      </c>
      <c r="C306" s="265" t="s">
        <v>1139</v>
      </c>
      <c r="D306" s="368" t="str">
        <f t="shared" si="49"/>
        <v>LAGUNA HILLS HS</v>
      </c>
      <c r="E306" s="265">
        <v>301</v>
      </c>
      <c r="F306" s="252" t="str">
        <f>G233</f>
        <v>bz_Z1(2nd_bz_V)-LAMORINDA C</v>
      </c>
      <c r="G306" s="266">
        <v>3</v>
      </c>
      <c r="H306" s="252" t="str">
        <f>G235</f>
        <v>bz_Z3(2nd_bz_X)-680 DRIVERS</v>
      </c>
      <c r="I306" s="253">
        <v>7</v>
      </c>
      <c r="J306" s="269"/>
      <c r="K306" s="269"/>
      <c r="L306" s="244" t="str">
        <f>IF(E306="","",$L$66&amp;"-"&amp;TEXT(E306,"000"))</f>
        <v>12BX-301</v>
      </c>
      <c r="M306" s="62"/>
      <c r="N306" s="200" t="str">
        <f>$M$159&amp;C306</f>
        <v>bz_24-26 RR</v>
      </c>
    </row>
    <row r="307" spans="1:14">
      <c r="A307" s="62"/>
      <c r="B307" s="62"/>
      <c r="C307" s="62"/>
      <c r="D307" s="62"/>
      <c r="E307" s="62"/>
      <c r="F307" s="95"/>
      <c r="G307" s="95"/>
      <c r="H307" s="95"/>
      <c r="I307" s="62"/>
      <c r="J307" s="95"/>
      <c r="K307" s="95"/>
      <c r="L307" s="62"/>
      <c r="M307" s="62"/>
      <c r="N307" s="62"/>
    </row>
    <row r="308" spans="1:14" ht="17.25" thickBot="1">
      <c r="A308" s="62"/>
      <c r="B308" s="62"/>
      <c r="C308" s="62"/>
      <c r="D308" s="62"/>
      <c r="E308" s="62"/>
      <c r="F308" s="95"/>
      <c r="G308" s="95"/>
      <c r="H308" s="95"/>
      <c r="I308" s="62"/>
      <c r="J308" s="95"/>
      <c r="K308" s="95"/>
      <c r="L308" s="62"/>
      <c r="M308" s="62"/>
      <c r="N308" s="62"/>
    </row>
    <row r="309" spans="1:14" ht="17.25" thickBot="1">
      <c r="A309" s="78"/>
      <c r="B309" s="79"/>
      <c r="C309" s="60"/>
      <c r="D309" s="68" t="str">
        <f>'CHICLETS MASTER S2'!$J$51</f>
        <v>GOLDEN WEST COLLEGE 2</v>
      </c>
      <c r="E309" s="60"/>
      <c r="F309" s="95"/>
      <c r="G309" s="258"/>
      <c r="H309" s="95"/>
      <c r="I309" s="60"/>
      <c r="J309" s="95"/>
      <c r="K309" s="95"/>
      <c r="L309" s="60"/>
      <c r="M309" s="62"/>
      <c r="N309" s="62"/>
    </row>
    <row r="310" spans="1:14">
      <c r="A310" s="214" t="s">
        <v>124</v>
      </c>
      <c r="B310" s="214" t="s">
        <v>125</v>
      </c>
      <c r="C310" s="214" t="s">
        <v>126</v>
      </c>
      <c r="D310" s="214" t="s">
        <v>127</v>
      </c>
      <c r="E310" s="214" t="s">
        <v>128</v>
      </c>
      <c r="F310" s="214" t="s">
        <v>129</v>
      </c>
      <c r="G310" s="214" t="s">
        <v>130</v>
      </c>
      <c r="H310" s="214" t="s">
        <v>131</v>
      </c>
      <c r="I310" s="214" t="s">
        <v>130</v>
      </c>
      <c r="J310" s="214" t="s">
        <v>132</v>
      </c>
      <c r="K310" s="214" t="s">
        <v>133</v>
      </c>
      <c r="L310" s="214" t="s">
        <v>134</v>
      </c>
      <c r="M310" s="62"/>
      <c r="N310" s="62"/>
    </row>
    <row r="311" spans="1:14">
      <c r="A311" s="69">
        <f t="shared" si="32"/>
        <v>46228</v>
      </c>
      <c r="B311" s="130">
        <f>'CHICLETS MASTER S2'!I53</f>
        <v>0.33333333333333331</v>
      </c>
      <c r="C311" s="242" t="s">
        <v>1105</v>
      </c>
      <c r="D311" s="71" t="str">
        <f t="shared" ref="D311:D322" si="50">$D$309</f>
        <v>GOLDEN WEST COLLEGE 2</v>
      </c>
      <c r="E311" s="254">
        <v>115</v>
      </c>
      <c r="F311" s="278" t="s">
        <v>1140</v>
      </c>
      <c r="G311" s="278">
        <v>4</v>
      </c>
      <c r="H311" s="278" t="str">
        <f>IF(G216="","1st bz_U(W90)",IF(G216&gt;I216,_xlfn.CONCAT("1st bz_U(W90)-",RIGHT(F216,LEN(F216) - FIND("-",F216))), _xlfn.CONCAT("1st bz_U(W90)-",RIGHT(H216,LEN(H216) - FIND("-",H216)))))</f>
        <v xml:space="preserve">1st bz_U(W90)-STANFORD WHITE	</v>
      </c>
      <c r="I311" s="278">
        <v>11</v>
      </c>
      <c r="J311" s="278">
        <v>141</v>
      </c>
      <c r="K311" s="278">
        <v>155</v>
      </c>
      <c r="L311" s="278" t="str">
        <f>IF(E311="","",$L$66&amp;"-"&amp;TEXT(E311,"000"))</f>
        <v>12BX-115</v>
      </c>
      <c r="M311" s="62"/>
      <c r="N311" s="95" t="str">
        <f t="shared" ref="N311:N322" si="51">$M$159&amp;C311</f>
        <v>bz_3v8 QF</v>
      </c>
    </row>
    <row r="312" spans="1:14">
      <c r="A312" s="69">
        <f t="shared" si="32"/>
        <v>46228</v>
      </c>
      <c r="B312" s="130">
        <f>'CHICLETS MASTER S2'!I54</f>
        <v>0.36805555555555558</v>
      </c>
      <c r="C312" s="242" t="s">
        <v>1106</v>
      </c>
      <c r="D312" s="71" t="str">
        <f t="shared" si="50"/>
        <v>GOLDEN WEST COLLEGE 2</v>
      </c>
      <c r="E312" s="254">
        <v>120</v>
      </c>
      <c r="F312" s="278" t="str">
        <f>IF(G218="","1st bz_P(W94)",IF(G218&gt;I218,_xlfn.CONCAT("1st bz_P(W94)-",RIGHT(F218,LEN(F218) - FIND("-",F218))), _xlfn.CONCAT("1st bz_P(W94)-",RIGHT(H218,LEN(H218) - FIND("-",H218)))))</f>
        <v>1st bz_P(W94)-680 WHITE</v>
      </c>
      <c r="G312" s="278">
        <v>3</v>
      </c>
      <c r="H312" s="278" t="str">
        <f>IF(G220="","1st bz_T(W98)",IF(G220&gt;I220,_xlfn.CONCAT("1st bz_T(W98)-",RIGHT(F220,LEN(F220) - FIND("-",F220))), _xlfn.CONCAT("1st bz_T(W98)-",RIGHT(H220,LEN(H220) - FIND("-",H220)))))</f>
        <v>1st bz_T(W98)-CC UNITED WHITE</v>
      </c>
      <c r="I312" s="278">
        <v>5</v>
      </c>
      <c r="J312" s="278">
        <v>138</v>
      </c>
      <c r="K312" s="278">
        <v>150</v>
      </c>
      <c r="L312" s="278" t="str">
        <f>IF(E312="","",$L$66&amp;"-"&amp;TEXT(E312,"000"))</f>
        <v>12BX-120</v>
      </c>
      <c r="M312" s="62"/>
      <c r="N312" s="95" t="str">
        <f t="shared" si="51"/>
        <v>bz_4v7 QF</v>
      </c>
    </row>
    <row r="313" spans="1:14">
      <c r="A313" s="69">
        <f t="shared" si="32"/>
        <v>46228</v>
      </c>
      <c r="B313" s="130">
        <f>'CHICLETS MASTER S2'!I55</f>
        <v>0.40277777777777801</v>
      </c>
      <c r="C313" s="242" t="s">
        <v>1092</v>
      </c>
      <c r="D313" s="71" t="str">
        <f t="shared" si="50"/>
        <v>GOLDEN WEST COLLEGE 2</v>
      </c>
      <c r="E313" s="216">
        <v>116</v>
      </c>
      <c r="F313" s="278" t="s">
        <v>1141</v>
      </c>
      <c r="G313" s="278">
        <v>8</v>
      </c>
      <c r="H313" s="278" t="str">
        <f>IF(G200="","1st bz_S(W97)",IF(G200&gt;I200,_xlfn.CONCAT("1st bz_S(W97)-",RIGHT(F200,LEN(F200) - FIND("-",F200))), _xlfn.CONCAT("1st bz_S(W97)-",RIGHT(H200,LEN(H200) - FIND("-",H200)))))</f>
        <v>1st bz_S(W97)-NORTH IRVINE RED</v>
      </c>
      <c r="I313" s="278">
        <v>2</v>
      </c>
      <c r="J313" s="278">
        <v>138</v>
      </c>
      <c r="K313" s="278">
        <v>150</v>
      </c>
      <c r="L313" s="278" t="str">
        <f t="shared" ref="L313:L322" si="52">IF(E313="","",$L$66&amp;"-"&amp;TEXT(E313,"000"))</f>
        <v>12BX-116</v>
      </c>
      <c r="M313" s="62"/>
      <c r="N313" s="62" t="str">
        <f t="shared" si="51"/>
        <v>bz_1v6 QF</v>
      </c>
    </row>
    <row r="314" spans="1:14">
      <c r="A314" s="69">
        <f t="shared" si="32"/>
        <v>46228</v>
      </c>
      <c r="B314" s="130">
        <f>'CHICLETS MASTER S2'!I56</f>
        <v>0.4375</v>
      </c>
      <c r="C314" s="242" t="s">
        <v>1093</v>
      </c>
      <c r="D314" s="71" t="str">
        <f t="shared" si="50"/>
        <v>GOLDEN WEST COLLEGE 2</v>
      </c>
      <c r="E314" s="216">
        <v>121</v>
      </c>
      <c r="F314" s="278" t="s">
        <v>1142</v>
      </c>
      <c r="G314" s="278">
        <v>15</v>
      </c>
      <c r="H314" s="278" t="str">
        <f>IF(G199="","1st bz_R(W93)",IF(G199&gt;I199,_xlfn.CONCAT("1st bz_R(W93)-",RIGHT(F199,LEN(F199) - FIND("-",F199))), _xlfn.CONCAT("1st bz_R(W93)-",RIGHT(H199,LEN(H199) - FIND("-",H199)))))</f>
        <v>1st bz_R(W93)-PARK CITY</v>
      </c>
      <c r="I314" s="278">
        <v>7</v>
      </c>
      <c r="J314" s="278">
        <v>141</v>
      </c>
      <c r="K314" s="278">
        <v>155</v>
      </c>
      <c r="L314" s="278" t="str">
        <f t="shared" si="52"/>
        <v>12BX-121</v>
      </c>
      <c r="M314" s="62"/>
      <c r="N314" s="62" t="str">
        <f t="shared" si="51"/>
        <v>bz_2v5 QF</v>
      </c>
    </row>
    <row r="315" spans="1:14">
      <c r="A315" s="69">
        <f t="shared" si="32"/>
        <v>46228</v>
      </c>
      <c r="B315" s="130">
        <f>'CHICLETS MASTER S2'!I57</f>
        <v>0.47222222222222199</v>
      </c>
      <c r="C315" s="71" t="s">
        <v>1143</v>
      </c>
      <c r="D315" s="71" t="str">
        <f t="shared" si="50"/>
        <v>GOLDEN WEST COLLEGE 2</v>
      </c>
      <c r="E315" s="216">
        <v>138</v>
      </c>
      <c r="F315" s="278" t="str">
        <f>IF(G313="","W116",IF(G313&gt;I313,_xlfn.CONCAT("W116-",RIGHT(F313,LEN(F313) - FIND("-",F313))), _xlfn.CONCAT("W116-",RIGHT(H313,LEN(H313) - FIND("-",H313)))))</f>
        <v>W116-CARLSBAD B</v>
      </c>
      <c r="G315" s="278">
        <v>7</v>
      </c>
      <c r="H315" s="278" t="str">
        <f>IF(G312="","W120",IF(G312&gt;I312,_xlfn.CONCAT("W120-",RIGHT(F312,LEN(F312) - FIND("-",F312))), _xlfn.CONCAT("W120-",RIGHT(H312,LEN(H312) - FIND("-",H312)))))</f>
        <v>W120-CC UNITED WHITE</v>
      </c>
      <c r="I315" s="278">
        <v>6</v>
      </c>
      <c r="J315" s="278">
        <v>169</v>
      </c>
      <c r="K315" s="278">
        <v>163</v>
      </c>
      <c r="L315" s="278" t="str">
        <f t="shared" si="52"/>
        <v>12BX-138</v>
      </c>
      <c r="M315" s="62"/>
      <c r="N315" s="62" t="str">
        <f t="shared" si="51"/>
        <v>bz_W to semi, L to play-in</v>
      </c>
    </row>
    <row r="316" spans="1:14">
      <c r="A316" s="69">
        <f t="shared" si="32"/>
        <v>46228</v>
      </c>
      <c r="B316" s="130">
        <f>'CHICLETS MASTER S2'!I58</f>
        <v>0.50694444444444398</v>
      </c>
      <c r="C316" s="71" t="s">
        <v>1143</v>
      </c>
      <c r="D316" s="71" t="str">
        <f t="shared" si="50"/>
        <v>GOLDEN WEST COLLEGE 2</v>
      </c>
      <c r="E316" s="216">
        <v>141</v>
      </c>
      <c r="F316" s="278" t="str">
        <f>IF(G311="","W115",IF(G311&gt;I311,_xlfn.CONCAT("W115-",RIGHT(F311,LEN(F311) - FIND("-",F311))), _xlfn.CONCAT("W115-",RIGHT(H311,LEN(H311) - FIND("-",H311)))))</f>
        <v xml:space="preserve">W115-STANFORD WHITE	</v>
      </c>
      <c r="G316" s="278">
        <v>7</v>
      </c>
      <c r="H316" s="278" t="str">
        <f>IF(G314="","W121",IF(G314&gt;I314,_xlfn.CONCAT("W121-",RIGHT(F314,LEN(F314) - FIND("-",F314))), _xlfn.CONCAT("W121-",RIGHT(H314,LEN(H314) - FIND("-",H314)))))</f>
        <v>W121-LAMORINDA B</v>
      </c>
      <c r="I316" s="278">
        <v>14</v>
      </c>
      <c r="J316" s="278">
        <v>170</v>
      </c>
      <c r="K316" s="278">
        <v>164</v>
      </c>
      <c r="L316" s="278" t="str">
        <f t="shared" si="52"/>
        <v>12BX-141</v>
      </c>
      <c r="M316" s="62"/>
      <c r="N316" s="62" t="str">
        <f t="shared" si="51"/>
        <v>bz_W to semi, L to play-in</v>
      </c>
    </row>
    <row r="317" spans="1:14">
      <c r="A317" s="69">
        <f t="shared" si="32"/>
        <v>46228</v>
      </c>
      <c r="B317" s="130">
        <f>'CHICLETS MASTER S2'!I59</f>
        <v>0.54166666666666696</v>
      </c>
      <c r="C317" s="71" t="s">
        <v>1101</v>
      </c>
      <c r="D317" s="71" t="str">
        <f t="shared" si="50"/>
        <v>GOLDEN WEST COLLEGE 2</v>
      </c>
      <c r="E317" s="216">
        <v>150</v>
      </c>
      <c r="F317" s="278" t="str">
        <f>IF(G313="","L116",IF(G313&lt;I313,_xlfn.CONCAT("L116-",RIGHT(F313,LEN(F313) - FIND("-",F313))), _xlfn.CONCAT("L116-",RIGHT(H313,LEN(H313) - FIND("-",H313)))))</f>
        <v>L116-NORTH IRVINE RED</v>
      </c>
      <c r="G317" s="278">
        <v>2</v>
      </c>
      <c r="H317" s="278" t="str">
        <f>IF(G312="","L120",IF(G312&lt;I312,_xlfn.CONCAT("L120-",RIGHT(F312,LEN(F312) - FIND("-",F312))), _xlfn.CONCAT("L120-",RIGHT(H312,LEN(H312) - FIND("-",H312)))))</f>
        <v>L120-680 WHITE</v>
      </c>
      <c r="I317" s="278">
        <v>11</v>
      </c>
      <c r="J317" s="278">
        <v>163</v>
      </c>
      <c r="K317" s="278">
        <v>190</v>
      </c>
      <c r="L317" s="278" t="str">
        <f t="shared" si="52"/>
        <v>12BX-150</v>
      </c>
      <c r="M317" s="62"/>
      <c r="N317" s="62" t="str">
        <f t="shared" si="51"/>
        <v>bz_W to play-in</v>
      </c>
    </row>
    <row r="318" spans="1:14">
      <c r="A318" s="69">
        <f t="shared" si="32"/>
        <v>46228</v>
      </c>
      <c r="B318" s="130">
        <f>'CHICLETS MASTER S2'!I60</f>
        <v>0.57638888888888895</v>
      </c>
      <c r="C318" s="71" t="s">
        <v>1101</v>
      </c>
      <c r="D318" s="71" t="str">
        <f t="shared" si="50"/>
        <v>GOLDEN WEST COLLEGE 2</v>
      </c>
      <c r="E318" s="216">
        <v>155</v>
      </c>
      <c r="F318" s="278" t="str">
        <f>IF(G311="","L115",IF(G311&lt;I311,_xlfn.CONCAT("L115-",RIGHT(F311,LEN(F311) - FIND("-",F311))), _xlfn.CONCAT("L115-",RIGHT(H311,LEN(H311) - FIND("-",H311)))))</f>
        <v>L115-LA JOLLA UNITED B</v>
      </c>
      <c r="G318" s="278">
        <v>10</v>
      </c>
      <c r="H318" s="278" t="str">
        <f>IF(G314="","L121",IF(G314&lt;I314,_xlfn.CONCAT("L121-",RIGHT(F314,LEN(F314) - FIND("-",F314))), _xlfn.CONCAT("L121-",RIGHT(H314,LEN(H314) - FIND("-",H314)))))</f>
        <v>L121-PARK CITY</v>
      </c>
      <c r="I318" s="278">
        <v>4</v>
      </c>
      <c r="J318" s="278">
        <v>164</v>
      </c>
      <c r="K318" s="278">
        <v>190</v>
      </c>
      <c r="L318" s="278" t="str">
        <f t="shared" si="52"/>
        <v>12BX-155</v>
      </c>
      <c r="M318" s="62"/>
      <c r="N318" s="62" t="str">
        <f t="shared" si="51"/>
        <v>bz_W to play-in</v>
      </c>
    </row>
    <row r="319" spans="1:14">
      <c r="A319" s="69">
        <f t="shared" si="32"/>
        <v>46228</v>
      </c>
      <c r="B319" s="130">
        <f>'CHICLETS MASTER S2'!I61</f>
        <v>0.61111111111111105</v>
      </c>
      <c r="C319" s="71" t="s">
        <v>1103</v>
      </c>
      <c r="D319" s="71" t="str">
        <f t="shared" si="50"/>
        <v>GOLDEN WEST COLLEGE 2</v>
      </c>
      <c r="E319" s="216">
        <v>158</v>
      </c>
      <c r="F319" s="278" t="str">
        <f>IF(G294="","L131",IF(G294&lt;I294,_xlfn.CONCAT("L131-",RIGHT(F294,LEN(F294) - FIND("-",F294))), _xlfn.CONCAT("L131-",RIGHT(H294,LEN(H294) - FIND("-",H294)))))</f>
        <v>L131-AMERICAN RIVER</v>
      </c>
      <c r="G319" s="278">
        <v>12</v>
      </c>
      <c r="H319" s="278" t="str">
        <f>IF(G297="","L130",IF(G297&lt;I297,_xlfn.CONCAT("L130-",RIGHT(F297,LEN(F297) - FIND("-",F297))), _xlfn.CONCAT("L130-",RIGHT(H297,LEN(H297) - FIND("-",H297)))))</f>
        <v>L130-BROOKYLN HUSTLE</v>
      </c>
      <c r="I319" s="278">
        <v>10</v>
      </c>
      <c r="J319" s="278">
        <v>184</v>
      </c>
      <c r="K319" s="278">
        <v>182</v>
      </c>
      <c r="L319" s="278" t="str">
        <f t="shared" si="52"/>
        <v>12BX-158</v>
      </c>
      <c r="M319" s="62"/>
      <c r="N319" s="62" t="str">
        <f t="shared" si="51"/>
        <v>bz_13th-16th</v>
      </c>
    </row>
    <row r="320" spans="1:14">
      <c r="A320" s="69">
        <f t="shared" si="32"/>
        <v>46228</v>
      </c>
      <c r="B320" s="130">
        <f>'CHICLETS MASTER S2'!I62</f>
        <v>0.64583333333333304</v>
      </c>
      <c r="C320" s="71" t="s">
        <v>1103</v>
      </c>
      <c r="D320" s="71" t="str">
        <f t="shared" si="50"/>
        <v>GOLDEN WEST COLLEGE 2</v>
      </c>
      <c r="E320" s="216">
        <v>161</v>
      </c>
      <c r="F320" s="278" t="str">
        <f>IF(G298="","L125",IF(G298&lt;I298,_xlfn.CONCAT("L125-",RIGHT(F298,LEN(F298) - FIND("-",F298))), _xlfn.CONCAT("L125-",RIGHT(H298,LEN(H298) - FIND("-",H298)))))</f>
        <v>L125-CLOVIS</v>
      </c>
      <c r="G320" s="278">
        <v>6</v>
      </c>
      <c r="H320" s="278" t="str">
        <f>IF(G295="","L134",IF(G295&lt;I295,_xlfn.CONCAT("L134-",RIGHT(F295,LEN(F295) - FIND("-",F295))), _xlfn.CONCAT("L134-",RIGHT(H295,LEN(H295) - FIND("-",H295)))))</f>
        <v>L134-SANTA BARBARA WPC B</v>
      </c>
      <c r="I320" s="278">
        <v>9</v>
      </c>
      <c r="J320" s="278">
        <v>184</v>
      </c>
      <c r="K320" s="278">
        <v>182</v>
      </c>
      <c r="L320" s="278" t="str">
        <f t="shared" si="52"/>
        <v>12BX-161</v>
      </c>
      <c r="M320" s="62"/>
      <c r="N320" s="62" t="str">
        <f t="shared" si="51"/>
        <v>bz_13th-16th</v>
      </c>
    </row>
    <row r="321" spans="1:14">
      <c r="A321" s="69">
        <f t="shared" si="32"/>
        <v>46228</v>
      </c>
      <c r="B321" s="130">
        <f>'CHICLETS MASTER S2'!I63</f>
        <v>0.68055555555555602</v>
      </c>
      <c r="C321" s="71" t="s">
        <v>1104</v>
      </c>
      <c r="D321" s="71" t="str">
        <f t="shared" si="50"/>
        <v>GOLDEN WEST COLLEGE 2</v>
      </c>
      <c r="E321" s="216">
        <v>163</v>
      </c>
      <c r="F321" s="278" t="str">
        <f>IF(G315="","L138",IF(G315&lt;I315,_xlfn.CONCAT("L138-",RIGHT(F315,LEN(F315) - FIND("-",F315))), _xlfn.CONCAT("L138-",RIGHT(H315,LEN(H315) - FIND("-",H315)))))</f>
        <v>L138-CC UNITED WHITE</v>
      </c>
      <c r="G321" s="278">
        <v>6</v>
      </c>
      <c r="H321" s="278" t="str">
        <f>IF(G317="","W150",IF(G317&gt;I317,_xlfn.CONCAT("W150-",RIGHT(F317,LEN(F317) - FIND("-",F317))), _xlfn.CONCAT("W150-",RIGHT(H317,LEN(H317) - FIND("-",H317)))))</f>
        <v>W150-680 WHITE</v>
      </c>
      <c r="I321" s="278">
        <v>7</v>
      </c>
      <c r="J321" s="278">
        <v>170</v>
      </c>
      <c r="K321" s="278">
        <v>192</v>
      </c>
      <c r="L321" s="278" t="str">
        <f t="shared" si="52"/>
        <v>12BX-163</v>
      </c>
      <c r="M321" s="62"/>
      <c r="N321" s="62" t="str">
        <f t="shared" si="51"/>
        <v>bz_play to semi, L to 5th</v>
      </c>
    </row>
    <row r="322" spans="1:14">
      <c r="A322" s="69">
        <f t="shared" si="32"/>
        <v>46228</v>
      </c>
      <c r="B322" s="130">
        <f>'CHICLETS MASTER S2'!I64</f>
        <v>0.71527777777777801</v>
      </c>
      <c r="C322" s="71" t="s">
        <v>1104</v>
      </c>
      <c r="D322" s="71" t="str">
        <f t="shared" si="50"/>
        <v>GOLDEN WEST COLLEGE 2</v>
      </c>
      <c r="E322" s="216">
        <v>164</v>
      </c>
      <c r="F322" s="278" t="str">
        <f>IF(G316="","L141",IF(G316&lt;I316,_xlfn.CONCAT("L141-",RIGHT(F316,LEN(F316) - FIND("-",F316))), _xlfn.CONCAT("L141-",RIGHT(H316,LEN(H316) - FIND("-",H316)))))</f>
        <v xml:space="preserve">L141-STANFORD WHITE	</v>
      </c>
      <c r="G322" s="278">
        <v>15</v>
      </c>
      <c r="H322" s="278" t="str">
        <f>IF(G318="","W155",IF(G318&gt;I318,_xlfn.CONCAT("W155-",RIGHT(F318,LEN(F318) - FIND("-",F318))), _xlfn.CONCAT("W155-",RIGHT(H318,LEN(H318) - FIND("-",H318)))))</f>
        <v>W155-LA JOLLA UNITED B</v>
      </c>
      <c r="I322" s="278">
        <v>8</v>
      </c>
      <c r="J322" s="278">
        <v>169</v>
      </c>
      <c r="K322" s="278">
        <v>192</v>
      </c>
      <c r="L322" s="278" t="str">
        <f t="shared" si="52"/>
        <v>12BX-164</v>
      </c>
      <c r="M322" s="62"/>
      <c r="N322" s="62" t="str">
        <f t="shared" si="51"/>
        <v>bz_play to semi, L to 5th</v>
      </c>
    </row>
    <row r="323" spans="1:14" ht="17.25" thickBot="1">
      <c r="A323" s="78"/>
      <c r="B323" s="79"/>
      <c r="C323" s="60"/>
      <c r="D323" s="60"/>
      <c r="E323" s="60"/>
      <c r="F323" s="95"/>
      <c r="G323" s="258"/>
      <c r="H323" s="95"/>
      <c r="I323" s="60"/>
      <c r="J323" s="60"/>
      <c r="K323" s="60"/>
      <c r="L323" s="60"/>
      <c r="M323" s="62"/>
      <c r="N323" s="62"/>
    </row>
    <row r="324" spans="1:14" ht="18" thickTop="1" thickBot="1">
      <c r="A324" s="68" t="s">
        <v>267</v>
      </c>
      <c r="B324" s="82"/>
      <c r="C324" s="82"/>
      <c r="D324" s="82"/>
      <c r="E324" s="82"/>
      <c r="F324" s="271"/>
      <c r="G324" s="272"/>
      <c r="H324" s="271"/>
      <c r="I324" s="82"/>
      <c r="J324" s="82"/>
      <c r="K324" s="82"/>
      <c r="L324" s="82"/>
      <c r="M324" s="62"/>
      <c r="N324" s="62"/>
    </row>
    <row r="325" spans="1:14" ht="17.25" thickBot="1">
      <c r="A325" s="61">
        <v>46229</v>
      </c>
      <c r="B325" s="62"/>
      <c r="C325" s="62"/>
      <c r="D325" s="62"/>
      <c r="E325" s="62"/>
      <c r="F325" s="95"/>
      <c r="G325" s="95"/>
      <c r="H325" s="95"/>
      <c r="I325" s="62"/>
      <c r="J325" s="62"/>
      <c r="K325" s="62" t="s">
        <v>1034</v>
      </c>
      <c r="L325" s="62" t="s">
        <v>1035</v>
      </c>
      <c r="M325" s="62"/>
      <c r="N325" s="62"/>
    </row>
    <row r="326" spans="1:14" ht="17.25" thickBot="1">
      <c r="A326" s="60"/>
      <c r="B326" s="60"/>
      <c r="C326" s="60"/>
      <c r="D326" s="68" t="str">
        <f>'CHICLETS MASTER S2'!$H$72</f>
        <v>OCEAN VIEW HS 2</v>
      </c>
      <c r="E326" s="60"/>
      <c r="F326" s="95"/>
      <c r="G326" s="258"/>
      <c r="H326" s="95"/>
      <c r="I326" s="64"/>
      <c r="J326" s="60"/>
      <c r="K326" s="60"/>
      <c r="L326" s="60"/>
      <c r="M326" s="62"/>
      <c r="N326" s="62" t="s">
        <v>1144</v>
      </c>
    </row>
    <row r="327" spans="1:14">
      <c r="A327" s="214" t="s">
        <v>124</v>
      </c>
      <c r="B327" s="214" t="s">
        <v>125</v>
      </c>
      <c r="C327" s="214" t="s">
        <v>126</v>
      </c>
      <c r="D327" s="214" t="s">
        <v>127</v>
      </c>
      <c r="E327" s="214" t="s">
        <v>128</v>
      </c>
      <c r="F327" s="214" t="s">
        <v>129</v>
      </c>
      <c r="G327" s="214" t="s">
        <v>130</v>
      </c>
      <c r="H327" s="214" t="s">
        <v>131</v>
      </c>
      <c r="I327" s="214" t="s">
        <v>130</v>
      </c>
      <c r="J327" s="214" t="s">
        <v>132</v>
      </c>
      <c r="K327" s="214" t="s">
        <v>133</v>
      </c>
      <c r="L327" s="214" t="s">
        <v>134</v>
      </c>
      <c r="M327" s="62"/>
      <c r="N327" s="62"/>
    </row>
    <row r="328" spans="1:14">
      <c r="A328" s="69">
        <f t="shared" ref="A328:A370" si="53">$A$325</f>
        <v>46229</v>
      </c>
      <c r="B328" s="70">
        <f>'CHICLETS MASTER S2'!A73</f>
        <v>0.29166666666666669</v>
      </c>
      <c r="C328" s="265" t="s">
        <v>1138</v>
      </c>
      <c r="D328" s="71" t="str">
        <f t="shared" ref="D328:D333" si="54">$D$326</f>
        <v>OCEAN VIEW HS 2</v>
      </c>
      <c r="E328" s="216">
        <v>303</v>
      </c>
      <c r="F328" s="273" t="str">
        <f>F234</f>
        <v>bz_Y2(1st_bz_W)-ORWP RED</v>
      </c>
      <c r="G328" s="279">
        <v>7</v>
      </c>
      <c r="H328" s="273" t="str">
        <f>F235</f>
        <v>bz(Y3(1st_bz_X)-DIABLO ALLIANCE A</v>
      </c>
      <c r="I328" s="279">
        <v>6</v>
      </c>
      <c r="J328" s="278"/>
      <c r="K328" s="278"/>
      <c r="L328" s="278" t="str">
        <f t="shared" ref="L328:L333" si="55">IF(E328="","",$L$66&amp;"-"&amp;TEXT(E328,"000"))</f>
        <v>12BX-303</v>
      </c>
      <c r="M328" s="62"/>
      <c r="N328" s="95" t="str">
        <f>$M$159&amp;C328</f>
        <v>bz_21-23 RR</v>
      </c>
    </row>
    <row r="329" spans="1:14">
      <c r="A329" s="69">
        <f t="shared" si="53"/>
        <v>46229</v>
      </c>
      <c r="B329" s="70">
        <f>'CHICLETS MASTER S2'!A74</f>
        <v>0.33333333333333298</v>
      </c>
      <c r="C329" s="265" t="s">
        <v>1139</v>
      </c>
      <c r="D329" s="71" t="str">
        <f t="shared" si="54"/>
        <v>OCEAN VIEW HS 2</v>
      </c>
      <c r="E329" s="216">
        <v>304</v>
      </c>
      <c r="F329" s="273" t="str">
        <f>G234</f>
        <v xml:space="preserve">bz_Z2(2nd_bz_W)-SD DONS GOLD	</v>
      </c>
      <c r="G329" s="279">
        <v>7</v>
      </c>
      <c r="H329" s="273" t="str">
        <f>G235</f>
        <v>bz_Z3(2nd_bz_X)-680 DRIVERS</v>
      </c>
      <c r="I329" s="279">
        <v>9</v>
      </c>
      <c r="J329" s="278"/>
      <c r="K329" s="278"/>
      <c r="L329" s="278" t="str">
        <f t="shared" si="55"/>
        <v>12BX-304</v>
      </c>
      <c r="M329" s="62"/>
      <c r="N329" s="95" t="str">
        <f>$M$159&amp;C329</f>
        <v>bz_24-26 RR</v>
      </c>
    </row>
    <row r="330" spans="1:14">
      <c r="A330" s="69">
        <f t="shared" si="53"/>
        <v>46229</v>
      </c>
      <c r="B330" s="70">
        <f>'CHICLETS MASTER S2'!A75</f>
        <v>0.375</v>
      </c>
      <c r="C330" s="118" t="s">
        <v>1129</v>
      </c>
      <c r="D330" s="71" t="str">
        <f t="shared" si="54"/>
        <v>OCEAN VIEW HS 2</v>
      </c>
      <c r="E330" s="216">
        <v>305</v>
      </c>
      <c r="F330" s="273" t="str">
        <f>H234</f>
        <v>bz_AA2(3rd_bz_W)-DAVIS WHITE</v>
      </c>
      <c r="G330" s="279">
        <v>16</v>
      </c>
      <c r="H330" s="273" t="str">
        <f>H235</f>
        <v>bz_AA3(3rd_bz_X)-CAL REPUBLIC RED</v>
      </c>
      <c r="I330" s="279">
        <v>6</v>
      </c>
      <c r="J330" s="278"/>
      <c r="K330" s="278"/>
      <c r="L330" s="278" t="str">
        <f t="shared" si="55"/>
        <v>12BX-305</v>
      </c>
      <c r="M330" s="62"/>
      <c r="N330" s="95" t="str">
        <f>$M$159&amp;C330</f>
        <v>bz_27-29 RR</v>
      </c>
    </row>
    <row r="331" spans="1:14">
      <c r="A331" s="69">
        <f t="shared" si="53"/>
        <v>46229</v>
      </c>
      <c r="B331" s="70">
        <f>'CHICLETS MASTER S2'!A76</f>
        <v>0.41666666666666702</v>
      </c>
      <c r="C331" s="265" t="s">
        <v>1138</v>
      </c>
      <c r="D331" s="71" t="str">
        <f t="shared" si="54"/>
        <v>OCEAN VIEW HS 2</v>
      </c>
      <c r="E331" s="216">
        <v>306</v>
      </c>
      <c r="F331" s="273" t="str">
        <f>F233</f>
        <v>bz_Y1(1st_bz_V)-YOLO</v>
      </c>
      <c r="G331" s="279">
        <v>10</v>
      </c>
      <c r="H331" s="273" t="str">
        <f>F234</f>
        <v>bz_Y2(1st_bz_W)-ORWP RED</v>
      </c>
      <c r="I331" s="279">
        <v>9</v>
      </c>
      <c r="J331" s="278"/>
      <c r="K331" s="278"/>
      <c r="L331" s="278" t="str">
        <f t="shared" si="55"/>
        <v>12BX-306</v>
      </c>
      <c r="M331" s="62"/>
      <c r="N331" s="95" t="str">
        <f>$M$159&amp;C331</f>
        <v>bz_21-23 RR</v>
      </c>
    </row>
    <row r="332" spans="1:14">
      <c r="A332" s="69">
        <f t="shared" si="53"/>
        <v>46229</v>
      </c>
      <c r="B332" s="70">
        <f>'CHICLETS MASTER S2'!A77</f>
        <v>0.45833333333333298</v>
      </c>
      <c r="C332" s="265" t="s">
        <v>1139</v>
      </c>
      <c r="D332" s="71" t="str">
        <f t="shared" si="54"/>
        <v>OCEAN VIEW HS 2</v>
      </c>
      <c r="E332" s="216">
        <v>307</v>
      </c>
      <c r="F332" s="273" t="str">
        <f>G233</f>
        <v>bz_Z1(2nd_bz_V)-LAMORINDA C</v>
      </c>
      <c r="G332" s="279">
        <v>14</v>
      </c>
      <c r="H332" s="273" t="str">
        <f>G234</f>
        <v xml:space="preserve">bz_Z2(2nd_bz_W)-SD DONS GOLD	</v>
      </c>
      <c r="I332" s="279">
        <v>8</v>
      </c>
      <c r="J332" s="278"/>
      <c r="K332" s="278"/>
      <c r="L332" s="278" t="str">
        <f t="shared" si="55"/>
        <v>12BX-307</v>
      </c>
      <c r="M332" s="62"/>
      <c r="N332" s="62" t="str">
        <f t="shared" ref="N332:N333" si="56">$M$159&amp;C332</f>
        <v>bz_24-26 RR</v>
      </c>
    </row>
    <row r="333" spans="1:14">
      <c r="A333" s="69">
        <f t="shared" si="53"/>
        <v>46229</v>
      </c>
      <c r="B333" s="70">
        <f>'CHICLETS MASTER S2'!A78</f>
        <v>0.5</v>
      </c>
      <c r="C333" s="118" t="s">
        <v>1129</v>
      </c>
      <c r="D333" s="71" t="str">
        <f t="shared" si="54"/>
        <v>OCEAN VIEW HS 2</v>
      </c>
      <c r="E333" s="216">
        <v>308</v>
      </c>
      <c r="F333" s="273" t="str">
        <f>H233</f>
        <v>bz_AA1(3rd_bz_V)-ARROYO GRANDE</v>
      </c>
      <c r="G333" s="279">
        <v>9</v>
      </c>
      <c r="H333" s="273" t="str">
        <f>H234</f>
        <v>bz_AA2(3rd_bz_W)-DAVIS WHITE</v>
      </c>
      <c r="I333" s="279">
        <v>7</v>
      </c>
      <c r="J333" s="278"/>
      <c r="K333" s="278"/>
      <c r="L333" s="278" t="str">
        <f t="shared" si="55"/>
        <v>12BX-308</v>
      </c>
      <c r="M333" s="62"/>
      <c r="N333" s="62" t="str">
        <f t="shared" si="56"/>
        <v>bz_27-29 RR</v>
      </c>
    </row>
    <row r="334" spans="1:14" ht="17.25" thickBot="1">
      <c r="A334" s="75"/>
      <c r="B334" s="75"/>
      <c r="C334" s="268"/>
      <c r="D334" s="169"/>
      <c r="E334" s="62"/>
      <c r="F334" s="95"/>
      <c r="G334" s="258"/>
      <c r="H334" s="95"/>
      <c r="I334" s="62"/>
      <c r="J334" s="62"/>
      <c r="K334" s="62"/>
      <c r="L334" s="62"/>
      <c r="M334" s="62"/>
      <c r="N334" s="62"/>
    </row>
    <row r="335" spans="1:14" ht="17.25" thickBot="1">
      <c r="A335" s="60"/>
      <c r="B335" s="60"/>
      <c r="C335" s="60"/>
      <c r="D335" s="68" t="str">
        <f>'CHICLETS MASTER S2'!$F$72</f>
        <v>CAPISTRANO VALLEY HS 2</v>
      </c>
      <c r="E335" s="60"/>
      <c r="F335" s="95"/>
      <c r="G335" s="258"/>
      <c r="H335" s="95"/>
      <c r="I335" s="64"/>
      <c r="J335" s="60"/>
      <c r="K335" s="60"/>
      <c r="L335" s="60"/>
      <c r="M335" s="62"/>
      <c r="N335" s="62"/>
    </row>
    <row r="336" spans="1:14">
      <c r="A336" s="214" t="s">
        <v>124</v>
      </c>
      <c r="B336" s="214" t="s">
        <v>125</v>
      </c>
      <c r="C336" s="214" t="s">
        <v>126</v>
      </c>
      <c r="D336" s="214" t="s">
        <v>127</v>
      </c>
      <c r="E336" s="214" t="s">
        <v>128</v>
      </c>
      <c r="F336" s="214" t="s">
        <v>129</v>
      </c>
      <c r="G336" s="214" t="s">
        <v>130</v>
      </c>
      <c r="H336" s="214" t="s">
        <v>131</v>
      </c>
      <c r="I336" s="214" t="s">
        <v>130</v>
      </c>
      <c r="J336" s="214" t="s">
        <v>132</v>
      </c>
      <c r="K336" s="214" t="s">
        <v>133</v>
      </c>
      <c r="L336" s="214" t="s">
        <v>134</v>
      </c>
      <c r="M336" s="62"/>
      <c r="N336" s="62"/>
    </row>
    <row r="337" spans="1:14">
      <c r="A337" s="69">
        <f t="shared" si="53"/>
        <v>46229</v>
      </c>
      <c r="B337" s="70">
        <f>'CHICLETS MASTER S2'!A73</f>
        <v>0.29166666666666669</v>
      </c>
      <c r="C337" s="71" t="s">
        <v>287</v>
      </c>
      <c r="D337" s="71" t="str">
        <f t="shared" ref="D337:D342" si="57">$D$335</f>
        <v>CAPISTRANO VALLEY HS 2</v>
      </c>
      <c r="E337" s="216">
        <v>184</v>
      </c>
      <c r="F337" s="278" t="str">
        <f>IF(G319="","W158",IF(G319&gt;I319,_xlfn.CONCAT("W158-",RIGHT(F319,LEN(F319) - FIND("-",F319))), _xlfn.CONCAT("W158-",RIGHT(H319,LEN(H319) - FIND("-",H319)))))</f>
        <v>W158-AMERICAN RIVER</v>
      </c>
      <c r="G337" s="279">
        <v>10</v>
      </c>
      <c r="H337" s="278" t="str">
        <f>IF(G320="","W161",IF(G320&gt;I320,_xlfn.CONCAT("W161-",RIGHT(F320,LEN(F320) - FIND("-",F320))), _xlfn.CONCAT("W161-",RIGHT(H320,LEN(H320) - FIND("-",H320)))))</f>
        <v>W161-SANTA BARBARA WPC B</v>
      </c>
      <c r="I337" s="279">
        <v>8</v>
      </c>
      <c r="J337" s="278" t="s">
        <v>1145</v>
      </c>
      <c r="K337" s="278" t="s">
        <v>1146</v>
      </c>
      <c r="L337" s="278" t="str">
        <f>IF(E337="","",$L$66&amp;"-"&amp;TEXT(E337,"000"))</f>
        <v>12BX-184</v>
      </c>
      <c r="M337" s="62"/>
      <c r="N337" s="62" t="str">
        <f>$M$159&amp;C337</f>
        <v>bz_13th</v>
      </c>
    </row>
    <row r="338" spans="1:14">
      <c r="A338" s="69">
        <f t="shared" si="53"/>
        <v>46229</v>
      </c>
      <c r="B338" s="70">
        <f>'CHICLETS MASTER S2'!A74</f>
        <v>0.33333333333333298</v>
      </c>
      <c r="C338" s="71" t="s">
        <v>290</v>
      </c>
      <c r="D338" s="71" t="str">
        <f t="shared" si="57"/>
        <v>CAPISTRANO VALLEY HS 2</v>
      </c>
      <c r="E338" s="216">
        <v>182</v>
      </c>
      <c r="F338" s="278" t="str">
        <f>IF(G319="","L158",IF(G319&lt;I319,_xlfn.CONCAT("L158-",RIGHT(F319,LEN(F319) - FIND("-",F319))), _xlfn.CONCAT("L158-",RIGHT(H319,LEN(H319) - FIND("-",H319)))))</f>
        <v>L158-BROOKYLN HUSTLE</v>
      </c>
      <c r="G338" s="279">
        <v>9</v>
      </c>
      <c r="H338" s="278" t="str">
        <f>IF(G320="","L161",IF(G320&lt;I320,_xlfn.CONCAT("L161-",RIGHT(F320,LEN(F320) - FIND("-",F320))), _xlfn.CONCAT("L161-",RIGHT(H320,LEN(H320) - FIND("-",H320)))))</f>
        <v>L161-CLOVIS</v>
      </c>
      <c r="I338" s="279">
        <v>11</v>
      </c>
      <c r="J338" s="278" t="s">
        <v>1147</v>
      </c>
      <c r="K338" s="278" t="s">
        <v>1148</v>
      </c>
      <c r="L338" s="278" t="str">
        <f>IF(E338="","",$L$66&amp;"-"&amp;TEXT(E338,"000"))</f>
        <v>12BX-182</v>
      </c>
      <c r="M338" s="62"/>
      <c r="N338" s="62" t="str">
        <f>$M$159&amp;C338</f>
        <v>bz_15th</v>
      </c>
    </row>
    <row r="339" spans="1:14">
      <c r="A339" s="69">
        <f t="shared" si="53"/>
        <v>46229</v>
      </c>
      <c r="B339" s="70">
        <f>'CHICLETS MASTER S2'!A75</f>
        <v>0.375</v>
      </c>
      <c r="C339" s="71" t="s">
        <v>272</v>
      </c>
      <c r="D339" s="71" t="str">
        <f t="shared" si="57"/>
        <v>CAPISTRANO VALLEY HS 2</v>
      </c>
      <c r="E339" s="216">
        <v>193</v>
      </c>
      <c r="F339" s="236" t="str">
        <f>IF(G254="","L159",IF(G254&lt;I254,_xlfn.CONCAT("L159-",RIGHT(F254,LEN(F254) - FIND("-",F254))), _xlfn.CONCAT("L159-",RIGHT(H254,LEN(H254) - FIND("-",H254)))))</f>
        <v>L159-OCWPC BLUE</v>
      </c>
      <c r="G339" s="255">
        <v>15</v>
      </c>
      <c r="H339" s="236" t="str">
        <f>IF(G255="","L162",IF(G255&lt;I255,_xlfn.CONCAT("L162-",RIGHT(F255,LEN(F255) - FIND("-",F255))), _xlfn.CONCAT("L162-",RIGHT(H255,LEN(H255) - FIND("-",H255)))))</f>
        <v>L162-CC UNITED BLUE</v>
      </c>
      <c r="I339" s="255">
        <v>8</v>
      </c>
      <c r="J339" s="90" t="s">
        <v>1149</v>
      </c>
      <c r="K339" s="90" t="s">
        <v>1150</v>
      </c>
      <c r="L339" s="90" t="str">
        <f>IF(E339="","",$L$66&amp;"-"&amp;TEXT(E339,"000"))</f>
        <v>12BX-193</v>
      </c>
      <c r="M339" s="62"/>
      <c r="N339" s="62" t="str">
        <f t="shared" ref="N339" si="58">$M$158&amp;C339</f>
        <v>ag_5th</v>
      </c>
    </row>
    <row r="340" spans="1:14">
      <c r="A340" s="69">
        <f t="shared" si="53"/>
        <v>46229</v>
      </c>
      <c r="B340" s="70">
        <f>'CHICLETS MASTER S2'!A76</f>
        <v>0.41666666666666702</v>
      </c>
      <c r="C340" s="71" t="s">
        <v>269</v>
      </c>
      <c r="D340" s="71" t="str">
        <f t="shared" si="57"/>
        <v>CAPISTRANO VALLEY HS 2</v>
      </c>
      <c r="E340" s="216">
        <v>191</v>
      </c>
      <c r="F340" s="236" t="str">
        <f>IF(G248="","L139",IF(G248&lt;I248,_xlfn.CONCAT("L139-",RIGHT(F248,LEN(F248) - FIND("-",F248))), _xlfn.CONCAT("L139-",RIGHT(H248,LEN(H248) - FIND("-",H248)))))</f>
        <v>L139-CHAWP</v>
      </c>
      <c r="G340" s="255">
        <v>5</v>
      </c>
      <c r="H340" s="236" t="str">
        <f>IF(G249="","L142",IF(G249&lt;I249,_xlfn.CONCAT("L142-",RIGHT(F249,LEN(F249) - FIND("-",F249))), _xlfn.CONCAT("L142-",RIGHT(H249,LEN(H249) - FIND("-",H249)))))</f>
        <v>L142-CARLSBAD A</v>
      </c>
      <c r="I340" s="255">
        <v>16</v>
      </c>
      <c r="J340" s="90" t="s">
        <v>1151</v>
      </c>
      <c r="K340" s="90" t="s">
        <v>1152</v>
      </c>
      <c r="L340" s="90" t="str">
        <f>IF(E340="","",$L$66&amp;"-"&amp;TEXT(E340,"000"))</f>
        <v>12BX-191</v>
      </c>
      <c r="M340" s="62"/>
      <c r="N340" s="62" t="str">
        <f>$M$158&amp;C340</f>
        <v>ag_7th</v>
      </c>
    </row>
    <row r="341" spans="1:14">
      <c r="A341" s="69">
        <f t="shared" si="53"/>
        <v>46229</v>
      </c>
      <c r="B341" s="70">
        <f>'CHICLETS MASTER S2'!A77</f>
        <v>0.45833333333333298</v>
      </c>
      <c r="C341" s="227" t="s">
        <v>293</v>
      </c>
      <c r="D341" s="71" t="str">
        <f t="shared" si="57"/>
        <v>CAPISTRANO VALLEY HS 2</v>
      </c>
      <c r="E341" s="216">
        <v>167</v>
      </c>
      <c r="F341" s="278" t="str">
        <f>IF(G267="","W128",IF(G267&gt;I267,_xlfn.CONCAT("W128-",RIGHT(F267,LEN(F267) - FIND("-",F267))), _xlfn.CONCAT("W128-",RIGHT(H267,LEN(H267) - FIND("-",H267)))))</f>
        <v>W128-908 BLUE</v>
      </c>
      <c r="G341" s="279">
        <v>11</v>
      </c>
      <c r="H341" s="278" t="str">
        <f>IF(G268="","W129",IF(G268&gt;I268,_xlfn.CONCAT("W129-",RIGHT(F268,LEN(F268) - FIND("-",F268))), _xlfn.CONCAT("W129-",RIGHT(H268,LEN(H268) - FIND("-",H268)))))</f>
        <v>W129-CDM WHITE</v>
      </c>
      <c r="I341" s="279">
        <v>7</v>
      </c>
      <c r="J341" s="278" t="s">
        <v>1153</v>
      </c>
      <c r="K341" s="278" t="s">
        <v>1154</v>
      </c>
      <c r="L341" s="278" t="str">
        <f t="shared" ref="L341:L342" si="59">IF(E341="","",$L$66&amp;"-"&amp;TEXT(E341,"000"))</f>
        <v>12BX-167</v>
      </c>
      <c r="M341" s="62"/>
      <c r="N341" s="62" t="str">
        <f t="shared" ref="N341:N342" si="60">$M$159&amp;C341</f>
        <v>bz_17th</v>
      </c>
    </row>
    <row r="342" spans="1:14">
      <c r="A342" s="69">
        <f t="shared" si="53"/>
        <v>46229</v>
      </c>
      <c r="B342" s="70">
        <f>'CHICLETS MASTER S2'!A78</f>
        <v>0.5</v>
      </c>
      <c r="C342" s="227" t="s">
        <v>296</v>
      </c>
      <c r="D342" s="71" t="str">
        <f t="shared" si="57"/>
        <v>CAPISTRANO VALLEY HS 2</v>
      </c>
      <c r="E342" s="216">
        <v>168</v>
      </c>
      <c r="F342" s="278" t="str">
        <f>IF(G267="","L128",IF(G267&lt;I267,_xlfn.CONCAT("L128-",RIGHT(F267,LEN(F267) - FIND("-",F267))), _xlfn.CONCAT("L128-",RIGHT(H267,LEN(H267) - FIND("-",H267)))))</f>
        <v>L128-TROJAN GOLD</v>
      </c>
      <c r="G342" s="279">
        <v>6</v>
      </c>
      <c r="H342" s="278" t="str">
        <f>IF(G268="","L129",IF(G268&lt;I268,_xlfn.CONCAT("L129-",RIGHT(F268,LEN(F268) - FIND("-",F268))), _xlfn.CONCAT("L129-",RIGHT(H268,LEN(H268) - FIND("-",H268)))))</f>
        <v>L129-FOOTHILL BLACK</v>
      </c>
      <c r="I342" s="279">
        <v>11</v>
      </c>
      <c r="J342" s="278" t="s">
        <v>1155</v>
      </c>
      <c r="K342" s="278" t="s">
        <v>1156</v>
      </c>
      <c r="L342" s="278" t="str">
        <f t="shared" si="59"/>
        <v>12BX-168</v>
      </c>
      <c r="M342" s="62"/>
      <c r="N342" s="62" t="str">
        <f t="shared" si="60"/>
        <v>bz_19th</v>
      </c>
    </row>
    <row r="343" spans="1:14" ht="17.25" thickBot="1">
      <c r="A343" s="75"/>
      <c r="B343" s="75"/>
      <c r="C343" s="268"/>
      <c r="D343" s="169"/>
      <c r="E343" s="62"/>
      <c r="F343" s="95"/>
      <c r="G343" s="258"/>
      <c r="H343" s="95"/>
      <c r="I343" s="62"/>
      <c r="J343" s="62"/>
      <c r="K343" s="62"/>
      <c r="L343" s="62"/>
      <c r="M343" s="62"/>
      <c r="N343" s="62"/>
    </row>
    <row r="344" spans="1:14" ht="17.25" thickBot="1">
      <c r="A344" s="60"/>
      <c r="B344" s="60"/>
      <c r="C344" s="60"/>
      <c r="D344" s="68" t="str">
        <f>'CHICLETS MASTER S2'!$J$72</f>
        <v>GOLDEN WEST COLLEGE 2</v>
      </c>
      <c r="E344" s="60"/>
      <c r="F344" s="95"/>
      <c r="G344" s="258"/>
      <c r="H344" s="95"/>
      <c r="I344" s="64"/>
      <c r="J344" s="60"/>
      <c r="K344" s="60"/>
      <c r="L344" s="60"/>
      <c r="M344" s="62"/>
      <c r="N344" s="62"/>
    </row>
    <row r="345" spans="1:14">
      <c r="A345" s="214" t="s">
        <v>124</v>
      </c>
      <c r="B345" s="214" t="s">
        <v>125</v>
      </c>
      <c r="C345" s="214" t="s">
        <v>126</v>
      </c>
      <c r="D345" s="214" t="s">
        <v>127</v>
      </c>
      <c r="E345" s="214" t="s">
        <v>128</v>
      </c>
      <c r="F345" s="214" t="s">
        <v>129</v>
      </c>
      <c r="G345" s="214" t="s">
        <v>130</v>
      </c>
      <c r="H345" s="214" t="s">
        <v>131</v>
      </c>
      <c r="I345" s="214" t="s">
        <v>130</v>
      </c>
      <c r="J345" s="214" t="s">
        <v>132</v>
      </c>
      <c r="K345" s="214" t="s">
        <v>133</v>
      </c>
      <c r="L345" s="214" t="s">
        <v>134</v>
      </c>
      <c r="M345" s="62"/>
      <c r="N345" s="62"/>
    </row>
    <row r="346" spans="1:14">
      <c r="A346" s="69">
        <f t="shared" si="53"/>
        <v>46229</v>
      </c>
      <c r="B346" s="70">
        <f>'CHICLETS MASTER S2'!I73</f>
        <v>0.29166666666666669</v>
      </c>
      <c r="C346" s="71" t="s">
        <v>327</v>
      </c>
      <c r="D346" s="71" t="str">
        <f>$D$344</f>
        <v>GOLDEN WEST COLLEGE 2</v>
      </c>
      <c r="E346" s="216">
        <v>175</v>
      </c>
      <c r="F346" s="236" t="str">
        <f>IF(G250="","L145",IF(G250&lt;I250,_xlfn.CONCAT("L145-",RIGHT(F250,LEN(F250) - FIND("-",F250))), _xlfn.CONCAT("L145-",RIGHT(H250,LEN(H250) - FIND("-",H250)))))</f>
        <v>L145-CIU GOLD</v>
      </c>
      <c r="G346" s="255">
        <v>14</v>
      </c>
      <c r="H346" s="236" t="str">
        <f>IF(G251="","L148",IF(G251&lt;I251,_xlfn.CONCAT("L148-",RIGHT(F251,LEN(F251) - FIND("-",F251))), _xlfn.CONCAT("L148-",RIGHT(H251,LEN(H251) - FIND("-",H251)))))</f>
        <v>L148-CIU BLACK</v>
      </c>
      <c r="I346" s="255">
        <v>4</v>
      </c>
      <c r="J346" s="90" t="s">
        <v>1157</v>
      </c>
      <c r="K346" s="90" t="s">
        <v>1158</v>
      </c>
      <c r="L346" s="90" t="str">
        <f>IF(E346="","",$L$66&amp;"-"&amp;TEXT(E346,"000"))</f>
        <v>12BX-175</v>
      </c>
      <c r="M346" s="62"/>
      <c r="N346" s="62" t="str">
        <f>$M$158&amp;C346</f>
        <v>ag_23rd</v>
      </c>
    </row>
    <row r="347" spans="1:14">
      <c r="A347" s="69">
        <f t="shared" si="53"/>
        <v>46229</v>
      </c>
      <c r="B347" s="70">
        <f>'CHICLETS MASTER S2'!I74</f>
        <v>0.33333333333333298</v>
      </c>
      <c r="C347" s="71" t="s">
        <v>323</v>
      </c>
      <c r="D347" s="71" t="str">
        <f t="shared" ref="D347:D351" si="61">$D$344</f>
        <v>GOLDEN WEST COLLEGE 2</v>
      </c>
      <c r="E347" s="216">
        <v>177</v>
      </c>
      <c r="F347" s="256" t="str">
        <f>IF(G250="","W145",IF(G250&gt;I250,_xlfn.CONCAT("W145-",RIGHT(F250,LEN(F250) - FIND("-",F250))), _xlfn.CONCAT("W145-",RIGHT(H250,LEN(H250) - FIND("-",H250)))))</f>
        <v>W145-WHITTIER</v>
      </c>
      <c r="G347" s="255">
        <v>9</v>
      </c>
      <c r="H347" s="90" t="str">
        <f>IF(G251="","W148",IF(G251&gt;I251,_xlfn.CONCAT("W148-",RIGHT(F251,LEN(F251) - FIND("-",F251))), _xlfn.CONCAT("W148-",RIGHT(H251,LEN(H251) - FIND("-",H251)))))</f>
        <v>W148-NORCAL BLACK</v>
      </c>
      <c r="I347" s="255">
        <v>14</v>
      </c>
      <c r="J347" s="90" t="s">
        <v>1159</v>
      </c>
      <c r="K347" s="90" t="s">
        <v>1160</v>
      </c>
      <c r="L347" s="90" t="str">
        <f>IF(E347="","",$L$66&amp;"-"&amp;TEXT(E347,"000"))</f>
        <v>12BX-177</v>
      </c>
      <c r="M347" s="62"/>
      <c r="N347" s="62" t="str">
        <f>$M$158&amp;C347</f>
        <v>ag_21st</v>
      </c>
    </row>
    <row r="348" spans="1:14">
      <c r="A348" s="69">
        <f t="shared" si="53"/>
        <v>46229</v>
      </c>
      <c r="B348" s="70">
        <f>'CHICLETS MASTER S2'!I75</f>
        <v>0.375</v>
      </c>
      <c r="C348" s="71" t="s">
        <v>269</v>
      </c>
      <c r="D348" s="71" t="str">
        <f t="shared" si="61"/>
        <v>GOLDEN WEST COLLEGE 2</v>
      </c>
      <c r="E348" s="216">
        <v>190</v>
      </c>
      <c r="F348" s="278" t="str">
        <f>IF(G317="","L150",IF(G317&lt;I317,_xlfn.CONCAT("L150-",RIGHT(F317,LEN(F317) - FIND("-",F317))), _xlfn.CONCAT("L150-",RIGHT(H317,LEN(H317) - FIND("-",H317)))))</f>
        <v>L150-NORTH IRVINE RED</v>
      </c>
      <c r="G348" s="373">
        <v>8.4</v>
      </c>
      <c r="H348" s="278" t="str">
        <f>IF(G318="","L155",IF(G318&lt;I318,_xlfn.CONCAT("L155-",RIGHT(F318,LEN(F318) - FIND("-",F318))), _xlfn.CONCAT("L155-",RIGHT(H318,LEN(H318) - FIND("-",H318)))))</f>
        <v>L155-PARK CITY</v>
      </c>
      <c r="I348" s="373">
        <v>8.3000000000000007</v>
      </c>
      <c r="J348" s="278" t="s">
        <v>1161</v>
      </c>
      <c r="K348" s="278" t="s">
        <v>1162</v>
      </c>
      <c r="L348" s="278" t="str">
        <f>IF(E348="","",$L$66&amp;"-"&amp;TEXT(E348,"000"))</f>
        <v>12BX-190</v>
      </c>
      <c r="M348" s="62"/>
      <c r="N348" s="62" t="str">
        <f>$M$159&amp;C348</f>
        <v>bz_7th</v>
      </c>
    </row>
    <row r="349" spans="1:14">
      <c r="A349" s="69">
        <f t="shared" si="53"/>
        <v>46229</v>
      </c>
      <c r="B349" s="70">
        <f>'CHICLETS MASTER S2'!I76</f>
        <v>0.41666666666666702</v>
      </c>
      <c r="C349" s="71" t="s">
        <v>272</v>
      </c>
      <c r="D349" s="71" t="str">
        <f t="shared" si="61"/>
        <v>GOLDEN WEST COLLEGE 2</v>
      </c>
      <c r="E349" s="216">
        <v>192</v>
      </c>
      <c r="F349" s="278" t="str">
        <f>IF(G321="","L163",IF(G321&lt;I321,_xlfn.CONCAT("L163-",RIGHT(F321,LEN(F321) - FIND("-",F321))), _xlfn.CONCAT("L163-",RIGHT(H321,LEN(H321) - FIND("-",H321)))))</f>
        <v>L163-CC UNITED WHITE</v>
      </c>
      <c r="G349" s="279">
        <v>7</v>
      </c>
      <c r="H349" s="278" t="str">
        <f>IF(G322="","L164",IF(G322&lt;I322,_xlfn.CONCAT("L164-",RIGHT(F322,LEN(F322) - FIND("-",F322))), _xlfn.CONCAT("L164-",RIGHT(H322,LEN(H322) - FIND("-",H322)))))</f>
        <v>L164-LA JOLLA UNITED B</v>
      </c>
      <c r="I349" s="279">
        <v>5</v>
      </c>
      <c r="J349" s="278" t="s">
        <v>1163</v>
      </c>
      <c r="K349" s="278" t="s">
        <v>1164</v>
      </c>
      <c r="L349" s="278" t="str">
        <f>IF(E349="","",$L$66&amp;"-"&amp;TEXT(E349,"000"))</f>
        <v>12BX-192</v>
      </c>
      <c r="M349" s="62"/>
      <c r="N349" s="62" t="str">
        <f>$M$159&amp;C349</f>
        <v>bz_5th</v>
      </c>
    </row>
    <row r="350" spans="1:14">
      <c r="A350" s="69">
        <f t="shared" si="53"/>
        <v>46229</v>
      </c>
      <c r="B350" s="70">
        <f>'CHICLETS MASTER S2'!I77</f>
        <v>0.45833333333333298</v>
      </c>
      <c r="C350" s="71" t="s">
        <v>281</v>
      </c>
      <c r="D350" s="71" t="str">
        <f t="shared" si="61"/>
        <v>GOLDEN WEST COLLEGE 2</v>
      </c>
      <c r="E350" s="216">
        <v>188</v>
      </c>
      <c r="F350" s="278" t="str">
        <f>IF(G300="","W149",IF(G300&gt;I300,_xlfn.CONCAT("W149-",RIGHT(F300,LEN(F300) - FIND("-",F300))), _xlfn.CONCAT("W149-",RIGHT(H300,LEN(H300) - FIND("-",H300)))))</f>
        <v>W149-TEXAS THUNDER</v>
      </c>
      <c r="G350" s="279">
        <v>7</v>
      </c>
      <c r="H350" s="278" t="str">
        <f>IF(G301="","W154",IF(G301&gt;I301,_xlfn.CONCAT("W154-",RIGHT(F301,LEN(F301) - FIND("-",F301))), _xlfn.CONCAT("W154-",RIGHT(H301,LEN(H301) - FIND("-",H301)))))</f>
        <v>W154-PUNAHOU</v>
      </c>
      <c r="I350" s="279">
        <v>19</v>
      </c>
      <c r="J350" s="278" t="s">
        <v>1165</v>
      </c>
      <c r="K350" s="278" t="s">
        <v>1166</v>
      </c>
      <c r="L350" s="278" t="str">
        <f t="shared" ref="L350:L351" si="62">IF(E350="","",$L$66&amp;"-"&amp;TEXT(E350,"000"))</f>
        <v>12BX-188</v>
      </c>
      <c r="M350" s="62"/>
      <c r="N350" s="62" t="str">
        <f t="shared" ref="N350:N351" si="63">$M$159&amp;C350</f>
        <v>bz_9th</v>
      </c>
    </row>
    <row r="351" spans="1:14">
      <c r="A351" s="69">
        <f t="shared" si="53"/>
        <v>46229</v>
      </c>
      <c r="B351" s="70">
        <f>'CHICLETS MASTER S2'!I78</f>
        <v>0.5</v>
      </c>
      <c r="C351" s="71" t="s">
        <v>284</v>
      </c>
      <c r="D351" s="71" t="str">
        <f t="shared" si="61"/>
        <v>GOLDEN WEST COLLEGE 2</v>
      </c>
      <c r="E351" s="216">
        <v>186</v>
      </c>
      <c r="F351" s="278" t="str">
        <f>IF(G300="","L149",IF(G300&lt;I300,_xlfn.CONCAT("L149-",RIGHT(F300,LEN(F300) - FIND("-",F300))), _xlfn.CONCAT("L149-",RIGHT(H300,LEN(H300) - FIND("-",H300)))))</f>
        <v>L149-SHAQ WHITE</v>
      </c>
      <c r="G351" s="279">
        <v>11</v>
      </c>
      <c r="H351" s="278" t="str">
        <f>IF(G301="","L154",IF(G301&lt;I301,_xlfn.CONCAT("L154-",RIGHT(F301,LEN(F301) - FIND("-",F301))), _xlfn.CONCAT("L154-",RIGHT(H301,LEN(H301) - FIND("-",H301)))))</f>
        <v>L154-OCWPC RED</v>
      </c>
      <c r="I351" s="279">
        <v>16</v>
      </c>
      <c r="J351" s="278" t="s">
        <v>1167</v>
      </c>
      <c r="K351" s="278" t="s">
        <v>1168</v>
      </c>
      <c r="L351" s="278" t="str">
        <f t="shared" si="62"/>
        <v>12BX-186</v>
      </c>
      <c r="M351" s="62"/>
      <c r="N351" s="62" t="str">
        <f t="shared" si="63"/>
        <v>bz_11th</v>
      </c>
    </row>
    <row r="352" spans="1:14" ht="17.25" thickBot="1">
      <c r="A352" s="75"/>
      <c r="B352" s="75"/>
      <c r="C352" s="268"/>
      <c r="D352" s="169"/>
      <c r="E352" s="62"/>
      <c r="F352" s="95"/>
      <c r="G352" s="258"/>
      <c r="H352" s="95"/>
      <c r="I352" s="62"/>
      <c r="J352" s="62"/>
      <c r="K352" s="62"/>
      <c r="L352" s="62"/>
      <c r="M352" s="62"/>
      <c r="N352" s="62"/>
    </row>
    <row r="353" spans="1:14" ht="17.25" thickBot="1">
      <c r="A353" s="60"/>
      <c r="B353" s="60"/>
      <c r="C353" s="60"/>
      <c r="D353" s="68" t="str">
        <f>'CHICLETS MASTER S2'!$E$72</f>
        <v>BECKMAN HS 2</v>
      </c>
      <c r="E353" s="60"/>
      <c r="F353" s="95"/>
      <c r="G353" s="258"/>
      <c r="H353" s="95"/>
      <c r="I353" s="64"/>
      <c r="J353" s="60"/>
      <c r="K353" s="60"/>
      <c r="L353" s="60"/>
      <c r="M353" s="62"/>
      <c r="N353" s="62"/>
    </row>
    <row r="354" spans="1:14">
      <c r="A354" s="214" t="s">
        <v>124</v>
      </c>
      <c r="B354" s="214" t="s">
        <v>125</v>
      </c>
      <c r="C354" s="214" t="s">
        <v>126</v>
      </c>
      <c r="D354" s="214" t="s">
        <v>127</v>
      </c>
      <c r="E354" s="214" t="s">
        <v>128</v>
      </c>
      <c r="F354" s="214" t="s">
        <v>129</v>
      </c>
      <c r="G354" s="214" t="s">
        <v>130</v>
      </c>
      <c r="H354" s="214" t="s">
        <v>131</v>
      </c>
      <c r="I354" s="214" t="s">
        <v>130</v>
      </c>
      <c r="J354" s="214" t="s">
        <v>132</v>
      </c>
      <c r="K354" s="214" t="s">
        <v>133</v>
      </c>
      <c r="L354" s="214" t="s">
        <v>134</v>
      </c>
      <c r="M354" s="62"/>
      <c r="N354" s="62"/>
    </row>
    <row r="355" spans="1:14">
      <c r="A355" s="69">
        <f t="shared" si="53"/>
        <v>46229</v>
      </c>
      <c r="B355" s="70">
        <f>'CHICLETS MASTER S2'!A73</f>
        <v>0.29166666666666669</v>
      </c>
      <c r="C355" s="71" t="s">
        <v>281</v>
      </c>
      <c r="D355" s="71" t="str">
        <f t="shared" ref="D355:D360" si="64">$D$353</f>
        <v>BECKMAN HS 2</v>
      </c>
      <c r="E355" s="216">
        <v>189</v>
      </c>
      <c r="F355" s="256" t="str">
        <f>IF(G271="","W143",IF(G271&gt;I271,_xlfn.CONCAT("W143-",RIGHT(F271,LEN(F271) - FIND("-",F271))), _xlfn.CONCAT("W143-",RIGHT(H271,LEN(H271) - FIND("-",H271)))))</f>
        <v>W143-SAN CLEMENTE BLACK</v>
      </c>
      <c r="G355" s="255">
        <v>9</v>
      </c>
      <c r="H355" s="90" t="str">
        <f>IF(G272="","W146",IF(G272&gt;I272,_xlfn.CONCAT("W146-",RIGHT(F272,LEN(F272) - FIND("-",F272))), _xlfn.CONCAT("W146-",RIGHT(H272,LEN(H272) - FIND("-",H272)))))</f>
        <v>W146-ROUTE 66</v>
      </c>
      <c r="I355" s="255">
        <v>4</v>
      </c>
      <c r="J355" s="90" t="s">
        <v>1169</v>
      </c>
      <c r="K355" s="90" t="s">
        <v>1170</v>
      </c>
      <c r="L355" s="90" t="str">
        <f t="shared" ref="L355:L357" si="65">IF(E355="","",$L$66&amp;"-"&amp;TEXT(E355,"000"))</f>
        <v>12BX-189</v>
      </c>
      <c r="M355" s="62"/>
      <c r="N355" s="62" t="str">
        <f t="shared" ref="N355:N360" si="66">$M$158&amp;C355</f>
        <v>ag_9th</v>
      </c>
    </row>
    <row r="356" spans="1:14">
      <c r="A356" s="69">
        <f t="shared" si="53"/>
        <v>46229</v>
      </c>
      <c r="B356" s="70">
        <f>'CHICLETS MASTER S2'!A74</f>
        <v>0.33333333333333298</v>
      </c>
      <c r="C356" s="71" t="s">
        <v>284</v>
      </c>
      <c r="D356" s="71" t="str">
        <f t="shared" si="64"/>
        <v>BECKMAN HS 2</v>
      </c>
      <c r="E356" s="216">
        <v>187</v>
      </c>
      <c r="F356" s="236" t="str">
        <f>IF(G271="","L143",IF(G271&lt;I271,_xlfn.CONCAT("L143-",RIGHT(F271,LEN(F271) - FIND("-",F271))), _xlfn.CONCAT("L143-",RIGHT(H271,LEN(H271) - FIND("-",H271)))))</f>
        <v>L143-ECA</v>
      </c>
      <c r="G356" s="255">
        <v>12</v>
      </c>
      <c r="H356" s="236" t="str">
        <f>IF(G272="","L146",IF(G272&lt;I272,_xlfn.CONCAT("L146-",RIGHT(F272,LEN(F272) - FIND("-",F272))), _xlfn.CONCAT("L146-",RIGHT(H272,LEN(H272) - FIND("-",H272)))))</f>
        <v>L146-BACK BAY</v>
      </c>
      <c r="I356" s="255">
        <v>6</v>
      </c>
      <c r="J356" s="90" t="s">
        <v>1171</v>
      </c>
      <c r="K356" s="90" t="s">
        <v>1172</v>
      </c>
      <c r="L356" s="90" t="str">
        <f t="shared" si="65"/>
        <v>12BX-187</v>
      </c>
      <c r="M356" s="62"/>
      <c r="N356" s="62" t="str">
        <f t="shared" si="66"/>
        <v>ag_11th</v>
      </c>
    </row>
    <row r="357" spans="1:14">
      <c r="A357" s="69">
        <f t="shared" si="53"/>
        <v>46229</v>
      </c>
      <c r="B357" s="70">
        <f>'CHICLETS MASTER S2'!A75</f>
        <v>0.375</v>
      </c>
      <c r="C357" s="71" t="s">
        <v>287</v>
      </c>
      <c r="D357" s="71" t="str">
        <f t="shared" si="64"/>
        <v>BECKMAN HS 2</v>
      </c>
      <c r="E357" s="216">
        <v>185</v>
      </c>
      <c r="F357" s="256" t="str">
        <f>IF(G252="","W151",IF(G252&gt;I252,_xlfn.CONCAT("W151-",RIGHT(F252,LEN(F252) - FIND("-",F252))), _xlfn.CONCAT("W151-",RIGHT(H252,LEN(H252) - FIND("-",H252)))))</f>
        <v>W151-TROJAN CARDINAL</v>
      </c>
      <c r="G357" s="255">
        <v>7</v>
      </c>
      <c r="H357" s="90" t="str">
        <f>IF(G253="","W156",IF(G253&gt;I253,_xlfn.CONCAT("W156-",RIGHT(F253,LEN(F253) - FIND("-",F253))), _xlfn.CONCAT("W156-",RIGHT(H253,LEN(H253) - FIND("-",H253)))))</f>
        <v>W156-NEWPORT BEACH WHITE</v>
      </c>
      <c r="I357" s="255">
        <v>3</v>
      </c>
      <c r="J357" s="90" t="s">
        <v>1173</v>
      </c>
      <c r="K357" s="90" t="s">
        <v>1174</v>
      </c>
      <c r="L357" s="90" t="str">
        <f t="shared" si="65"/>
        <v>12BX-185</v>
      </c>
      <c r="M357" s="62"/>
      <c r="N357" s="62" t="str">
        <f t="shared" si="66"/>
        <v>ag_13th</v>
      </c>
    </row>
    <row r="358" spans="1:14">
      <c r="A358" s="69">
        <f>$A$325</f>
        <v>46229</v>
      </c>
      <c r="B358" s="70">
        <f>'CHICLETS MASTER S2'!A76</f>
        <v>0.41666666666666702</v>
      </c>
      <c r="C358" s="71" t="s">
        <v>290</v>
      </c>
      <c r="D358" s="71" t="str">
        <f t="shared" si="64"/>
        <v>BECKMAN HS 2</v>
      </c>
      <c r="E358" s="216">
        <v>183</v>
      </c>
      <c r="F358" s="236" t="str">
        <f>IF(G252="","L151",IF(G252&lt;I252,_xlfn.CONCAT("L151-",RIGHT(F252,LEN(F252) - FIND("-",F252))), _xlfn.CONCAT("L151-",RIGHT(H252,LEN(H252) - FIND("-",H252)))))</f>
        <v>L151-ASPHALT GREEN</v>
      </c>
      <c r="G358" s="255">
        <v>23</v>
      </c>
      <c r="H358" s="236" t="str">
        <f>IF(G253="","L156",IF(G253&lt;I253,_xlfn.CONCAT("L156-",RIGHT(F253,LEN(F253) - FIND("-",F253))), _xlfn.CONCAT("L156-",RIGHT(H253,LEN(H253) - FIND("-",H253)))))</f>
        <v>L156-LAGUNA BEACH</v>
      </c>
      <c r="I358" s="255">
        <v>10</v>
      </c>
      <c r="J358" s="90" t="s">
        <v>1175</v>
      </c>
      <c r="K358" s="90" t="s">
        <v>1176</v>
      </c>
      <c r="L358" s="90" t="str">
        <f>IF(E358="","",$L$66&amp;"-"&amp;TEXT(E358,"000"))</f>
        <v>12BX-183</v>
      </c>
      <c r="M358" s="62"/>
      <c r="N358" s="62" t="str">
        <f t="shared" si="66"/>
        <v>ag_15th</v>
      </c>
    </row>
    <row r="359" spans="1:14">
      <c r="A359" s="69">
        <f t="shared" si="53"/>
        <v>46229</v>
      </c>
      <c r="B359" s="70">
        <f>'CHICLETS MASTER S2'!A77</f>
        <v>0.45833333333333298</v>
      </c>
      <c r="C359" s="71" t="s">
        <v>293</v>
      </c>
      <c r="D359" s="71" t="str">
        <f t="shared" si="64"/>
        <v>BECKMAN HS 2</v>
      </c>
      <c r="E359" s="216">
        <v>181</v>
      </c>
      <c r="F359" s="256" t="str">
        <f>IF(G269="","W157",IF(G269&gt;I269,_xlfn.CONCAT("W157-",RIGHT(F269,LEN(F269) - FIND("-",F269))), _xlfn.CONCAT("W157-",RIGHT(H269,LEN(H269) - FIND("-",H269)))))</f>
        <v>W157-CMAC</v>
      </c>
      <c r="G359" s="255">
        <v>9</v>
      </c>
      <c r="H359" s="90" t="str">
        <f>IF(G270="","W160",IF(G270&gt;I270,_xlfn.CONCAT("W160-",RIGHT(F270,LEN(F270) - FIND("-",F270))), _xlfn.CONCAT("W160-",RIGHT(H270,LEN(H270) - FIND("-",H270)))))</f>
        <v>W160-PATRIOT RED</v>
      </c>
      <c r="I359" s="255">
        <v>5</v>
      </c>
      <c r="J359" s="90" t="s">
        <v>1177</v>
      </c>
      <c r="K359" s="90" t="s">
        <v>1178</v>
      </c>
      <c r="L359" s="90" t="str">
        <f>IF(E359="","",$L$66&amp;"-"&amp;TEXT(E359,"000"))</f>
        <v>12BX-181</v>
      </c>
      <c r="M359" s="62"/>
      <c r="N359" s="62" t="str">
        <f t="shared" si="66"/>
        <v>ag_17th</v>
      </c>
    </row>
    <row r="360" spans="1:14">
      <c r="A360" s="69">
        <f t="shared" si="53"/>
        <v>46229</v>
      </c>
      <c r="B360" s="70">
        <f>'CHICLETS MASTER S2'!A78</f>
        <v>0.5</v>
      </c>
      <c r="C360" s="71" t="s">
        <v>296</v>
      </c>
      <c r="D360" s="71" t="str">
        <f t="shared" si="64"/>
        <v>BECKMAN HS 2</v>
      </c>
      <c r="E360" s="216">
        <v>179</v>
      </c>
      <c r="F360" s="236" t="str">
        <f>IF(G269="","L157",IF(G269&lt;I269,_xlfn.CONCAT("L157-",RIGHT(F269,LEN(F269) - FIND("-",F269))), _xlfn.CONCAT("L157-",RIGHT(H269,LEN(H269) - FIND("-",H269)))))</f>
        <v>L157-SAN JOSE FOUNDATION BLACK</v>
      </c>
      <c r="G360" s="255">
        <v>12</v>
      </c>
      <c r="H360" s="236" t="str">
        <f>IF(G270="","L160",IF(G270&lt;I270,_xlfn.CONCAT("L160-",RIGHT(F270,LEN(F270) - FIND("-",F270))), _xlfn.CONCAT("L160-",RIGHT(H270,LEN(H270) - FIND("-",H270)))))</f>
        <v>L160-LB SHORE</v>
      </c>
      <c r="I360" s="255">
        <v>11</v>
      </c>
      <c r="J360" s="90" t="s">
        <v>1179</v>
      </c>
      <c r="K360" s="90" t="s">
        <v>1180</v>
      </c>
      <c r="L360" s="90" t="str">
        <f>IF(E360="","",$L$66&amp;"-"&amp;TEXT(E360,"000"))</f>
        <v>12BX-179</v>
      </c>
      <c r="M360" s="62"/>
      <c r="N360" s="62" t="str">
        <f t="shared" si="66"/>
        <v>ag_19th</v>
      </c>
    </row>
    <row r="361" spans="1:14" ht="17.25" thickBot="1">
      <c r="A361" s="98"/>
      <c r="B361" s="79"/>
      <c r="C361" s="60"/>
      <c r="D361" s="60"/>
      <c r="E361" s="62"/>
      <c r="F361" s="95"/>
      <c r="G361" s="95"/>
      <c r="H361" s="95"/>
      <c r="I361" s="62"/>
      <c r="J361" s="62"/>
      <c r="K361" s="62"/>
      <c r="L361" s="62"/>
      <c r="M361" s="62"/>
      <c r="N361" s="62"/>
    </row>
    <row r="362" spans="1:14" ht="17.25" thickBot="1">
      <c r="A362" s="60"/>
      <c r="B362" s="60"/>
      <c r="C362" s="60"/>
      <c r="D362" s="68" t="str">
        <f>'CHICLETS MASTER S2'!$G$72</f>
        <v>TUSTIN HS 2</v>
      </c>
      <c r="E362" s="62"/>
      <c r="F362" s="95"/>
      <c r="G362" s="95"/>
      <c r="H362" s="95"/>
      <c r="I362" s="62"/>
      <c r="J362" s="62"/>
      <c r="K362" s="62"/>
      <c r="L362" s="62"/>
      <c r="M362" s="62"/>
      <c r="N362" s="62"/>
    </row>
    <row r="363" spans="1:14">
      <c r="A363" s="214" t="s">
        <v>124</v>
      </c>
      <c r="B363" s="214" t="s">
        <v>125</v>
      </c>
      <c r="C363" s="214" t="s">
        <v>126</v>
      </c>
      <c r="D363" s="214" t="s">
        <v>127</v>
      </c>
      <c r="E363" s="214" t="s">
        <v>128</v>
      </c>
      <c r="F363" s="214" t="s">
        <v>129</v>
      </c>
      <c r="G363" s="214" t="s">
        <v>130</v>
      </c>
      <c r="H363" s="214" t="s">
        <v>131</v>
      </c>
      <c r="I363" s="214" t="s">
        <v>130</v>
      </c>
      <c r="J363" s="214" t="s">
        <v>132</v>
      </c>
      <c r="K363" s="214" t="s">
        <v>133</v>
      </c>
      <c r="L363" s="214" t="s">
        <v>134</v>
      </c>
      <c r="M363" s="62"/>
      <c r="N363" s="62"/>
    </row>
    <row r="364" spans="1:14">
      <c r="A364" s="69">
        <f t="shared" si="53"/>
        <v>46229</v>
      </c>
      <c r="B364" s="70">
        <f>'CHICLETS MASTER S2'!A73</f>
        <v>0.29166666666666669</v>
      </c>
      <c r="C364" s="71" t="s">
        <v>268</v>
      </c>
      <c r="D364" s="99" t="str">
        <f t="shared" ref="D364:D371" si="67">$D$362</f>
        <v>TUSTIN HS 2</v>
      </c>
      <c r="E364" s="216">
        <v>169</v>
      </c>
      <c r="F364" s="278" t="str">
        <f>IF(G315="","W138",IF(G315&gt;I315,_xlfn.CONCAT("W138-",RIGHT(F315,LEN(F315) - FIND("-",F315))), _xlfn.CONCAT("W138-",RIGHT(H315,LEN(H315) - FIND("-",H315)))))</f>
        <v>W138-CARLSBAD B</v>
      </c>
      <c r="G364" s="279">
        <v>13</v>
      </c>
      <c r="H364" s="278" t="str">
        <f>IF(G322="","W164",IF(G322&gt;I322,_xlfn.CONCAT("W164-",RIGHT(F322,LEN(F322) - FIND("-",F322))), _xlfn.CONCAT("W164-",RIGHT(H322,LEN(H322) - FIND("-",H322)))))</f>
        <v xml:space="preserve">W164-STANFORD WHITE	</v>
      </c>
      <c r="I364" s="279">
        <v>2</v>
      </c>
      <c r="J364" s="278">
        <v>195</v>
      </c>
      <c r="K364" s="278">
        <v>194</v>
      </c>
      <c r="L364" s="278" t="str">
        <f>IF(E364="","",$L$66&amp;"-"&amp;TEXT(E364,"000"))</f>
        <v>12BX-169</v>
      </c>
      <c r="M364" s="62"/>
      <c r="N364" s="62" t="str">
        <f>$M$159&amp;C364</f>
        <v>bz_semi</v>
      </c>
    </row>
    <row r="365" spans="1:14">
      <c r="A365" s="69">
        <f t="shared" si="53"/>
        <v>46229</v>
      </c>
      <c r="B365" s="70">
        <f>'CHICLETS MASTER S2'!A74</f>
        <v>0.33333333333333298</v>
      </c>
      <c r="C365" s="71" t="s">
        <v>268</v>
      </c>
      <c r="D365" s="99" t="str">
        <f t="shared" si="67"/>
        <v>TUSTIN HS 2</v>
      </c>
      <c r="E365" s="216">
        <v>170</v>
      </c>
      <c r="F365" s="278" t="str">
        <f>IF(G316="","W141",IF(G316&gt;I316,_xlfn.CONCAT("W141-",RIGHT(F316,LEN(F316) - FIND("-",F316))), _xlfn.CONCAT("W141-",RIGHT(H316,LEN(H316) - FIND("-",H316)))))</f>
        <v>W141-LAMORINDA B</v>
      </c>
      <c r="G365" s="279">
        <v>11</v>
      </c>
      <c r="H365" s="278" t="str">
        <f>IF(G321="","W163",IF(G321&gt;I321,_xlfn.CONCAT("W163-",RIGHT(F321,LEN(F321) - FIND("-",F321))), _xlfn.CONCAT("W163-",RIGHT(H321,LEN(H321) - FIND("-",H321)))))</f>
        <v>W163-680 WHITE</v>
      </c>
      <c r="I365" s="279">
        <v>5</v>
      </c>
      <c r="J365" s="278">
        <v>195</v>
      </c>
      <c r="K365" s="278">
        <v>194</v>
      </c>
      <c r="L365" s="278" t="str">
        <f>IF(E365="","",$L$66&amp;"-"&amp;TEXT(E365,"000"))</f>
        <v>12BX-170</v>
      </c>
      <c r="M365" s="62"/>
      <c r="N365" s="62" t="str">
        <f>$M$159&amp;C365</f>
        <v>bz_semi</v>
      </c>
    </row>
    <row r="366" spans="1:14">
      <c r="A366" s="69">
        <f t="shared" si="53"/>
        <v>46229</v>
      </c>
      <c r="B366" s="70">
        <f>'CHICLETS MASTER S2'!A75</f>
        <v>0.375</v>
      </c>
      <c r="C366" s="71" t="s">
        <v>268</v>
      </c>
      <c r="D366" s="99" t="str">
        <f t="shared" si="67"/>
        <v>TUSTIN HS 2</v>
      </c>
      <c r="E366" s="216">
        <v>171</v>
      </c>
      <c r="F366" s="255" t="str">
        <f>IF(G246="","W133",IF(G246&gt;I246,_xlfn.CONCAT("W133-",RIGHT(F246,LEN(F246) - FIND("-",F246))), _xlfn.CONCAT("W133-",RIGHT(H246,LEN(H246) - FIND("-",H246)))))</f>
        <v>W133-LOS ALAMITOS</v>
      </c>
      <c r="G366" s="255">
        <v>3</v>
      </c>
      <c r="H366" s="90" t="str">
        <f>IF(G255="","W162",IF(G255&gt;I255,_xlfn.CONCAT("W162-",RIGHT(F255,LEN(F255) - FIND("-",F255))), _xlfn.CONCAT("W162-",RIGHT(H255,LEN(H255) - FIND("-",H255)))))</f>
        <v>W162-MISSION B</v>
      </c>
      <c r="I366" s="255">
        <v>10</v>
      </c>
      <c r="J366" s="236">
        <v>197</v>
      </c>
      <c r="K366" s="236">
        <v>196</v>
      </c>
      <c r="L366" s="90" t="str">
        <f>IF(E366="","",$L$66&amp;"-"&amp;TEXT(E366,"000"))</f>
        <v>12BX-171</v>
      </c>
      <c r="M366" s="62"/>
      <c r="N366" s="62" t="str">
        <f>$M$158&amp;C366</f>
        <v>ag_semi</v>
      </c>
    </row>
    <row r="367" spans="1:14">
      <c r="A367" s="69">
        <f t="shared" si="53"/>
        <v>46229</v>
      </c>
      <c r="B367" s="70">
        <f>'CHICLETS MASTER S2'!A76</f>
        <v>0.41666666666666702</v>
      </c>
      <c r="C367" s="71" t="s">
        <v>268</v>
      </c>
      <c r="D367" s="99" t="str">
        <f t="shared" si="67"/>
        <v>TUSTIN HS 2</v>
      </c>
      <c r="E367" s="216">
        <v>172</v>
      </c>
      <c r="F367" s="236" t="str">
        <f>IF(G247="","W136",IF(G247&gt;I247,_xlfn.CONCAT("W136-",RIGHT(F247,LEN(F247) - FIND("-",F247))), _xlfn.CONCAT("W136-",RIGHT(H247,LEN(H247) - FIND("-",H247)))))</f>
        <v>W136-PATRIOT NAVY</v>
      </c>
      <c r="G367" s="255">
        <v>10</v>
      </c>
      <c r="H367" s="236" t="str">
        <f>IF(G254="","W159",IF(G254&gt;I254,_xlfn.CONCAT("W159-",RIGHT(F254,LEN(F254) - FIND("-",F254))), _xlfn.CONCAT("W159-",RIGHT(H254,LEN(H254) - FIND("-",H254)))))</f>
        <v xml:space="preserve">W159-FOOTHILL RED	</v>
      </c>
      <c r="I367" s="255">
        <v>3</v>
      </c>
      <c r="J367" s="236">
        <v>197</v>
      </c>
      <c r="K367" s="236">
        <v>196</v>
      </c>
      <c r="L367" s="90" t="str">
        <f>IF(E367="","",$L$66&amp;"-"&amp;TEXT(E367,"000"))</f>
        <v>12BX-172</v>
      </c>
      <c r="M367" s="62"/>
      <c r="N367" s="62" t="str">
        <f>$M$158&amp;C367</f>
        <v>ag_semi</v>
      </c>
    </row>
    <row r="368" spans="1:14">
      <c r="A368" s="69">
        <f t="shared" si="53"/>
        <v>46229</v>
      </c>
      <c r="B368" s="70">
        <f>'CHICLETS MASTER S2'!A77</f>
        <v>0.45833333333333298</v>
      </c>
      <c r="C368" s="71" t="s">
        <v>275</v>
      </c>
      <c r="D368" s="99" t="str">
        <f t="shared" si="67"/>
        <v>TUSTIN HS 2</v>
      </c>
      <c r="E368" s="216">
        <v>194</v>
      </c>
      <c r="F368" s="278" t="str">
        <f>IF(G364="","L169",IF(G364&lt;I364,_xlfn.CONCAT("L169-",RIGHT(F364,LEN(F364) - FIND("-",F364))), _xlfn.CONCAT("L169-",RIGHT(H364,LEN(H364) - FIND("-",H364)))))</f>
        <v xml:space="preserve">L169-STANFORD WHITE	</v>
      </c>
      <c r="G368" s="279">
        <v>9</v>
      </c>
      <c r="H368" s="278" t="str">
        <f>IF(G365="","L170",IF(G365&lt;I365,_xlfn.CONCAT("L170-",RIGHT(F365,LEN(F365) - FIND("-",F365))), _xlfn.CONCAT("L170-",RIGHT(H365,LEN(H365) - FIND("-",H365)))))</f>
        <v>L170-680 WHITE</v>
      </c>
      <c r="I368" s="279">
        <v>6</v>
      </c>
      <c r="J368" s="278" t="s">
        <v>1181</v>
      </c>
      <c r="K368" s="278" t="s">
        <v>1182</v>
      </c>
      <c r="L368" s="278" t="str">
        <f t="shared" ref="L368:L369" si="68">IF(E368="","",$L$66&amp;"-"&amp;TEXT(E368,"000"))</f>
        <v>12BX-194</v>
      </c>
      <c r="M368" s="62"/>
      <c r="N368" s="62" t="str">
        <f t="shared" ref="N368:N369" si="69">$M$159&amp;C368</f>
        <v>bz_3rd</v>
      </c>
    </row>
    <row r="369" spans="1:14">
      <c r="A369" s="69">
        <f t="shared" si="53"/>
        <v>46229</v>
      </c>
      <c r="B369" s="70">
        <f>'CHICLETS MASTER S2'!A78</f>
        <v>0.5</v>
      </c>
      <c r="C369" s="71" t="s">
        <v>278</v>
      </c>
      <c r="D369" s="99" t="str">
        <f t="shared" si="67"/>
        <v>TUSTIN HS 2</v>
      </c>
      <c r="E369" s="216">
        <v>195</v>
      </c>
      <c r="F369" s="278" t="str">
        <f>IF(G364="","W169",IF(G364&gt;I364,_xlfn.CONCAT("W169-",RIGHT(F364,LEN(F364) - FIND("-",F364))), _xlfn.CONCAT("W169-",RIGHT(H364,LEN(H364) - FIND("-",H364)))))</f>
        <v>W169-CARLSBAD B</v>
      </c>
      <c r="G369" s="279">
        <v>7</v>
      </c>
      <c r="H369" s="278" t="str">
        <f>IF(G365="","W170",IF(G365&gt;I365,_xlfn.CONCAT("W170-",RIGHT(F365,LEN(F365) - FIND("-",F365))), _xlfn.CONCAT("W170-",RIGHT(H365,LEN(H365) - FIND("-",H365)))))</f>
        <v>W170-LAMORINDA B</v>
      </c>
      <c r="I369" s="279">
        <v>8</v>
      </c>
      <c r="J369" s="278" t="s">
        <v>1183</v>
      </c>
      <c r="K369" s="278" t="s">
        <v>1184</v>
      </c>
      <c r="L369" s="278" t="str">
        <f t="shared" si="68"/>
        <v>12BX-195</v>
      </c>
      <c r="M369" s="62"/>
      <c r="N369" s="62" t="str">
        <f t="shared" si="69"/>
        <v>bz_1st</v>
      </c>
    </row>
    <row r="370" spans="1:14">
      <c r="A370" s="69">
        <f t="shared" si="53"/>
        <v>46229</v>
      </c>
      <c r="B370" s="70">
        <f>'CHICLETS MASTER S2'!A79</f>
        <v>0.54166666666666696</v>
      </c>
      <c r="C370" s="71" t="s">
        <v>275</v>
      </c>
      <c r="D370" s="99" t="str">
        <f t="shared" si="67"/>
        <v>TUSTIN HS 2</v>
      </c>
      <c r="E370" s="216">
        <v>196</v>
      </c>
      <c r="F370" s="236" t="str">
        <f>IF(G366="","L171",IF(G366&lt;I366,_xlfn.CONCAT("L171-",RIGHT(F366,LEN(F366) - FIND("-",F366))), _xlfn.CONCAT("L171-",RIGHT(H366,LEN(H366) - FIND("-",H366)))))</f>
        <v>L171-LOS ALAMITOS</v>
      </c>
      <c r="G370" s="255">
        <v>4</v>
      </c>
      <c r="H370" s="236" t="str">
        <f>IF(G367="","L172",IF(G367&lt;I367,_xlfn.CONCAT("L172-",RIGHT(F367,LEN(F367) - FIND("-",F367))), _xlfn.CONCAT("L172-",RIGHT(H367,LEN(H367) - FIND("-",H367)))))</f>
        <v xml:space="preserve">L172-FOOTHILL RED	</v>
      </c>
      <c r="I370" s="255">
        <v>9</v>
      </c>
      <c r="J370" s="90" t="s">
        <v>1185</v>
      </c>
      <c r="K370" s="90" t="s">
        <v>1186</v>
      </c>
      <c r="L370" s="90" t="str">
        <f>IF(E370="","",$L$66&amp;"-"&amp;TEXT(E370,"000"))</f>
        <v>12BX-196</v>
      </c>
      <c r="M370" s="62"/>
      <c r="N370" s="62" t="str">
        <f>$M$158&amp;C370</f>
        <v>ag_3rd</v>
      </c>
    </row>
    <row r="371" spans="1:14">
      <c r="A371" s="69">
        <f>$A$325</f>
        <v>46229</v>
      </c>
      <c r="B371" s="70">
        <f>'CHICLETS MASTER S2'!A80</f>
        <v>0.58333333333333304</v>
      </c>
      <c r="C371" s="71" t="s">
        <v>278</v>
      </c>
      <c r="D371" s="99" t="str">
        <f t="shared" si="67"/>
        <v>TUSTIN HS 2</v>
      </c>
      <c r="E371" s="216">
        <v>197</v>
      </c>
      <c r="F371" s="256" t="str">
        <f>IF(G366="","W171",IF(G366&gt;I366,_xlfn.CONCAT("W171-",RIGHT(F366,LEN(F366) - FIND("-",F366))), _xlfn.CONCAT("W171-",RIGHT(H366,LEN(H366) - FIND("-",H366)))))</f>
        <v>W171-MISSION B</v>
      </c>
      <c r="G371" s="255">
        <v>9</v>
      </c>
      <c r="H371" s="90" t="str">
        <f>IF(G367="","W172",IF(G367&gt;I367,_xlfn.CONCAT("W172-",RIGHT(F367,LEN(F367) - FIND("-",F367))), _xlfn.CONCAT("W172-",RIGHT(H367,LEN(H367) - FIND("-",H367)))))</f>
        <v>W172-PATRIOT NAVY</v>
      </c>
      <c r="I371" s="255">
        <v>5</v>
      </c>
      <c r="J371" s="90" t="s">
        <v>1187</v>
      </c>
      <c r="K371" s="90" t="s">
        <v>1188</v>
      </c>
      <c r="L371" s="90" t="str">
        <f t="shared" ref="L371" si="70">IF(E371="","",$L$66&amp;"-"&amp;TEXT(E371,"000"))</f>
        <v>12BX-197</v>
      </c>
      <c r="M371" s="62"/>
      <c r="N371" s="62" t="str">
        <f>$M$158&amp;C371</f>
        <v>ag_1st</v>
      </c>
    </row>
    <row r="372" spans="1:14">
      <c r="A372" s="98"/>
      <c r="B372" s="79"/>
      <c r="C372" s="60"/>
      <c r="D372" s="60"/>
      <c r="E372" s="62"/>
      <c r="F372" s="95"/>
      <c r="G372" s="95"/>
      <c r="H372" s="95"/>
      <c r="I372" s="62"/>
      <c r="J372" s="62"/>
      <c r="K372" s="62"/>
      <c r="L372" s="62"/>
      <c r="M372" s="62"/>
      <c r="N372" s="62"/>
    </row>
    <row r="373" spans="1:14">
      <c r="A373" s="62"/>
      <c r="B373" s="62"/>
      <c r="C373" s="62"/>
      <c r="D373" s="62"/>
      <c r="E373" s="62"/>
      <c r="F373" s="62"/>
      <c r="G373" s="80"/>
      <c r="H373" s="62"/>
      <c r="I373" s="62"/>
      <c r="J373" s="62"/>
      <c r="K373" s="62"/>
      <c r="L373" s="62"/>
      <c r="M373" s="62"/>
      <c r="N373" s="62"/>
    </row>
    <row r="374" spans="1:14">
      <c r="A374" s="90" t="s">
        <v>1189</v>
      </c>
      <c r="B374" s="62"/>
      <c r="C374" s="278" t="s">
        <v>1190</v>
      </c>
      <c r="D374" s="62"/>
      <c r="E374" s="62"/>
      <c r="F374" s="62"/>
      <c r="G374" s="80"/>
      <c r="H374" s="62"/>
      <c r="I374" s="62"/>
      <c r="J374" s="62"/>
      <c r="K374" s="62"/>
      <c r="L374" s="62"/>
      <c r="M374" s="62"/>
      <c r="N374" s="62"/>
    </row>
    <row r="375" spans="1:14">
      <c r="A375" s="90" t="s">
        <v>278</v>
      </c>
      <c r="B375" s="167" t="str">
        <f>IF(G371="","W197",IF(G371&gt;I371,_xlfn.CONCAT("W197-",RIGHT(F371,LEN(F371) - FIND("-",F371))), _xlfn.CONCAT("W197-",RIGHT(H371,LEN(H371) - FIND("-",H371)))))</f>
        <v>W197-MISSION B</v>
      </c>
      <c r="C375" s="278" t="s">
        <v>278</v>
      </c>
      <c r="D375" s="99" t="str">
        <f>IF(G369="","W195",IF(G369&gt;I369,_xlfn.CONCAT("W195-",RIGHT(F369,LEN(F369) - FIND("-",F369))), _xlfn.CONCAT("W195-",RIGHT(H369,LEN(H369) - FIND("-",H369)))))</f>
        <v>W195-LAMORINDA B</v>
      </c>
      <c r="E375" s="62"/>
      <c r="F375" s="62"/>
      <c r="G375" s="80"/>
      <c r="H375" s="62"/>
      <c r="I375" s="62"/>
      <c r="J375" s="62"/>
      <c r="K375" s="62"/>
      <c r="L375" s="62"/>
      <c r="M375" s="62"/>
      <c r="N375" s="62"/>
    </row>
    <row r="376" spans="1:14">
      <c r="A376" s="90" t="s">
        <v>310</v>
      </c>
      <c r="B376" s="167" t="str">
        <f>IF(G371="","L197",IF(G371&lt;I371,_xlfn.CONCAT("L197-",RIGHT(F371,LEN(F371) - FIND("-",F371))), _xlfn.CONCAT("L197-",RIGHT(H371,LEN(H371) - FIND("-",H371)))))</f>
        <v>L197-PATRIOT NAVY</v>
      </c>
      <c r="C376" s="278" t="s">
        <v>310</v>
      </c>
      <c r="D376" s="99" t="str">
        <f>IF(G369="","L195",IF(G369&lt;I369,_xlfn.CONCAT("L195-",RIGHT(F369,LEN(F369) - FIND("-",F369))), _xlfn.CONCAT("L195-",RIGHT(H369,LEN(H369) - FIND("-",H369)))))</f>
        <v>L195-CARLSBAD B</v>
      </c>
      <c r="E376" s="62"/>
      <c r="F376" s="62"/>
      <c r="G376" s="80"/>
      <c r="H376" s="62"/>
      <c r="I376" s="62"/>
      <c r="J376" s="62"/>
      <c r="K376" s="62"/>
      <c r="L376" s="62"/>
      <c r="M376" s="62"/>
      <c r="N376" s="62"/>
    </row>
    <row r="377" spans="1:14">
      <c r="A377" s="90" t="s">
        <v>275</v>
      </c>
      <c r="B377" s="167" t="str">
        <f>IF(G370="","W196",IF(G370&gt;I370,_xlfn.CONCAT("W196-",RIGHT(F370,LEN(F370) - FIND("-",F370))), _xlfn.CONCAT("W196-",RIGHT(H370,LEN(H370) - FIND("-",H370)))))</f>
        <v xml:space="preserve">W196-FOOTHILL RED	</v>
      </c>
      <c r="C377" s="278" t="s">
        <v>275</v>
      </c>
      <c r="D377" s="99" t="str">
        <f>IF(G368="","W194",IF(G368&gt;I368,_xlfn.CONCAT("W194-",RIGHT(F368,LEN(F368) - FIND("-",F368))), _xlfn.CONCAT("W194-",RIGHT(H368,LEN(H368) - FIND("-",H368)))))</f>
        <v xml:space="preserve">W194-STANFORD WHITE	</v>
      </c>
      <c r="E377" s="62"/>
      <c r="F377" s="62"/>
      <c r="G377" s="80"/>
      <c r="H377" s="62"/>
      <c r="I377" s="62"/>
      <c r="J377" s="62"/>
      <c r="K377" s="62"/>
      <c r="L377" s="62"/>
      <c r="M377" s="62"/>
      <c r="N377" s="62"/>
    </row>
    <row r="378" spans="1:14">
      <c r="A378" s="90" t="s">
        <v>311</v>
      </c>
      <c r="B378" s="167" t="str">
        <f>IF(G370="","L196",IF(G370&lt;I370,_xlfn.CONCAT("L196-",RIGHT(F370,LEN(F370) - FIND("-",F370))), _xlfn.CONCAT("L196-",RIGHT(H370,LEN(H370) - FIND("-",H370)))))</f>
        <v>L196-LOS ALAMITOS</v>
      </c>
      <c r="C378" s="278" t="s">
        <v>311</v>
      </c>
      <c r="D378" s="99" t="str">
        <f>IF(G368="","L194",IF(G368&lt;I368,_xlfn.CONCAT("L194-",RIGHT(F368,LEN(F368) - FIND("-",F368))), _xlfn.CONCAT("L194-",RIGHT(H368,LEN(H368) - FIND("-",H368)))))</f>
        <v>L194-680 WHITE</v>
      </c>
      <c r="E378" s="62"/>
      <c r="F378" s="62"/>
      <c r="G378" s="80"/>
      <c r="H378" s="62"/>
      <c r="I378" s="62"/>
      <c r="J378" s="62"/>
      <c r="K378" s="62"/>
      <c r="L378" s="62"/>
      <c r="M378" s="62"/>
      <c r="N378" s="62"/>
    </row>
    <row r="379" spans="1:14">
      <c r="A379" s="90" t="s">
        <v>272</v>
      </c>
      <c r="B379" s="167" t="str">
        <f>IF(G339="","W193",IF(G339&gt;I339,_xlfn.CONCAT("W193-",RIGHT(F339,LEN(F339) - FIND("-",F339))), _xlfn.CONCAT("W193-",RIGHT(H339,LEN(H339) - FIND("-",H339)))))</f>
        <v>W193-OCWPC BLUE</v>
      </c>
      <c r="C379" s="278" t="s">
        <v>272</v>
      </c>
      <c r="D379" s="99" t="str">
        <f>IF(G349="","W192",IF(G349&gt;I349,_xlfn.CONCAT("W192-",RIGHT(F349,LEN(F349) - FIND("-",F349))), _xlfn.CONCAT("W192-",RIGHT(H349,LEN(H349) - FIND("-",H349)))))</f>
        <v>W192-CC UNITED WHITE</v>
      </c>
    </row>
    <row r="380" spans="1:14">
      <c r="A380" s="90" t="s">
        <v>312</v>
      </c>
      <c r="B380" s="167" t="str">
        <f>IF(G339="","L193",IF(G339&lt;I339,_xlfn.CONCAT("L193-",RIGHT(F339,LEN(F339) - FIND("-",F339))), _xlfn.CONCAT("L193-",RIGHT(H339,LEN(H339) - FIND("-",H339)))))</f>
        <v>L193-CC UNITED BLUE</v>
      </c>
      <c r="C380" s="278" t="s">
        <v>312</v>
      </c>
      <c r="D380" s="99" t="str">
        <f>IF(G349="","L192",IF(G349&lt;I349,_xlfn.CONCAT("L192-",RIGHT(F349,LEN(F349) - FIND("-",F349))), _xlfn.CONCAT("L192-",RIGHT(H349,LEN(H349) - FIND("-",H349)))))</f>
        <v>L192-LA JOLLA UNITED B</v>
      </c>
    </row>
    <row r="381" spans="1:14">
      <c r="A381" s="90" t="s">
        <v>269</v>
      </c>
      <c r="B381" s="167" t="str">
        <f>IF(G340="","W191",IF(G340&gt;I340,_xlfn.CONCAT("W191-",RIGHT(F340,LEN(F340) - FIND("-",F340))), _xlfn.CONCAT("W191-",RIGHT(H340,LEN(H340) - FIND("-",H340)))))</f>
        <v>W191-CARLSBAD A</v>
      </c>
      <c r="C381" s="278" t="s">
        <v>269</v>
      </c>
      <c r="D381" s="99" t="str">
        <f>IF(G348="","W190",IF(G348&gt;I348,_xlfn.CONCAT("W190-",RIGHT(F348,LEN(F348) - FIND("-",F348))), _xlfn.CONCAT("W190-",RIGHT(H348,LEN(H348) - FIND("-",H348)))))</f>
        <v>W190-NORTH IRVINE RED</v>
      </c>
    </row>
    <row r="382" spans="1:14">
      <c r="A382" s="90" t="s">
        <v>313</v>
      </c>
      <c r="B382" s="167" t="str">
        <f>IF(G340="","L191",IF(G340&lt;I340,_xlfn.CONCAT("L191-",RIGHT(F340,LEN(F340) - FIND("-",F340))), _xlfn.CONCAT("L191-",RIGHT(H340,LEN(H340) - FIND("-",H340)))))</f>
        <v>L191-CHAWP</v>
      </c>
      <c r="C382" s="278" t="s">
        <v>313</v>
      </c>
      <c r="D382" s="99" t="str">
        <f>IF(G348="","L190",IF(G348&lt;I348,_xlfn.CONCAT("L190-",RIGHT(F348,LEN(F348) - FIND("-",F348))), _xlfn.CONCAT("L190-",RIGHT(H348,LEN(H348) - FIND("-",H348)))))</f>
        <v>L190-PARK CITY</v>
      </c>
    </row>
    <row r="383" spans="1:14">
      <c r="A383" s="90" t="s">
        <v>281</v>
      </c>
      <c r="B383" s="167" t="str">
        <f>IF(G355="","W189",IF(G355&gt;I355,_xlfn.CONCAT("W189-",RIGHT(F355,LEN(F355) - FIND("-",F355))), _xlfn.CONCAT("W189-",RIGHT(H355,LEN(H355) - FIND("-",H355)))))</f>
        <v>W189-SAN CLEMENTE BLACK</v>
      </c>
      <c r="C383" s="278" t="s">
        <v>281</v>
      </c>
      <c r="D383" s="99" t="str">
        <f>IF(G350="","W188",IF(G350&gt;I350,_xlfn.CONCAT("W188-",RIGHT(F350,LEN(F350) - FIND("-",F350))), _xlfn.CONCAT("W188-",RIGHT(H350,LEN(H350) - FIND("-",H350)))))</f>
        <v>W188-PUNAHOU</v>
      </c>
    </row>
    <row r="384" spans="1:14">
      <c r="A384" s="90" t="s">
        <v>315</v>
      </c>
      <c r="B384" s="167" t="str">
        <f>IF(G355="","L189",IF(G355&lt;I355,_xlfn.CONCAT("L189-",RIGHT(F355,LEN(F355) - FIND("-",F355))), _xlfn.CONCAT("L189-",RIGHT(H355,LEN(H355) - FIND("-",H355)))))</f>
        <v>L189-ROUTE 66</v>
      </c>
      <c r="C384" s="278" t="s">
        <v>315</v>
      </c>
      <c r="D384" s="99" t="str">
        <f>IF(G350="","L188",IF(G350&lt;I350,_xlfn.CONCAT("L188-",RIGHT(F350,LEN(F350) - FIND("-",F350))), _xlfn.CONCAT("L188-",RIGHT(H350,LEN(H350) - FIND("-",H350)))))</f>
        <v>L188-TEXAS THUNDER</v>
      </c>
    </row>
    <row r="385" spans="1:7">
      <c r="A385" s="90" t="s">
        <v>284</v>
      </c>
      <c r="B385" s="167" t="str">
        <f>IF(G356="","W187",IF(G356&gt;I356,_xlfn.CONCAT("W187-",RIGHT(F356,LEN(F356) - FIND("-",F356))), _xlfn.CONCAT("W187-",RIGHT(H356,LEN(H356) - FIND("-",H356)))))</f>
        <v>W187-ECA</v>
      </c>
      <c r="C385" s="278" t="s">
        <v>284</v>
      </c>
      <c r="D385" s="99" t="str">
        <f>IF(G351="","W186",IF(G351&gt;I351,_xlfn.CONCAT("W186-",RIGHT(F351,LEN(F351) - FIND("-",F351))), _xlfn.CONCAT("W186-",RIGHT(H351,LEN(H351) - FIND("-",H351)))))</f>
        <v>W186-OCWPC RED</v>
      </c>
    </row>
    <row r="386" spans="1:7">
      <c r="A386" s="90" t="s">
        <v>318</v>
      </c>
      <c r="B386" s="167" t="str">
        <f>IF(G356="","L187",IF(G356&lt;I356,_xlfn.CONCAT("L187-",RIGHT(F356,LEN(F356) - FIND("-",F356))), _xlfn.CONCAT("L187-",RIGHT(H356,LEN(H356) - FIND("-",H356)))))</f>
        <v>L187-BACK BAY</v>
      </c>
      <c r="C386" s="278" t="s">
        <v>318</v>
      </c>
      <c r="D386" s="99" t="str">
        <f>IF(G351="","L186",IF(G351&lt;I351,_xlfn.CONCAT("L186-",RIGHT(F351,LEN(F351) - FIND("-",F351))), _xlfn.CONCAT("L186-",RIGHT(H351,LEN(H351) - FIND("-",H351)))))</f>
        <v>L186-SHAQ WHITE</v>
      </c>
    </row>
    <row r="387" spans="1:7">
      <c r="A387" s="90" t="s">
        <v>287</v>
      </c>
      <c r="B387" s="167" t="str">
        <f>IF(G357="","W185",IF(G357&gt;I357,_xlfn.CONCAT("W185-",RIGHT(F357,LEN(F357) - FIND("-",F357))), _xlfn.CONCAT("W185-",RIGHT(H357,LEN(H357) - FIND("-",H357)))))</f>
        <v>W185-TROJAN CARDINAL</v>
      </c>
      <c r="C387" s="278" t="s">
        <v>287</v>
      </c>
      <c r="D387" s="99" t="str">
        <f>IF(G337="","W184",IF(G337&gt;I337,_xlfn.CONCAT("W184-",RIGHT(F337,LEN(F337) - FIND("-",F337))), _xlfn.CONCAT("W184-",RIGHT(H337,LEN(H337) - FIND("-",H337)))))</f>
        <v>W184-AMERICAN RIVER</v>
      </c>
    </row>
    <row r="388" spans="1:7">
      <c r="A388" s="90" t="s">
        <v>319</v>
      </c>
      <c r="B388" s="167" t="str">
        <f>IF(G357="","L185",IF(G357&lt;I357,_xlfn.CONCAT("L185-",RIGHT(F357,LEN(F357) - FIND("-",F357))), _xlfn.CONCAT("L185-",RIGHT(H357,LEN(H357) - FIND("-",H357)))))</f>
        <v>L185-NEWPORT BEACH WHITE</v>
      </c>
      <c r="C388" s="278" t="s">
        <v>319</v>
      </c>
      <c r="D388" s="99" t="str">
        <f>IF(G337="","L184",IF(G337&lt;I337,_xlfn.CONCAT("L184-",RIGHT(F337,LEN(F337) - FIND("-",F337))), _xlfn.CONCAT("L184-",RIGHT(H337,LEN(H337) - FIND("-",H337)))))</f>
        <v>L184-SANTA BARBARA WPC B</v>
      </c>
    </row>
    <row r="389" spans="1:7">
      <c r="A389" s="90" t="s">
        <v>290</v>
      </c>
      <c r="B389" s="167" t="str">
        <f>IF(G358="","W183",IF(G358&gt;I358,_xlfn.CONCAT("W183-",RIGHT(F358,LEN(F358) - FIND("-",F358))), _xlfn.CONCAT("W183-",RIGHT(H358,LEN(H358) - FIND("-",H358)))))</f>
        <v>W183-ASPHALT GREEN</v>
      </c>
      <c r="C389" s="278" t="s">
        <v>290</v>
      </c>
      <c r="D389" s="99" t="str">
        <f>IF(G338="","W182",IF(G338&gt;I338,_xlfn.CONCAT("W182-",RIGHT(F338,LEN(F338) - FIND("-",F338))), _xlfn.CONCAT("W182-",RIGHT(H338,LEN(H338) - FIND("-",H338)))))</f>
        <v>W182-CLOVIS</v>
      </c>
      <c r="G389" s="200"/>
    </row>
    <row r="390" spans="1:7">
      <c r="A390" s="90" t="s">
        <v>320</v>
      </c>
      <c r="B390" s="167" t="str">
        <f>IF(G358="","L183",IF(G358&lt;I358,_xlfn.CONCAT("L183-",RIGHT(F358,LEN(F358) - FIND("-",F358))), _xlfn.CONCAT("L183-",RIGHT(H358,LEN(H358) - FIND("-",H358)))))</f>
        <v>L183-LAGUNA BEACH</v>
      </c>
      <c r="C390" s="278" t="s">
        <v>320</v>
      </c>
      <c r="D390" s="99" t="str">
        <f>IF(G338="","L182",IF(G338&lt;I338,_xlfn.CONCAT("L182-",RIGHT(F338,LEN(F338) - FIND("-",F338))), _xlfn.CONCAT("L182-",RIGHT(H338,LEN(H338) - FIND("-",H338)))))</f>
        <v>L182-BROOKYLN HUSTLE</v>
      </c>
      <c r="G390" s="200"/>
    </row>
    <row r="391" spans="1:7">
      <c r="A391" s="90" t="s">
        <v>293</v>
      </c>
      <c r="B391" s="167" t="str">
        <f>IF(G359="","W181",IF(G359&gt;I359,_xlfn.CONCAT("W181-",RIGHT(F359,LEN(F359) - FIND("-",F359))), _xlfn.CONCAT("W181-",RIGHT(H359,LEN(H359) - FIND("-",H359)))))</f>
        <v>W181-CMAC</v>
      </c>
      <c r="C391" s="278" t="s">
        <v>293</v>
      </c>
      <c r="D391" s="99" t="str">
        <f>IF(G341="","W167",IF(G341&gt;I341,_xlfn.CONCAT("W167-",RIGHT(F341,LEN(F341) - FIND("-",F341))), _xlfn.CONCAT("W167-",RIGHT(H341,LEN(H341) - FIND("-",H341)))))</f>
        <v>W167-908 BLUE</v>
      </c>
      <c r="G391" s="200"/>
    </row>
    <row r="392" spans="1:7">
      <c r="A392" s="90" t="s">
        <v>321</v>
      </c>
      <c r="B392" s="167" t="str">
        <f>IF(G359="","L181",IF(G359&lt;I359,_xlfn.CONCAT("L181-",RIGHT(F359,LEN(F359) - FIND("-",F359))), _xlfn.CONCAT("L181-",RIGHT(H359,LEN(H359) - FIND("-",H359)))))</f>
        <v>L181-PATRIOT RED</v>
      </c>
      <c r="C392" s="278" t="s">
        <v>321</v>
      </c>
      <c r="D392" s="99" t="str">
        <f>IF(G341="","L167",IF(G341&lt;I341,_xlfn.CONCAT("L167-",RIGHT(F341,LEN(F341) - FIND("-",F341))), _xlfn.CONCAT("L167-",RIGHT(H341,LEN(H341) - FIND("-",H341)))))</f>
        <v>L167-CDM WHITE</v>
      </c>
      <c r="G392" s="200"/>
    </row>
    <row r="393" spans="1:7">
      <c r="A393" s="127" t="s">
        <v>296</v>
      </c>
      <c r="B393" s="167" t="str">
        <f>IF(G360="","W179",IF(G360&gt;I360,_xlfn.CONCAT("W179-",RIGHT(F360,LEN(F360) - FIND("-",F360))), _xlfn.CONCAT("W179-",RIGHT(H360,LEN(H360) - FIND("-",H360)))))</f>
        <v>W179-SAN JOSE FOUNDATION BLACK</v>
      </c>
      <c r="C393" s="278" t="s">
        <v>296</v>
      </c>
      <c r="D393" s="99" t="str">
        <f>IF(G342="","W168",IF(G342&gt;I342,_xlfn.CONCAT("W168-",RIGHT(F342,LEN(F342) - FIND("-",F342))), _xlfn.CONCAT("W168-",RIGHT(H342,LEN(H342) - FIND("-",H342)))))</f>
        <v>W168-FOOTHILL BLACK</v>
      </c>
      <c r="G393" s="200"/>
    </row>
    <row r="394" spans="1:7">
      <c r="A394" s="274" t="s">
        <v>322</v>
      </c>
      <c r="B394" s="167" t="str">
        <f>IF(G360="","L179",IF(G360&lt;I360,_xlfn.CONCAT("L179-",RIGHT(F360,LEN(F360) - FIND("-",F360))), _xlfn.CONCAT("L179-",RIGHT(H360,LEN(H360) - FIND("-",H360)))))</f>
        <v>L179-LB SHORE</v>
      </c>
      <c r="C394" s="278" t="s">
        <v>322</v>
      </c>
      <c r="D394" s="167" t="str">
        <f>IF(G342="","L168",IF(G342&lt;I342,_xlfn.CONCAT("L168-",RIGHT(F342,LEN(F342) - FIND("-",F342))), _xlfn.CONCAT("L168-",RIGHT(H342,LEN(H342) - FIND("-",H342)))))</f>
        <v>L168-TROJAN GOLD</v>
      </c>
      <c r="G394" s="200"/>
    </row>
    <row r="395" spans="1:7">
      <c r="A395" s="275" t="s">
        <v>323</v>
      </c>
      <c r="B395" s="167" t="str">
        <f>IF(G347="","W177",IF(G347&gt;I347,_xlfn.CONCAT("W177-",RIGHT(F347,LEN(F347) - FIND("-",F347))), _xlfn.CONCAT("W177-",RIGHT(H347,LEN(H347) - FIND("-",H347)))))</f>
        <v>W177-NORCAL BLACK</v>
      </c>
      <c r="C395" s="278" t="s">
        <v>323</v>
      </c>
      <c r="D395" s="99" t="s">
        <v>788</v>
      </c>
      <c r="G395" s="200"/>
    </row>
    <row r="396" spans="1:7">
      <c r="A396" s="102" t="s">
        <v>325</v>
      </c>
      <c r="B396" s="167" t="str">
        <f>IF(G347="","L177",IF(G347&lt;I347,_xlfn.CONCAT("L177-",RIGHT(F347,LEN(F347) - FIND("-",F347))), _xlfn.CONCAT("L177-",RIGHT(H347,LEN(H347) - FIND("-",H347)))))</f>
        <v>L177-WHITTIER</v>
      </c>
      <c r="C396" s="278" t="s">
        <v>325</v>
      </c>
      <c r="D396" s="167" t="s">
        <v>1191</v>
      </c>
      <c r="G396" s="200"/>
    </row>
    <row r="397" spans="1:7">
      <c r="A397" s="102" t="s">
        <v>327</v>
      </c>
      <c r="B397" s="167" t="str">
        <f>IF(G346="","W175",IF(G346&gt;I346,_xlfn.CONCAT("W175-",RIGHT(F346,LEN(F346) - FIND("-",F346))), _xlfn.CONCAT("W175-",RIGHT(H346,LEN(H346) - FIND("-",H346)))))</f>
        <v>W175-CIU GOLD</v>
      </c>
      <c r="C397" s="278" t="s">
        <v>327</v>
      </c>
      <c r="D397" s="99" t="s">
        <v>1192</v>
      </c>
      <c r="G397" s="200"/>
    </row>
    <row r="398" spans="1:7">
      <c r="A398" s="102" t="s">
        <v>329</v>
      </c>
      <c r="B398" s="167" t="str">
        <f>IF(G346="","L175",IF(G346&lt;I346,_xlfn.CONCAT("L175-",RIGHT(F346,LEN(F346) - FIND("-",F346))), _xlfn.CONCAT("L175-",RIGHT(H346,LEN(H346) - FIND("-",H346)))))</f>
        <v>L175-CIU BLACK</v>
      </c>
      <c r="C398" s="278" t="s">
        <v>329</v>
      </c>
      <c r="D398" s="167" t="s">
        <v>1193</v>
      </c>
      <c r="G398" s="200"/>
    </row>
    <row r="399" spans="1:7">
      <c r="C399" s="278" t="s">
        <v>1194</v>
      </c>
      <c r="D399" s="99" t="s">
        <v>1195</v>
      </c>
      <c r="G399" s="200"/>
    </row>
    <row r="400" spans="1:7">
      <c r="C400" s="278" t="s">
        <v>1196</v>
      </c>
      <c r="D400" s="276" t="s">
        <v>1197</v>
      </c>
      <c r="G400" s="200"/>
    </row>
    <row r="401" spans="3:7">
      <c r="C401" s="278" t="s">
        <v>1198</v>
      </c>
      <c r="D401" s="276" t="s">
        <v>1199</v>
      </c>
      <c r="G401" s="200"/>
    </row>
    <row r="402" spans="3:7">
      <c r="C402" s="278" t="s">
        <v>1200</v>
      </c>
      <c r="D402" s="276" t="s">
        <v>1201</v>
      </c>
      <c r="G402" s="200"/>
    </row>
    <row r="403" spans="3:7">
      <c r="C403" s="278" t="s">
        <v>1202</v>
      </c>
      <c r="D403" s="276" t="s">
        <v>1203</v>
      </c>
      <c r="G403" s="200"/>
    </row>
  </sheetData>
  <phoneticPr fontId="22" type="noConversion"/>
  <hyperlinks>
    <hyperlink ref="C1" r:id="rId1" xr:uid="{573B3AB6-DF18-45DF-A71D-34EC10C92AAC}"/>
    <hyperlink ref="B1" r:id="rId2" xr:uid="{A44E9C49-AEB1-4D77-8C97-3BD84729E46A}"/>
    <hyperlink ref="E1" r:id="rId3" xr:uid="{A78DAA5E-DD4F-43C8-AEB1-B474FA8FCCE4}"/>
  </hyperlinks>
  <pageMargins left="0.7" right="0.7" top="0.75" bottom="0.75" header="0.3" footer="0.3"/>
  <pageSetup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74C3-1DC3-4470-BAFA-5441A687A808}">
  <sheetPr>
    <tabColor rgb="FFCCCC00"/>
    <pageSetUpPr fitToPage="1"/>
  </sheetPr>
  <dimension ref="A1:N335"/>
  <sheetViews>
    <sheetView topLeftCell="A151" zoomScale="120" zoomScaleNormal="120" workbookViewId="0">
      <selection activeCell="H189" sqref="H189"/>
    </sheetView>
  </sheetViews>
  <sheetFormatPr defaultColWidth="12.85546875" defaultRowHeight="14.1" customHeight="1"/>
  <cols>
    <col min="1" max="1" width="26.42578125" style="62" customWidth="1"/>
    <col min="2" max="2" width="40.28515625" style="62" bestFit="1" customWidth="1"/>
    <col min="3" max="3" width="33.5703125" style="62" bestFit="1" customWidth="1"/>
    <col min="4" max="4" width="35.5703125" style="62" bestFit="1" customWidth="1"/>
    <col min="5" max="5" width="28.85546875" style="62" bestFit="1" customWidth="1"/>
    <col min="6" max="6" width="35.28515625" style="62" bestFit="1" customWidth="1"/>
    <col min="7" max="7" width="5.42578125" style="80" customWidth="1"/>
    <col min="8" max="8" width="40.28515625" style="62" bestFit="1" customWidth="1"/>
    <col min="9" max="9" width="5.5703125" style="62" customWidth="1"/>
    <col min="10" max="11" width="6.85546875" style="62" bestFit="1" customWidth="1"/>
    <col min="12" max="12" width="8.140625" style="62" customWidth="1"/>
    <col min="13" max="13" width="10.28515625" style="62" customWidth="1"/>
    <col min="14" max="14" width="10.7109375" style="62" bestFit="1" customWidth="1"/>
    <col min="15" max="15" width="17.140625" style="62" bestFit="1" customWidth="1"/>
    <col min="16" max="16" width="12.85546875" style="62"/>
    <col min="17" max="17" width="22.42578125" style="62" bestFit="1" customWidth="1"/>
    <col min="18" max="18" width="12.85546875" style="62"/>
    <col min="19" max="19" width="22.7109375" style="62" bestFit="1" customWidth="1"/>
    <col min="20" max="16384" width="12.85546875" style="62"/>
  </cols>
  <sheetData>
    <row r="1" spans="1:12" s="60" customFormat="1" ht="14.1" customHeight="1" thickTop="1" thickBot="1">
      <c r="A1" s="57" t="s">
        <v>68</v>
      </c>
      <c r="B1" s="52" t="s">
        <v>69</v>
      </c>
      <c r="C1" s="53" t="s">
        <v>70</v>
      </c>
      <c r="D1" s="58" t="s">
        <v>71</v>
      </c>
      <c r="E1" s="54" t="s">
        <v>72</v>
      </c>
      <c r="F1" s="59"/>
      <c r="G1" s="59"/>
      <c r="H1" s="59"/>
      <c r="I1" s="59"/>
      <c r="J1" s="59"/>
      <c r="K1" s="59"/>
      <c r="L1" s="59"/>
    </row>
    <row r="2" spans="1:12" ht="14.1" customHeight="1" thickBot="1">
      <c r="A2" s="61">
        <v>46226</v>
      </c>
      <c r="B2" s="60"/>
      <c r="D2" s="63" t="s">
        <v>484</v>
      </c>
      <c r="F2" s="60"/>
      <c r="G2" s="64"/>
      <c r="H2" s="60"/>
      <c r="I2" s="60"/>
      <c r="J2" s="60"/>
      <c r="K2" s="60"/>
      <c r="L2" s="60"/>
    </row>
    <row r="3" spans="1:12" s="60" customFormat="1" ht="14.1" customHeight="1" thickBot="1">
      <c r="A3" s="62"/>
      <c r="D3" s="65" t="s">
        <v>74</v>
      </c>
    </row>
    <row r="4" spans="1:12" ht="14.1" customHeight="1">
      <c r="A4" s="108" t="s">
        <v>75</v>
      </c>
      <c r="B4" s="109" t="s">
        <v>76</v>
      </c>
      <c r="C4" s="108" t="s">
        <v>77</v>
      </c>
      <c r="D4" s="108" t="s">
        <v>78</v>
      </c>
      <c r="E4" s="108" t="s">
        <v>79</v>
      </c>
      <c r="F4" s="108" t="s">
        <v>80</v>
      </c>
      <c r="G4" s="64"/>
      <c r="H4" s="66" t="s">
        <v>81</v>
      </c>
    </row>
    <row r="5" spans="1:12" ht="14.1" customHeight="1">
      <c r="A5" s="67" t="s">
        <v>1204</v>
      </c>
      <c r="B5" s="67" t="s">
        <v>1205</v>
      </c>
      <c r="C5" s="67" t="s">
        <v>1206</v>
      </c>
      <c r="D5" s="67" t="s">
        <v>1207</v>
      </c>
      <c r="E5" s="67" t="s">
        <v>1208</v>
      </c>
      <c r="F5" s="67" t="s">
        <v>1209</v>
      </c>
      <c r="G5" s="64"/>
    </row>
    <row r="6" spans="1:12" ht="14.1" customHeight="1">
      <c r="A6" s="67" t="s">
        <v>1210</v>
      </c>
      <c r="B6" s="67" t="s">
        <v>1211</v>
      </c>
      <c r="C6" s="67" t="s">
        <v>1212</v>
      </c>
      <c r="D6" s="67" t="s">
        <v>1213</v>
      </c>
      <c r="E6" s="67" t="s">
        <v>1214</v>
      </c>
      <c r="F6" s="67" t="s">
        <v>1215</v>
      </c>
      <c r="G6" s="64"/>
    </row>
    <row r="7" spans="1:12" ht="14.1" customHeight="1">
      <c r="A7" s="67" t="s">
        <v>1216</v>
      </c>
      <c r="B7" s="67" t="s">
        <v>1217</v>
      </c>
      <c r="C7" s="67" t="s">
        <v>1218</v>
      </c>
      <c r="D7" s="67" t="s">
        <v>1219</v>
      </c>
      <c r="E7" s="67" t="s">
        <v>1220</v>
      </c>
      <c r="F7" s="67" t="s">
        <v>1221</v>
      </c>
      <c r="G7" s="64"/>
    </row>
    <row r="8" spans="1:12" ht="14.1" customHeight="1">
      <c r="A8" s="67" t="s">
        <v>1222</v>
      </c>
      <c r="B8" s="67" t="s">
        <v>1223</v>
      </c>
      <c r="C8" s="67" t="s">
        <v>1224</v>
      </c>
      <c r="D8" s="67" t="s">
        <v>1225</v>
      </c>
      <c r="E8" s="67" t="s">
        <v>1226</v>
      </c>
      <c r="F8" s="67" t="s">
        <v>1227</v>
      </c>
      <c r="G8" s="64"/>
    </row>
    <row r="9" spans="1:12" ht="14.1" customHeight="1">
      <c r="A9" s="60"/>
      <c r="B9" s="60"/>
      <c r="C9" s="60"/>
      <c r="D9" s="60"/>
      <c r="E9" s="60"/>
      <c r="F9" s="60"/>
      <c r="G9" s="64"/>
    </row>
    <row r="10" spans="1:12" ht="14.1" customHeight="1">
      <c r="A10" s="108" t="s">
        <v>100</v>
      </c>
      <c r="B10" s="108" t="s">
        <v>101</v>
      </c>
      <c r="C10" s="108" t="s">
        <v>102</v>
      </c>
      <c r="D10" s="108" t="s">
        <v>103</v>
      </c>
      <c r="E10" s="108" t="s">
        <v>104</v>
      </c>
      <c r="F10" s="108" t="s">
        <v>105</v>
      </c>
      <c r="G10" s="64"/>
      <c r="J10" s="60"/>
    </row>
    <row r="11" spans="1:12" ht="14.1" customHeight="1">
      <c r="A11" s="67" t="s">
        <v>1228</v>
      </c>
      <c r="B11" s="67" t="s">
        <v>1229</v>
      </c>
      <c r="C11" s="67" t="s">
        <v>1230</v>
      </c>
      <c r="D11" s="67" t="s">
        <v>1231</v>
      </c>
      <c r="E11" s="67" t="s">
        <v>1232</v>
      </c>
      <c r="F11" s="67" t="s">
        <v>1233</v>
      </c>
      <c r="G11" s="64"/>
      <c r="J11" s="60"/>
    </row>
    <row r="12" spans="1:12" ht="14.1" customHeight="1">
      <c r="A12" s="67" t="s">
        <v>1234</v>
      </c>
      <c r="B12" s="67" t="s">
        <v>1235</v>
      </c>
      <c r="C12" s="67" t="s">
        <v>1236</v>
      </c>
      <c r="D12" s="67" t="s">
        <v>1237</v>
      </c>
      <c r="E12" s="67" t="s">
        <v>1238</v>
      </c>
      <c r="F12" s="67" t="s">
        <v>1239</v>
      </c>
      <c r="G12" s="64"/>
      <c r="J12" s="60"/>
    </row>
    <row r="13" spans="1:12" ht="14.1" customHeight="1">
      <c r="A13" s="67" t="s">
        <v>1240</v>
      </c>
      <c r="B13" s="67" t="s">
        <v>1241</v>
      </c>
      <c r="C13" s="67" t="s">
        <v>1242</v>
      </c>
      <c r="D13" s="67" t="s">
        <v>1243</v>
      </c>
      <c r="E13" s="67" t="s">
        <v>1244</v>
      </c>
      <c r="F13" s="67" t="s">
        <v>1245</v>
      </c>
      <c r="G13" s="64"/>
      <c r="J13" s="60"/>
    </row>
    <row r="14" spans="1:12" ht="14.1" customHeight="1">
      <c r="A14" s="67" t="s">
        <v>1246</v>
      </c>
      <c r="B14" s="67" t="s">
        <v>1247</v>
      </c>
      <c r="C14" s="67" t="s">
        <v>1248</v>
      </c>
      <c r="D14" s="67" t="s">
        <v>1249</v>
      </c>
      <c r="E14" s="67" t="s">
        <v>1250</v>
      </c>
      <c r="F14" s="67" t="s">
        <v>1251</v>
      </c>
      <c r="G14" s="64"/>
      <c r="J14" s="60"/>
    </row>
    <row r="15" spans="1:12" ht="14.1" customHeight="1" thickBot="1">
      <c r="G15" s="62"/>
      <c r="L15" s="62" t="s">
        <v>1252</v>
      </c>
    </row>
    <row r="16" spans="1:12" ht="14.1" customHeight="1" thickBot="1">
      <c r="B16" s="60"/>
      <c r="C16" s="60"/>
      <c r="D16" s="68" t="str">
        <f>'CHICLETS MASTER S2'!$AA$3</f>
        <v>BREA OLINDA HS</v>
      </c>
      <c r="E16" s="60"/>
      <c r="F16" s="60"/>
      <c r="G16" s="64"/>
      <c r="H16" s="60"/>
      <c r="I16" s="60"/>
      <c r="J16" s="60"/>
      <c r="K16" s="60"/>
      <c r="L16" s="60"/>
    </row>
    <row r="17" spans="1:12" ht="14.1" customHeight="1">
      <c r="A17" s="108" t="s">
        <v>124</v>
      </c>
      <c r="B17" s="108" t="s">
        <v>125</v>
      </c>
      <c r="C17" s="108" t="s">
        <v>126</v>
      </c>
      <c r="D17" s="108" t="s">
        <v>127</v>
      </c>
      <c r="E17" s="108" t="s">
        <v>128</v>
      </c>
      <c r="F17" s="108" t="s">
        <v>129</v>
      </c>
      <c r="G17" s="108" t="s">
        <v>130</v>
      </c>
      <c r="H17" s="108" t="s">
        <v>131</v>
      </c>
      <c r="I17" s="108" t="s">
        <v>130</v>
      </c>
      <c r="J17" s="108" t="s">
        <v>132</v>
      </c>
      <c r="K17" s="108" t="s">
        <v>133</v>
      </c>
      <c r="L17" s="108" t="s">
        <v>134</v>
      </c>
    </row>
    <row r="18" spans="1:12" ht="14.1" customHeight="1">
      <c r="A18" s="69">
        <f t="shared" ref="A18:A29" si="0">$A$2</f>
        <v>46226</v>
      </c>
      <c r="B18" s="70">
        <f>'CHICLETS MASTER S2'!X4</f>
        <v>0.29166666666666669</v>
      </c>
      <c r="C18" s="71" t="s">
        <v>218</v>
      </c>
      <c r="D18" s="72" t="str">
        <f>$D$16</f>
        <v>BREA OLINDA HS</v>
      </c>
      <c r="E18" s="71">
        <v>4</v>
      </c>
      <c r="F18" s="71" t="str">
        <f>D11</f>
        <v>10-ROUTE 66</v>
      </c>
      <c r="G18" s="73">
        <v>21</v>
      </c>
      <c r="H18" s="71" t="str">
        <f>D14</f>
        <v>39-BROOKLYN HUSTLE</v>
      </c>
      <c r="I18" s="71">
        <v>5</v>
      </c>
      <c r="J18" s="71">
        <v>28</v>
      </c>
      <c r="K18" s="71">
        <v>32</v>
      </c>
      <c r="L18" s="71" t="str">
        <f t="shared" ref="L18:L29" si="1">IF(E18="","",$L$15&amp;"-"&amp;TEXT(E18,"000"))</f>
        <v>14BX-004</v>
      </c>
    </row>
    <row r="19" spans="1:12" ht="14.1" customHeight="1">
      <c r="A19" s="69">
        <f t="shared" si="0"/>
        <v>46226</v>
      </c>
      <c r="B19" s="70">
        <f>'CHICLETS MASTER S2'!X5</f>
        <v>0.3263888888888889</v>
      </c>
      <c r="C19" s="71" t="s">
        <v>218</v>
      </c>
      <c r="D19" s="72" t="str">
        <f t="shared" ref="D19:D29" si="2">$D$16</f>
        <v>BREA OLINDA HS</v>
      </c>
      <c r="E19" s="71">
        <v>8</v>
      </c>
      <c r="F19" s="71" t="str">
        <f>D12</f>
        <v>15-CT PREMIER</v>
      </c>
      <c r="G19" s="73">
        <v>7</v>
      </c>
      <c r="H19" s="71" t="str">
        <f>D13</f>
        <v>34-PRAETORIAN</v>
      </c>
      <c r="I19" s="71">
        <v>16</v>
      </c>
      <c r="J19" s="71">
        <v>28</v>
      </c>
      <c r="K19" s="71">
        <v>32</v>
      </c>
      <c r="L19" s="71" t="str">
        <f t="shared" si="1"/>
        <v>14BX-008</v>
      </c>
    </row>
    <row r="20" spans="1:12" ht="14.1" customHeight="1">
      <c r="A20" s="69">
        <f t="shared" si="0"/>
        <v>46226</v>
      </c>
      <c r="B20" s="70">
        <f>'CHICLETS MASTER S2'!X6</f>
        <v>0.36111111111111099</v>
      </c>
      <c r="C20" s="71" t="s">
        <v>218</v>
      </c>
      <c r="D20" s="72" t="str">
        <f t="shared" si="2"/>
        <v>BREA OLINDA HS</v>
      </c>
      <c r="E20" s="71">
        <v>12</v>
      </c>
      <c r="F20" s="71" t="str">
        <f>E11</f>
        <v>11-PRIDE BLACK</v>
      </c>
      <c r="G20" s="73">
        <v>5</v>
      </c>
      <c r="H20" s="71" t="str">
        <f>E14</f>
        <v>38-KERN PREMIER</v>
      </c>
      <c r="I20" s="71">
        <v>6</v>
      </c>
      <c r="J20" s="71">
        <v>36</v>
      </c>
      <c r="K20" s="71">
        <v>40</v>
      </c>
      <c r="L20" s="71" t="str">
        <f t="shared" si="1"/>
        <v>14BX-012</v>
      </c>
    </row>
    <row r="21" spans="1:12" ht="14.1" customHeight="1">
      <c r="A21" s="69">
        <f t="shared" si="0"/>
        <v>46226</v>
      </c>
      <c r="B21" s="70">
        <f>'CHICLETS MASTER S2'!X7</f>
        <v>0.39583333333333398</v>
      </c>
      <c r="C21" s="71" t="s">
        <v>218</v>
      </c>
      <c r="D21" s="72" t="str">
        <f t="shared" si="2"/>
        <v>BREA OLINDA HS</v>
      </c>
      <c r="E21" s="71">
        <v>16</v>
      </c>
      <c r="F21" s="71" t="str">
        <f>E12</f>
        <v>14-KINGSBURG</v>
      </c>
      <c r="G21" s="73">
        <v>9</v>
      </c>
      <c r="H21" s="71" t="str">
        <f>E13</f>
        <v>35-NEWPORT BEACH WHITE</v>
      </c>
      <c r="I21" s="71">
        <v>7</v>
      </c>
      <c r="J21" s="71">
        <v>36</v>
      </c>
      <c r="K21" s="71">
        <v>40</v>
      </c>
      <c r="L21" s="71" t="str">
        <f t="shared" si="1"/>
        <v>14BX-016</v>
      </c>
    </row>
    <row r="22" spans="1:12" ht="14.1" customHeight="1">
      <c r="A22" s="69">
        <f t="shared" si="0"/>
        <v>46226</v>
      </c>
      <c r="B22" s="70">
        <f>'CHICLETS MASTER S2'!X8</f>
        <v>0.43055555555555602</v>
      </c>
      <c r="C22" s="71" t="s">
        <v>218</v>
      </c>
      <c r="D22" s="72" t="str">
        <f t="shared" si="2"/>
        <v>BREA OLINDA HS</v>
      </c>
      <c r="E22" s="71">
        <v>20</v>
      </c>
      <c r="F22" s="71" t="str">
        <f>F11</f>
        <v>12-SHARKS</v>
      </c>
      <c r="G22" s="73">
        <v>14</v>
      </c>
      <c r="H22" s="71" t="str">
        <f>F14</f>
        <v>37-CLOVIS RED</v>
      </c>
      <c r="I22" s="71">
        <v>5</v>
      </c>
      <c r="J22" s="71">
        <v>44</v>
      </c>
      <c r="K22" s="71">
        <v>48</v>
      </c>
      <c r="L22" s="71" t="str">
        <f t="shared" si="1"/>
        <v>14BX-020</v>
      </c>
    </row>
    <row r="23" spans="1:12" ht="14.1" customHeight="1">
      <c r="A23" s="69">
        <f t="shared" si="0"/>
        <v>46226</v>
      </c>
      <c r="B23" s="70">
        <f>'CHICLETS MASTER S2'!X9</f>
        <v>0.46527777777777801</v>
      </c>
      <c r="C23" s="71" t="s">
        <v>218</v>
      </c>
      <c r="D23" s="72" t="str">
        <f t="shared" si="2"/>
        <v>BREA OLINDA HS</v>
      </c>
      <c r="E23" s="71">
        <v>24</v>
      </c>
      <c r="F23" s="71" t="str">
        <f>F12</f>
        <v>13-680 BLUE</v>
      </c>
      <c r="G23" s="73">
        <v>12</v>
      </c>
      <c r="H23" s="71" t="str">
        <f>F13</f>
        <v>36-LOKAHI</v>
      </c>
      <c r="I23" s="71">
        <v>11</v>
      </c>
      <c r="J23" s="71">
        <v>44</v>
      </c>
      <c r="K23" s="71">
        <v>48</v>
      </c>
      <c r="L23" s="71" t="str">
        <f t="shared" si="1"/>
        <v>14BX-024</v>
      </c>
    </row>
    <row r="24" spans="1:12" ht="14.1" customHeight="1">
      <c r="A24" s="69">
        <f t="shared" si="0"/>
        <v>46226</v>
      </c>
      <c r="B24" s="70">
        <f>'CHICLETS MASTER S2'!X10</f>
        <v>0.5</v>
      </c>
      <c r="C24" s="71" t="s">
        <v>218</v>
      </c>
      <c r="D24" s="72" t="str">
        <f t="shared" si="2"/>
        <v>BREA OLINDA HS</v>
      </c>
      <c r="E24" s="71">
        <v>28</v>
      </c>
      <c r="F24" s="71" t="str">
        <f>IF(G18="","W4",IF(G18&gt;I18,_xlfn.CONCAT("W4-",RIGHT(F18,LEN(F18) - FIND("-",F18))), _xlfn.CONCAT("W4-",RIGHT(H18,LEN(H18) - FIND("-",H18)))))</f>
        <v>W4-ROUTE 66</v>
      </c>
      <c r="G24" s="73">
        <v>11</v>
      </c>
      <c r="H24" s="71" t="str">
        <f>IF(G19="","W8",IF(G19&gt;I19,_xlfn.CONCAT("W8-",RIGHT(F19,LEN(F19) - FIND("-",F19))), _xlfn.CONCAT("W8-",RIGHT(H19,LEN(H19) - FIND("-",H19)))))</f>
        <v>W8-PRAETORIAN</v>
      </c>
      <c r="I24" s="71">
        <v>7</v>
      </c>
      <c r="J24" s="71" t="s">
        <v>915</v>
      </c>
      <c r="K24" s="71">
        <v>51</v>
      </c>
      <c r="L24" s="71" t="str">
        <f t="shared" si="1"/>
        <v>14BX-028</v>
      </c>
    </row>
    <row r="25" spans="1:12" ht="14.1" customHeight="1">
      <c r="A25" s="69">
        <f t="shared" si="0"/>
        <v>46226</v>
      </c>
      <c r="B25" s="70">
        <f>'CHICLETS MASTER S2'!X11</f>
        <v>0.53472222222222199</v>
      </c>
      <c r="C25" s="71" t="s">
        <v>218</v>
      </c>
      <c r="D25" s="72" t="str">
        <f t="shared" si="2"/>
        <v>BREA OLINDA HS</v>
      </c>
      <c r="E25" s="71">
        <v>32</v>
      </c>
      <c r="F25" s="71" t="str">
        <f>IF(G18="","L4",IF(G18&lt;I18,_xlfn.CONCAT("L4-",RIGHT(F18,LEN(F18) - FIND("-",F18))), _xlfn.CONCAT("L4-",RIGHT(H18,LEN(H18) - FIND("-",H18)))))</f>
        <v>L4-BROOKLYN HUSTLE</v>
      </c>
      <c r="G25" s="73">
        <v>3</v>
      </c>
      <c r="H25" s="71" t="str">
        <f>IF(G19="","L8",IF(G19&lt;I19,_xlfn.CONCAT("L8-",RIGHT(F19,LEN(F19) - FIND("-",F19))), _xlfn.CONCAT("L8-",RIGHT(H19,LEN(H19) - FIND("-",H19)))))</f>
        <v>L8-CT PREMIER</v>
      </c>
      <c r="I25" s="71">
        <v>14</v>
      </c>
      <c r="J25" s="71">
        <v>52</v>
      </c>
      <c r="K25" s="71" t="s">
        <v>909</v>
      </c>
      <c r="L25" s="71" t="str">
        <f t="shared" si="1"/>
        <v>14BX-032</v>
      </c>
    </row>
    <row r="26" spans="1:12" ht="14.1" customHeight="1">
      <c r="A26" s="69">
        <f t="shared" si="0"/>
        <v>46226</v>
      </c>
      <c r="B26" s="70">
        <f>'CHICLETS MASTER S2'!X12</f>
        <v>0.56944444444444497</v>
      </c>
      <c r="C26" s="71" t="s">
        <v>218</v>
      </c>
      <c r="D26" s="72" t="str">
        <f t="shared" si="2"/>
        <v>BREA OLINDA HS</v>
      </c>
      <c r="E26" s="71">
        <v>36</v>
      </c>
      <c r="F26" s="71" t="str">
        <f>IF(G20="","W12",IF(G20&gt;I20,_xlfn.CONCAT("W12-",RIGHT(F20,LEN(F20) - FIND("-",F20))), _xlfn.CONCAT("W12-",RIGHT(H20,LEN(H20) - FIND("-",H20)))))</f>
        <v>W12-KERN PREMIER</v>
      </c>
      <c r="G26" s="73">
        <v>9</v>
      </c>
      <c r="H26" s="71" t="str">
        <f>IF(G21="","W16",IF(G21&gt;I21,_xlfn.CONCAT("W16-",RIGHT(F21,LEN(F21) - FIND("-",F21))), _xlfn.CONCAT("W16-",RIGHT(H21,LEN(H21) - FIND("-",H21)))))</f>
        <v>W16-KINGSBURG</v>
      </c>
      <c r="I26" s="71">
        <v>11</v>
      </c>
      <c r="J26" s="71" t="s">
        <v>908</v>
      </c>
      <c r="K26" s="71">
        <v>60</v>
      </c>
      <c r="L26" s="71" t="str">
        <f t="shared" si="1"/>
        <v>14BX-036</v>
      </c>
    </row>
    <row r="27" spans="1:12" ht="14.1" customHeight="1">
      <c r="A27" s="69">
        <f t="shared" si="0"/>
        <v>46226</v>
      </c>
      <c r="B27" s="70">
        <f>'CHICLETS MASTER S2'!X13</f>
        <v>0.60416666666666696</v>
      </c>
      <c r="C27" s="71" t="s">
        <v>218</v>
      </c>
      <c r="D27" s="72" t="str">
        <f t="shared" si="2"/>
        <v>BREA OLINDA HS</v>
      </c>
      <c r="E27" s="71">
        <v>40</v>
      </c>
      <c r="F27" s="71" t="str">
        <f>IF(G20="","L12",IF(G20&lt;I20,_xlfn.CONCAT("L12-",RIGHT(F20,LEN(F20) - FIND("-",F20))), _xlfn.CONCAT("L12-",RIGHT(H20,LEN(H20) - FIND("-",H20)))))</f>
        <v>L12-PRIDE BLACK</v>
      </c>
      <c r="G27" s="74">
        <v>5.3</v>
      </c>
      <c r="H27" s="71" t="str">
        <f>IF(G21="","L16",IF(G21&lt;I21,_xlfn.CONCAT("L16-",RIGHT(F21,LEN(F21) - FIND("-",F21))), _xlfn.CONCAT("L16-",RIGHT(H21,LEN(H21) - FIND("-",H21)))))</f>
        <v>L16-NEWPORT BEACH WHITE</v>
      </c>
      <c r="I27" s="71">
        <v>5.0999999999999996</v>
      </c>
      <c r="J27" s="71">
        <v>56</v>
      </c>
      <c r="K27" s="71" t="s">
        <v>916</v>
      </c>
      <c r="L27" s="71" t="str">
        <f t="shared" si="1"/>
        <v>14BX-040</v>
      </c>
    </row>
    <row r="28" spans="1:12" ht="14.1" customHeight="1">
      <c r="A28" s="69">
        <f t="shared" si="0"/>
        <v>46226</v>
      </c>
      <c r="B28" s="70">
        <f>'CHICLETS MASTER S2'!X14</f>
        <v>0.63888888888888895</v>
      </c>
      <c r="C28" s="71" t="s">
        <v>218</v>
      </c>
      <c r="D28" s="72" t="str">
        <f t="shared" si="2"/>
        <v>BREA OLINDA HS</v>
      </c>
      <c r="E28" s="71">
        <v>44</v>
      </c>
      <c r="F28" s="71" t="str">
        <f>IF(G22="","W20",IF(G22&gt;I22,_xlfn.CONCAT("W20-",RIGHT(F22,LEN(F22) - FIND("-",F22))), _xlfn.CONCAT("W20-",RIGHT(H22,LEN(H22) - FIND("-",H22)))))</f>
        <v>W20-SHARKS</v>
      </c>
      <c r="G28" s="73">
        <v>9</v>
      </c>
      <c r="H28" s="71" t="str">
        <f>IF(G23="","W24",IF(G23&gt;I23,_xlfn.CONCAT("W24-",RIGHT(F23,LEN(F23) - FIND("-",F23))), _xlfn.CONCAT("W24-",RIGHT(H23,LEN(H23) - FIND("-",H23)))))</f>
        <v>W24-680 BLUE</v>
      </c>
      <c r="I28" s="71">
        <v>8</v>
      </c>
      <c r="J28" s="71" t="s">
        <v>903</v>
      </c>
      <c r="K28" s="71">
        <v>56</v>
      </c>
      <c r="L28" s="71" t="str">
        <f t="shared" si="1"/>
        <v>14BX-044</v>
      </c>
    </row>
    <row r="29" spans="1:12" ht="14.1" customHeight="1">
      <c r="A29" s="69">
        <f t="shared" si="0"/>
        <v>46226</v>
      </c>
      <c r="B29" s="70">
        <f>'CHICLETS MASTER S2'!X15</f>
        <v>0.67361111111111105</v>
      </c>
      <c r="C29" s="71" t="s">
        <v>218</v>
      </c>
      <c r="D29" s="72" t="str">
        <f t="shared" si="2"/>
        <v>BREA OLINDA HS</v>
      </c>
      <c r="E29" s="71">
        <v>48</v>
      </c>
      <c r="F29" s="71" t="str">
        <f>IF(G22="","L20",IF(G22&lt;I22,_xlfn.CONCAT("L20-",RIGHT(F22,LEN(F22) - FIND("-",F22))), _xlfn.CONCAT("L20-",RIGHT(H22,LEN(H22) - FIND("-",H22)))))</f>
        <v>L20-CLOVIS RED</v>
      </c>
      <c r="G29" s="73">
        <v>11</v>
      </c>
      <c r="H29" s="71" t="str">
        <f>IF(G23="","L24",IF(G23&lt;I23,_xlfn.CONCAT("L24-",RIGHT(F23,LEN(F23) - FIND("-",F23))), _xlfn.CONCAT("L24-",RIGHT(H23,LEN(H23) - FIND("-",H23)))))</f>
        <v>L24-LOKAHI</v>
      </c>
      <c r="I29" s="71">
        <v>8</v>
      </c>
      <c r="J29" s="71">
        <v>60</v>
      </c>
      <c r="K29" s="71" t="s">
        <v>921</v>
      </c>
      <c r="L29" s="71" t="str">
        <f t="shared" si="1"/>
        <v>14BX-048</v>
      </c>
    </row>
    <row r="30" spans="1:12" ht="14.1" customHeight="1">
      <c r="A30" s="75"/>
      <c r="B30" s="60" t="s">
        <v>139</v>
      </c>
      <c r="C30" s="60"/>
      <c r="D30" s="60"/>
      <c r="E30" s="60"/>
      <c r="F30" s="60"/>
      <c r="G30" s="64"/>
      <c r="H30" s="60"/>
      <c r="I30" s="60"/>
      <c r="J30" s="60"/>
      <c r="K30" s="60"/>
      <c r="L30" s="60"/>
    </row>
    <row r="31" spans="1:12" ht="14.1" customHeight="1">
      <c r="A31" s="69">
        <f>$A$2</f>
        <v>46226</v>
      </c>
      <c r="B31" s="70">
        <f>'CHICLETS MASTER S2'!X17</f>
        <v>0.74305555555555602</v>
      </c>
      <c r="C31" s="71" t="s">
        <v>140</v>
      </c>
      <c r="D31" s="72" t="str">
        <f t="shared" ref="D31:D33" si="3">$D$16</f>
        <v>BREA OLINDA HS</v>
      </c>
      <c r="E31" s="71">
        <v>52</v>
      </c>
      <c r="F31" s="111" t="str">
        <f>IF(G43="","L27",IF(G43&lt;I43,_xlfn.CONCAT("L27-",RIGHT(F43,LEN(F43) - FIND("-",F43))), _xlfn.CONCAT("L27-",RIGHT(H43,LEN(H43) - FIND("-",H43)))))</f>
        <v>L27-TEAM VEGAS RED</v>
      </c>
      <c r="G31" s="73">
        <v>4</v>
      </c>
      <c r="H31" s="112" t="str">
        <f>IF(G25="","W32",IF(G25&gt;I25,_xlfn.CONCAT("W32-",RIGHT(F25,LEN(F25) - FIND("-",F25))), _xlfn.CONCAT("W32-",RIGHT(H25,LEN(H25) - FIND("-",H25)))))</f>
        <v>W32-CT PREMIER</v>
      </c>
      <c r="I31" s="71">
        <v>5</v>
      </c>
      <c r="J31" s="71" t="s">
        <v>1253</v>
      </c>
      <c r="K31" s="71" t="s">
        <v>1254</v>
      </c>
      <c r="L31" s="71" t="str">
        <f>IF(E31="","",$L$15&amp;"-"&amp;TEXT(E31,"000"))</f>
        <v>14BX-052</v>
      </c>
    </row>
    <row r="32" spans="1:12" ht="14.1" customHeight="1">
      <c r="A32" s="69">
        <f>$A$2</f>
        <v>46226</v>
      </c>
      <c r="B32" s="70">
        <f>'CHICLETS MASTER S2'!X18</f>
        <v>0.77777777777777801</v>
      </c>
      <c r="C32" s="71" t="s">
        <v>140</v>
      </c>
      <c r="D32" s="72" t="str">
        <f t="shared" si="3"/>
        <v>BREA OLINDA HS</v>
      </c>
      <c r="E32" s="71">
        <v>56</v>
      </c>
      <c r="F32" s="71" t="str">
        <f>IF(G28="","L44",IF(G28&lt;I28,_xlfn.CONCAT("L44-",RIGHT(F28,LEN(F28) - FIND("-",F28))), _xlfn.CONCAT("L44-",RIGHT(H28,LEN(H28) - FIND("-",H28)))))</f>
        <v>L44-680 BLUE</v>
      </c>
      <c r="G32" s="73">
        <v>6</v>
      </c>
      <c r="H32" s="71" t="str">
        <f>IF(G27="","W40",IF(G27&gt;I27,_xlfn.CONCAT("W40-",RIGHT(F27,LEN(F27) - FIND("-",F27))), _xlfn.CONCAT("W40-",RIGHT(H27,LEN(H27) - FIND("-",H27)))))</f>
        <v>W40-PRIDE BLACK</v>
      </c>
      <c r="I32" s="71">
        <v>12</v>
      </c>
      <c r="J32" s="71" t="s">
        <v>1255</v>
      </c>
      <c r="K32" s="71" t="s">
        <v>1256</v>
      </c>
      <c r="L32" s="71" t="str">
        <f>IF(E32="","",$L$15&amp;"-"&amp;TEXT(E32,"000"))</f>
        <v>14BX-056</v>
      </c>
    </row>
    <row r="33" spans="1:12" ht="14.1" customHeight="1">
      <c r="A33" s="69">
        <f>$A$2</f>
        <v>46226</v>
      </c>
      <c r="B33" s="70">
        <f>'CHICLETS MASTER S2'!X19</f>
        <v>0.8125</v>
      </c>
      <c r="C33" s="71" t="s">
        <v>140</v>
      </c>
      <c r="D33" s="72" t="str">
        <f t="shared" si="3"/>
        <v>BREA OLINDA HS</v>
      </c>
      <c r="E33" s="71">
        <v>60</v>
      </c>
      <c r="F33" s="71" t="str">
        <f>IF(G26="","L36",IF(G26&lt;I26,_xlfn.CONCAT("L36-",RIGHT(F26,LEN(F26) - FIND("-",F26))), _xlfn.CONCAT("L36-",RIGHT(H26,LEN(H26) - FIND("-",H26)))))</f>
        <v>L36-KERN PREMIER</v>
      </c>
      <c r="G33" s="73">
        <v>11</v>
      </c>
      <c r="H33" s="71" t="str">
        <f>IF(G29="","W48",IF(G29&gt;I29,_xlfn.CONCAT("W48-",RIGHT(F29,LEN(F29) - FIND("-",F29))), _xlfn.CONCAT("W48-",RIGHT(H29,LEN(H29) - FIND("-",H29)))))</f>
        <v>W48-CLOVIS RED</v>
      </c>
      <c r="I33" s="71">
        <v>10</v>
      </c>
      <c r="J33" s="71" t="s">
        <v>1257</v>
      </c>
      <c r="K33" s="71" t="s">
        <v>1258</v>
      </c>
      <c r="L33" s="71" t="str">
        <f>IF(E33="","",$L$15&amp;"-"&amp;TEXT(E33,"000"))</f>
        <v>14BX-060</v>
      </c>
    </row>
    <row r="34" spans="1:12" ht="14.1" customHeight="1" thickBot="1">
      <c r="A34" s="78"/>
      <c r="B34" s="79"/>
      <c r="C34" s="60"/>
      <c r="D34" s="60"/>
      <c r="E34" s="60"/>
      <c r="I34" s="60"/>
      <c r="J34" s="60"/>
      <c r="K34" s="60"/>
      <c r="L34" s="60"/>
    </row>
    <row r="35" spans="1:12" ht="14.1" customHeight="1" thickBot="1">
      <c r="B35" s="79"/>
      <c r="C35" s="60"/>
      <c r="D35" s="68" t="str">
        <f>'CHICLETS MASTER S2'!$AL$3</f>
        <v>BECKMAN HS 1</v>
      </c>
      <c r="E35" s="60"/>
      <c r="I35" s="60"/>
      <c r="J35" s="60"/>
      <c r="K35" s="60"/>
      <c r="L35" s="60"/>
    </row>
    <row r="36" spans="1:12" ht="14.1" customHeight="1">
      <c r="A36" s="108" t="s">
        <v>124</v>
      </c>
      <c r="B36" s="108" t="s">
        <v>125</v>
      </c>
      <c r="C36" s="108" t="s">
        <v>126</v>
      </c>
      <c r="D36" s="108" t="s">
        <v>127</v>
      </c>
      <c r="E36" s="108" t="s">
        <v>128</v>
      </c>
      <c r="F36" s="108" t="s">
        <v>129</v>
      </c>
      <c r="G36" s="108" t="s">
        <v>130</v>
      </c>
      <c r="H36" s="108" t="s">
        <v>131</v>
      </c>
      <c r="I36" s="108" t="s">
        <v>130</v>
      </c>
      <c r="J36" s="108" t="s">
        <v>132</v>
      </c>
      <c r="K36" s="108" t="s">
        <v>133</v>
      </c>
      <c r="L36" s="108" t="s">
        <v>134</v>
      </c>
    </row>
    <row r="37" spans="1:12" ht="14.1" customHeight="1">
      <c r="A37" s="69">
        <f t="shared" ref="A37:A48" si="4">$A$2</f>
        <v>46226</v>
      </c>
      <c r="B37" s="70">
        <f>'CHICLETS MASTER S2'!X4</f>
        <v>0.29166666666666669</v>
      </c>
      <c r="C37" s="71" t="s">
        <v>218</v>
      </c>
      <c r="D37" s="71" t="str">
        <f t="shared" ref="D37:D52" si="5">$D$35</f>
        <v>BECKMAN HS 1</v>
      </c>
      <c r="E37" s="71">
        <v>3</v>
      </c>
      <c r="F37" s="71" t="str">
        <f>C11</f>
        <v>9-PATRIOT RED</v>
      </c>
      <c r="G37" s="73">
        <v>11</v>
      </c>
      <c r="H37" s="71" t="str">
        <f>C14</f>
        <v>40-TEAM VEGAS RED</v>
      </c>
      <c r="I37" s="71">
        <v>15</v>
      </c>
      <c r="J37" s="71">
        <v>27</v>
      </c>
      <c r="K37" s="71">
        <v>31</v>
      </c>
      <c r="L37" s="71" t="str">
        <f t="shared" ref="L37:L48" si="6">IF(E37="","",$L$15&amp;"-"&amp;TEXT(E37,"000"))</f>
        <v>14BX-003</v>
      </c>
    </row>
    <row r="38" spans="1:12" ht="14.1" customHeight="1">
      <c r="A38" s="69">
        <f t="shared" si="4"/>
        <v>46226</v>
      </c>
      <c r="B38" s="70">
        <f>'CHICLETS MASTER S2'!X5</f>
        <v>0.3263888888888889</v>
      </c>
      <c r="C38" s="71" t="s">
        <v>218</v>
      </c>
      <c r="D38" s="71" t="str">
        <f t="shared" si="5"/>
        <v>BECKMAN HS 1</v>
      </c>
      <c r="E38" s="71">
        <v>7</v>
      </c>
      <c r="F38" s="71" t="str">
        <f>C12</f>
        <v>16-LA JOLLA UNITED B</v>
      </c>
      <c r="G38" s="73">
        <v>13</v>
      </c>
      <c r="H38" s="71" t="str">
        <f>C13</f>
        <v>33-680 WHITE</v>
      </c>
      <c r="I38" s="71">
        <v>10</v>
      </c>
      <c r="J38" s="71">
        <v>27</v>
      </c>
      <c r="K38" s="71">
        <v>31</v>
      </c>
      <c r="L38" s="71" t="str">
        <f t="shared" si="6"/>
        <v>14BX-007</v>
      </c>
    </row>
    <row r="39" spans="1:12" ht="14.1" customHeight="1">
      <c r="A39" s="69">
        <f t="shared" si="4"/>
        <v>46226</v>
      </c>
      <c r="B39" s="70">
        <f>'CHICLETS MASTER S2'!X6</f>
        <v>0.36111111111111099</v>
      </c>
      <c r="C39" s="71" t="s">
        <v>218</v>
      </c>
      <c r="D39" s="71" t="str">
        <f t="shared" si="5"/>
        <v>BECKMAN HS 1</v>
      </c>
      <c r="E39" s="71">
        <v>11</v>
      </c>
      <c r="F39" s="71" t="str">
        <f>A11</f>
        <v>7-MISSION B</v>
      </c>
      <c r="G39" s="73">
        <v>20</v>
      </c>
      <c r="H39" s="71" t="str">
        <f>A14</f>
        <v>42-THIRD COAST</v>
      </c>
      <c r="I39" s="71">
        <v>6</v>
      </c>
      <c r="J39" s="71">
        <v>35</v>
      </c>
      <c r="K39" s="71">
        <v>39</v>
      </c>
      <c r="L39" s="71" t="str">
        <f t="shared" si="6"/>
        <v>14BX-011</v>
      </c>
    </row>
    <row r="40" spans="1:12" ht="14.1" customHeight="1">
      <c r="A40" s="69">
        <f t="shared" si="4"/>
        <v>46226</v>
      </c>
      <c r="B40" s="70">
        <f>'CHICLETS MASTER S2'!X7</f>
        <v>0.39583333333333398</v>
      </c>
      <c r="C40" s="71" t="s">
        <v>218</v>
      </c>
      <c r="D40" s="71" t="str">
        <f t="shared" si="5"/>
        <v>BECKMAN HS 1</v>
      </c>
      <c r="E40" s="71">
        <v>15</v>
      </c>
      <c r="F40" s="71" t="str">
        <f>A12</f>
        <v>18-LAMORINDA B</v>
      </c>
      <c r="G40" s="73">
        <v>11</v>
      </c>
      <c r="H40" s="71" t="str">
        <f>A13</f>
        <v>31-CARLSBAD</v>
      </c>
      <c r="I40" s="71">
        <v>10</v>
      </c>
      <c r="J40" s="71">
        <v>35</v>
      </c>
      <c r="K40" s="71">
        <v>39</v>
      </c>
      <c r="L40" s="71" t="str">
        <f t="shared" si="6"/>
        <v>14BX-015</v>
      </c>
    </row>
    <row r="41" spans="1:12" ht="14.1" customHeight="1">
      <c r="A41" s="69">
        <f t="shared" si="4"/>
        <v>46226</v>
      </c>
      <c r="B41" s="70">
        <f>'CHICLETS MASTER S2'!X8</f>
        <v>0.43055555555555602</v>
      </c>
      <c r="C41" s="71" t="s">
        <v>218</v>
      </c>
      <c r="D41" s="71" t="str">
        <f t="shared" si="5"/>
        <v>BECKMAN HS 1</v>
      </c>
      <c r="E41" s="71">
        <v>19</v>
      </c>
      <c r="F41" s="71" t="str">
        <f>B11</f>
        <v>8-LB SHORE RED</v>
      </c>
      <c r="G41" s="73">
        <v>23</v>
      </c>
      <c r="H41" s="71" t="str">
        <f>B14</f>
        <v>41-INNIS ARDEN</v>
      </c>
      <c r="I41" s="71">
        <v>0</v>
      </c>
      <c r="J41" s="71">
        <v>43</v>
      </c>
      <c r="K41" s="71">
        <v>47</v>
      </c>
      <c r="L41" s="71" t="str">
        <f t="shared" si="6"/>
        <v>14BX-019</v>
      </c>
    </row>
    <row r="42" spans="1:12" ht="14.1" customHeight="1">
      <c r="A42" s="69">
        <f t="shared" si="4"/>
        <v>46226</v>
      </c>
      <c r="B42" s="70">
        <f>'CHICLETS MASTER S2'!X9</f>
        <v>0.46527777777777801</v>
      </c>
      <c r="C42" s="71" t="s">
        <v>218</v>
      </c>
      <c r="D42" s="71" t="str">
        <f t="shared" si="5"/>
        <v>BECKMAN HS 1</v>
      </c>
      <c r="E42" s="71">
        <v>23</v>
      </c>
      <c r="F42" s="71" t="str">
        <f>B12</f>
        <v>17-ORWP BLACK</v>
      </c>
      <c r="G42" s="73">
        <v>15</v>
      </c>
      <c r="H42" s="71" t="str">
        <f>B13</f>
        <v>32-CENTRAL VALLEY UNITED</v>
      </c>
      <c r="I42" s="71">
        <v>4</v>
      </c>
      <c r="J42" s="71">
        <v>43</v>
      </c>
      <c r="K42" s="71">
        <v>47</v>
      </c>
      <c r="L42" s="71" t="str">
        <f t="shared" si="6"/>
        <v>14BX-023</v>
      </c>
    </row>
    <row r="43" spans="1:12" ht="14.1" customHeight="1">
      <c r="A43" s="69">
        <f t="shared" si="4"/>
        <v>46226</v>
      </c>
      <c r="B43" s="70">
        <f>'CHICLETS MASTER S2'!X10</f>
        <v>0.5</v>
      </c>
      <c r="C43" s="71" t="s">
        <v>218</v>
      </c>
      <c r="D43" s="71" t="str">
        <f t="shared" si="5"/>
        <v>BECKMAN HS 1</v>
      </c>
      <c r="E43" s="71">
        <v>27</v>
      </c>
      <c r="F43" s="71" t="str">
        <f>IF(G37="","W3",IF(G37&gt;I37,_xlfn.CONCAT("W3-",RIGHT(F37,LEN(F37) - FIND("-",F37))), _xlfn.CONCAT("W3-",RIGHT(H37,LEN(H37) - FIND("-",H37)))))</f>
        <v>W3-TEAM VEGAS RED</v>
      </c>
      <c r="G43" s="73">
        <v>6</v>
      </c>
      <c r="H43" s="71" t="str">
        <f>IF(G38="","W7",IF(G38&gt;I38,_xlfn.CONCAT("W7-",RIGHT(F38,LEN(F38) - FIND("-",F38))), _xlfn.CONCAT("W7-",RIGHT(H38,LEN(H38) - FIND("-",H38)))))</f>
        <v>W7-LA JOLLA UNITED B</v>
      </c>
      <c r="I43" s="71">
        <v>8</v>
      </c>
      <c r="J43" s="71" t="s">
        <v>920</v>
      </c>
      <c r="K43" s="71">
        <v>52</v>
      </c>
      <c r="L43" s="71" t="str">
        <f t="shared" si="6"/>
        <v>14BX-027</v>
      </c>
    </row>
    <row r="44" spans="1:12" ht="14.1" customHeight="1">
      <c r="A44" s="69">
        <f t="shared" si="4"/>
        <v>46226</v>
      </c>
      <c r="B44" s="70">
        <f>'CHICLETS MASTER S2'!X11</f>
        <v>0.53472222222222199</v>
      </c>
      <c r="C44" s="71" t="s">
        <v>218</v>
      </c>
      <c r="D44" s="71" t="str">
        <f t="shared" si="5"/>
        <v>BECKMAN HS 1</v>
      </c>
      <c r="E44" s="71">
        <v>31</v>
      </c>
      <c r="F44" s="71" t="str">
        <f>IF(G37="","L3",IF(G37&lt;I37,_xlfn.CONCAT("L3-",RIGHT(F37,LEN(F37) - FIND("-",F37))), _xlfn.CONCAT("L3-",RIGHT(H37,LEN(H37) - FIND("-",H37)))))</f>
        <v>L3-PATRIOT RED</v>
      </c>
      <c r="G44" s="73">
        <v>11</v>
      </c>
      <c r="H44" s="71" t="str">
        <f>IF(G38="","L7",IF(G38&lt;I38,_xlfn.CONCAT("L7-",RIGHT(F38,LEN(F38) - FIND("-",F38))), _xlfn.CONCAT("L7-",RIGHT(H38,LEN(H38) - FIND("-",H38)))))</f>
        <v>L7-680 WHITE</v>
      </c>
      <c r="I44" s="71">
        <v>7</v>
      </c>
      <c r="J44" s="71">
        <v>51</v>
      </c>
      <c r="K44" s="71" t="s">
        <v>904</v>
      </c>
      <c r="L44" s="71" t="str">
        <f t="shared" si="6"/>
        <v>14BX-031</v>
      </c>
    </row>
    <row r="45" spans="1:12" ht="14.1" customHeight="1">
      <c r="A45" s="69">
        <f t="shared" si="4"/>
        <v>46226</v>
      </c>
      <c r="B45" s="70">
        <f>'CHICLETS MASTER S2'!X12</f>
        <v>0.56944444444444497</v>
      </c>
      <c r="C45" s="71" t="s">
        <v>218</v>
      </c>
      <c r="D45" s="71" t="str">
        <f t="shared" si="5"/>
        <v>BECKMAN HS 1</v>
      </c>
      <c r="E45" s="71">
        <v>35</v>
      </c>
      <c r="F45" s="71" t="str">
        <f>IF(G39="","W11",IF(G39&gt;I39,_xlfn.CONCAT("W11-",RIGHT(F39,LEN(F39) - FIND("-",F39))), _xlfn.CONCAT("W11-",RIGHT(H39,LEN(H39) - FIND("-",H39)))))</f>
        <v>W11-MISSION B</v>
      </c>
      <c r="G45" s="73">
        <v>11</v>
      </c>
      <c r="H45" s="71" t="str">
        <f>IF(G40="","W15",IF(G40&gt;I40,_xlfn.CONCAT("W15-",RIGHT(F40,LEN(F40) - FIND("-",F40))), _xlfn.CONCAT("W15-",RIGHT(H40,LEN(H40) - FIND("-",H40)))))</f>
        <v>W15-LAMORINDA B</v>
      </c>
      <c r="I45" s="71">
        <v>7</v>
      </c>
      <c r="J45" s="71" t="s">
        <v>1259</v>
      </c>
      <c r="K45" s="71">
        <v>59</v>
      </c>
      <c r="L45" s="71" t="str">
        <f t="shared" si="6"/>
        <v>14BX-035</v>
      </c>
    </row>
    <row r="46" spans="1:12" ht="14.1" customHeight="1">
      <c r="A46" s="69">
        <f t="shared" si="4"/>
        <v>46226</v>
      </c>
      <c r="B46" s="70">
        <f>'CHICLETS MASTER S2'!X13</f>
        <v>0.60416666666666696</v>
      </c>
      <c r="C46" s="71" t="s">
        <v>218</v>
      </c>
      <c r="D46" s="71" t="str">
        <f t="shared" si="5"/>
        <v>BECKMAN HS 1</v>
      </c>
      <c r="E46" s="71">
        <v>39</v>
      </c>
      <c r="F46" s="71" t="str">
        <f>IF(G39="","L11",IF(G39&lt;I39,_xlfn.CONCAT("L11-",RIGHT(F39,LEN(F39) - FIND("-",F39))), _xlfn.CONCAT("L11-",RIGHT(H39,LEN(H39) - FIND("-",H39)))))</f>
        <v>L11-THIRD COAST</v>
      </c>
      <c r="G46" s="73">
        <v>4</v>
      </c>
      <c r="H46" s="71" t="str">
        <f>IF(G40="","L15",IF(G40&lt;I40,_xlfn.CONCAT("L15-",RIGHT(F40,LEN(F40) - FIND("-",F40))), _xlfn.CONCAT("L15-",RIGHT(H40,LEN(H40) - FIND("-",H40)))))</f>
        <v>L15-CARLSBAD</v>
      </c>
      <c r="I46" s="71">
        <v>19</v>
      </c>
      <c r="J46" s="71">
        <v>55</v>
      </c>
      <c r="K46" s="71" t="s">
        <v>1260</v>
      </c>
      <c r="L46" s="71" t="str">
        <f t="shared" si="6"/>
        <v>14BX-039</v>
      </c>
    </row>
    <row r="47" spans="1:12" ht="14.1" customHeight="1">
      <c r="A47" s="69">
        <f t="shared" si="4"/>
        <v>46226</v>
      </c>
      <c r="B47" s="70">
        <f>'CHICLETS MASTER S2'!X14</f>
        <v>0.63888888888888895</v>
      </c>
      <c r="C47" s="71" t="s">
        <v>218</v>
      </c>
      <c r="D47" s="71" t="str">
        <f t="shared" si="5"/>
        <v>BECKMAN HS 1</v>
      </c>
      <c r="E47" s="71">
        <v>43</v>
      </c>
      <c r="F47" s="71" t="str">
        <f>IF(G41="","W19",IF(G41&gt;I41,_xlfn.CONCAT("W19-",RIGHT(F41,LEN(F41) - FIND("-",F41))), _xlfn.CONCAT("W19-",RIGHT(H41,LEN(H41) - FIND("-",H41)))))</f>
        <v>W19-LB SHORE RED</v>
      </c>
      <c r="G47" s="73">
        <v>9</v>
      </c>
      <c r="H47" s="71" t="str">
        <f>IF(G42="","W23",IF(G42&gt;I42,_xlfn.CONCAT("W23-",RIGHT(F42,LEN(F42) - FIND("-",F42))), _xlfn.CONCAT("W23-",RIGHT(H42,LEN(H42) - FIND("-",H42)))))</f>
        <v>W23-ORWP BLACK</v>
      </c>
      <c r="I47" s="71">
        <v>6</v>
      </c>
      <c r="J47" s="71" t="s">
        <v>1261</v>
      </c>
      <c r="K47" s="71">
        <v>55</v>
      </c>
      <c r="L47" s="71" t="str">
        <f t="shared" si="6"/>
        <v>14BX-043</v>
      </c>
    </row>
    <row r="48" spans="1:12" ht="14.1" customHeight="1">
      <c r="A48" s="69">
        <f t="shared" si="4"/>
        <v>46226</v>
      </c>
      <c r="B48" s="70">
        <f>'CHICLETS MASTER S2'!X15</f>
        <v>0.67361111111111105</v>
      </c>
      <c r="C48" s="71" t="s">
        <v>218</v>
      </c>
      <c r="D48" s="71" t="str">
        <f t="shared" si="5"/>
        <v>BECKMAN HS 1</v>
      </c>
      <c r="E48" s="71">
        <v>47</v>
      </c>
      <c r="F48" s="71" t="str">
        <f>IF(G41="","L19",IF(G41&lt;I41,_xlfn.CONCAT("L19-",RIGHT(F41,LEN(F41) - FIND("-",F41))), _xlfn.CONCAT("L19-",RIGHT(H41,LEN(H41) - FIND("-",H41)))))</f>
        <v>L19-INNIS ARDEN</v>
      </c>
      <c r="G48" s="73">
        <v>10</v>
      </c>
      <c r="H48" s="71" t="str">
        <f>IF(G42="","L23",IF(G42&lt;I42,_xlfn.CONCAT("L23-",RIGHT(F42,LEN(F42) - FIND("-",F42))), _xlfn.CONCAT("L23-",RIGHT(H42,LEN(H42) - FIND("-",H42)))))</f>
        <v>L23-CENTRAL VALLEY UNITED</v>
      </c>
      <c r="I48" s="71">
        <v>19</v>
      </c>
      <c r="J48" s="71">
        <v>59</v>
      </c>
      <c r="K48" s="71" t="s">
        <v>1262</v>
      </c>
      <c r="L48" s="71" t="str">
        <f t="shared" si="6"/>
        <v>14BX-047</v>
      </c>
    </row>
    <row r="49" spans="1:12" ht="14.1" customHeight="1">
      <c r="A49" s="75"/>
      <c r="B49" s="60" t="s">
        <v>139</v>
      </c>
      <c r="C49" s="60"/>
      <c r="D49" s="60"/>
      <c r="E49" s="60"/>
      <c r="F49" s="60"/>
      <c r="G49" s="64"/>
      <c r="H49" s="60"/>
      <c r="I49" s="60"/>
      <c r="J49" s="60"/>
      <c r="K49" s="60"/>
      <c r="L49" s="60"/>
    </row>
    <row r="50" spans="1:12" ht="14.1" customHeight="1">
      <c r="A50" s="69">
        <f>$A$2</f>
        <v>46226</v>
      </c>
      <c r="B50" s="70">
        <f>'CHICLETS MASTER S2'!X17</f>
        <v>0.74305555555555602</v>
      </c>
      <c r="C50" s="71" t="s">
        <v>140</v>
      </c>
      <c r="D50" s="71" t="str">
        <f t="shared" si="5"/>
        <v>BECKMAN HS 1</v>
      </c>
      <c r="E50" s="71">
        <v>51</v>
      </c>
      <c r="F50" s="111" t="str">
        <f>IF(G24="","L28",IF(G24&lt;I24,_xlfn.CONCAT("L28-",RIGHT(F24,LEN(F24) - FIND("-",F24))), _xlfn.CONCAT("L28-",RIGHT(H24,LEN(H24) - FIND("-",H24)))))</f>
        <v>L28-PRAETORIAN</v>
      </c>
      <c r="G50" s="73">
        <v>5</v>
      </c>
      <c r="H50" s="112" t="str">
        <f>IF(G44="","W31",IF(G44&gt;I44,_xlfn.CONCAT("W31-",RIGHT(F44,LEN(F44) - FIND("-",F44))), _xlfn.CONCAT("W31-",RIGHT(H44,LEN(H44) - FIND("-",H44)))))</f>
        <v>W31-PATRIOT RED</v>
      </c>
      <c r="I50" s="73">
        <v>12</v>
      </c>
      <c r="J50" s="71" t="s">
        <v>1263</v>
      </c>
      <c r="K50" s="71" t="s">
        <v>1264</v>
      </c>
      <c r="L50" s="71" t="str">
        <f>IF(E50="","",$L$15&amp;"-"&amp;TEXT(E50,"000"))</f>
        <v>14BX-051</v>
      </c>
    </row>
    <row r="51" spans="1:12" ht="14.1" customHeight="1">
      <c r="A51" s="69">
        <f>$A$2</f>
        <v>46226</v>
      </c>
      <c r="B51" s="70">
        <f>'CHICLETS MASTER S2'!X18</f>
        <v>0.77777777777777801</v>
      </c>
      <c r="C51" s="71" t="s">
        <v>140</v>
      </c>
      <c r="D51" s="71" t="str">
        <f t="shared" si="5"/>
        <v>BECKMAN HS 1</v>
      </c>
      <c r="E51" s="71">
        <v>55</v>
      </c>
      <c r="F51" s="71" t="str">
        <f>IF(G47="","L43",IF(G47&lt;I47,_xlfn.CONCAT("L43-",RIGHT(F47,LEN(F47) - FIND("-",F47))), _xlfn.CONCAT("L43-",RIGHT(H47,LEN(H47) - FIND("-",H47)))))</f>
        <v>L43-ORWP BLACK</v>
      </c>
      <c r="G51" s="73">
        <v>18</v>
      </c>
      <c r="H51" s="71" t="str">
        <f>IF(G46="","W39",IF(G46&gt;I46,_xlfn.CONCAT("W39-",RIGHT(F46,LEN(F46) - FIND("-",F46))), _xlfn.CONCAT("W39-",RIGHT(H46,LEN(H46) - FIND("-",H46)))))</f>
        <v>W39-CARLSBAD</v>
      </c>
      <c r="I51" s="71">
        <v>4</v>
      </c>
      <c r="J51" s="71" t="s">
        <v>1265</v>
      </c>
      <c r="K51" s="71" t="s">
        <v>1266</v>
      </c>
      <c r="L51" s="71" t="str">
        <f>IF(E51="","",$L$15&amp;"-"&amp;TEXT(E51,"000"))</f>
        <v>14BX-055</v>
      </c>
    </row>
    <row r="52" spans="1:12" ht="14.1" customHeight="1">
      <c r="A52" s="69">
        <f>$A$2</f>
        <v>46226</v>
      </c>
      <c r="B52" s="70">
        <f>'CHICLETS MASTER S2'!X19</f>
        <v>0.8125</v>
      </c>
      <c r="C52" s="71" t="s">
        <v>140</v>
      </c>
      <c r="D52" s="71" t="str">
        <f t="shared" si="5"/>
        <v>BECKMAN HS 1</v>
      </c>
      <c r="E52" s="71">
        <v>59</v>
      </c>
      <c r="F52" s="71" t="str">
        <f>IF(G45="","L35",IF(G45&lt;I45,_xlfn.CONCAT("L35-",RIGHT(F45,LEN(F45) - FIND("-",F45))), _xlfn.CONCAT("L35-",RIGHT(H45,LEN(H45) - FIND("-",H45)))))</f>
        <v>L35-LAMORINDA B</v>
      </c>
      <c r="G52" s="73">
        <v>9</v>
      </c>
      <c r="H52" s="71" t="str">
        <f>IF(G48="","W47",IF(G48&gt;I48,_xlfn.CONCAT("W47-",RIGHT(F48,LEN(F48) - FIND("-",F48))), _xlfn.CONCAT("W47-",RIGHT(H48,LEN(H48) - FIND("-",H48)))))</f>
        <v>W47-CENTRAL VALLEY UNITED</v>
      </c>
      <c r="I52" s="71">
        <v>3</v>
      </c>
      <c r="J52" s="71" t="s">
        <v>1267</v>
      </c>
      <c r="K52" s="71" t="s">
        <v>1268</v>
      </c>
      <c r="L52" s="71" t="str">
        <f>IF(E52="","",$L$15&amp;"-"&amp;TEXT(E52,"000"))</f>
        <v>14BX-059</v>
      </c>
    </row>
    <row r="53" spans="1:12" ht="14.1" customHeight="1" thickBot="1"/>
    <row r="54" spans="1:12" ht="14.1" customHeight="1" thickBot="1">
      <c r="B54" s="60"/>
      <c r="C54" s="60"/>
      <c r="D54" s="68" t="str">
        <f>'CHICLETS MASTER S2'!$AB$3</f>
        <v>ESPERANZA HS</v>
      </c>
      <c r="I54" s="60"/>
      <c r="J54" s="60"/>
      <c r="K54" s="60"/>
      <c r="L54" s="60"/>
    </row>
    <row r="55" spans="1:12" ht="14.1" customHeight="1">
      <c r="A55" s="108" t="s">
        <v>124</v>
      </c>
      <c r="B55" s="108" t="s">
        <v>125</v>
      </c>
      <c r="C55" s="108" t="s">
        <v>126</v>
      </c>
      <c r="D55" s="108" t="s">
        <v>127</v>
      </c>
      <c r="E55" s="108" t="s">
        <v>128</v>
      </c>
      <c r="F55" s="108" t="s">
        <v>129</v>
      </c>
      <c r="G55" s="108" t="s">
        <v>130</v>
      </c>
      <c r="H55" s="108" t="s">
        <v>131</v>
      </c>
      <c r="I55" s="108" t="s">
        <v>130</v>
      </c>
      <c r="J55" s="108" t="s">
        <v>132</v>
      </c>
      <c r="K55" s="108" t="s">
        <v>133</v>
      </c>
      <c r="L55" s="108" t="s">
        <v>134</v>
      </c>
    </row>
    <row r="56" spans="1:12" ht="14.1" customHeight="1">
      <c r="A56" s="69">
        <f t="shared" ref="A56:A70" si="7">$A$2</f>
        <v>46226</v>
      </c>
      <c r="B56" s="70">
        <f>'CHICLETS MASTER S2'!X4</f>
        <v>0.29166666666666669</v>
      </c>
      <c r="C56" s="71" t="s">
        <v>218</v>
      </c>
      <c r="D56" s="71" t="str">
        <f t="shared" ref="D56:D66" si="8">$D$54</f>
        <v>ESPERANZA HS</v>
      </c>
      <c r="E56" s="71">
        <v>2</v>
      </c>
      <c r="F56" s="71" t="str">
        <f>D5</f>
        <v>4-VANGUARD SILVER</v>
      </c>
      <c r="G56" s="73">
        <v>7</v>
      </c>
      <c r="H56" s="71" t="str">
        <f>D8</f>
        <v>45-TITANS GOLD</v>
      </c>
      <c r="I56" s="71">
        <v>5</v>
      </c>
      <c r="J56" s="71">
        <v>26</v>
      </c>
      <c r="K56" s="71">
        <v>30</v>
      </c>
      <c r="L56" s="71" t="str">
        <f t="shared" ref="L56:L70" si="9">IF(E56="","",$L$15&amp;"-"&amp;TEXT(E56,"000"))</f>
        <v>14BX-002</v>
      </c>
    </row>
    <row r="57" spans="1:12" ht="14.1" customHeight="1">
      <c r="A57" s="69">
        <f t="shared" si="7"/>
        <v>46226</v>
      </c>
      <c r="B57" s="70">
        <f>'CHICLETS MASTER S2'!X5</f>
        <v>0.3263888888888889</v>
      </c>
      <c r="C57" s="71" t="s">
        <v>218</v>
      </c>
      <c r="D57" s="71" t="str">
        <f t="shared" si="8"/>
        <v>ESPERANZA HS</v>
      </c>
      <c r="E57" s="71">
        <v>6</v>
      </c>
      <c r="F57" s="71" t="str">
        <f>D6</f>
        <v>21-TEMPLE CITY</v>
      </c>
      <c r="G57" s="73">
        <v>8</v>
      </c>
      <c r="H57" s="71" t="str">
        <f>D7</f>
        <v>28-SAN JOSE FOUNDATION BLACK</v>
      </c>
      <c r="I57" s="71">
        <v>5</v>
      </c>
      <c r="J57" s="71">
        <v>26</v>
      </c>
      <c r="K57" s="71">
        <v>30</v>
      </c>
      <c r="L57" s="71" t="str">
        <f t="shared" si="9"/>
        <v>14BX-006</v>
      </c>
    </row>
    <row r="58" spans="1:12" ht="14.1" customHeight="1">
      <c r="A58" s="69">
        <f t="shared" si="7"/>
        <v>46226</v>
      </c>
      <c r="B58" s="70">
        <f>'CHICLETS MASTER S2'!X6</f>
        <v>0.36111111111111099</v>
      </c>
      <c r="C58" s="71" t="s">
        <v>218</v>
      </c>
      <c r="D58" s="71" t="str">
        <f t="shared" si="8"/>
        <v>ESPERANZA HS</v>
      </c>
      <c r="E58" s="71">
        <v>10</v>
      </c>
      <c r="F58" s="71" t="str">
        <f>E5</f>
        <v>5-ECA</v>
      </c>
      <c r="G58" s="73">
        <v>21</v>
      </c>
      <c r="H58" s="71" t="str">
        <f>E8</f>
        <v>44-T HILLS</v>
      </c>
      <c r="I58" s="71">
        <v>3</v>
      </c>
      <c r="J58" s="71">
        <v>34</v>
      </c>
      <c r="K58" s="71">
        <v>38</v>
      </c>
      <c r="L58" s="71" t="str">
        <f t="shared" si="9"/>
        <v>14BX-010</v>
      </c>
    </row>
    <row r="59" spans="1:12" ht="14.1" customHeight="1">
      <c r="A59" s="69">
        <f t="shared" si="7"/>
        <v>46226</v>
      </c>
      <c r="B59" s="70">
        <f>'CHICLETS MASTER S2'!X7</f>
        <v>0.39583333333333398</v>
      </c>
      <c r="C59" s="71" t="s">
        <v>218</v>
      </c>
      <c r="D59" s="71" t="str">
        <f t="shared" si="8"/>
        <v>ESPERANZA HS</v>
      </c>
      <c r="E59" s="71">
        <v>14</v>
      </c>
      <c r="F59" s="71" t="str">
        <f>E6</f>
        <v>20-SD SHORES GOLD</v>
      </c>
      <c r="G59" s="73">
        <v>7</v>
      </c>
      <c r="H59" s="71" t="str">
        <f>E7</f>
        <v>29-SD DONS BLACK</v>
      </c>
      <c r="I59" s="73">
        <v>9</v>
      </c>
      <c r="J59" s="71">
        <v>34</v>
      </c>
      <c r="K59" s="71">
        <v>38</v>
      </c>
      <c r="L59" s="71" t="str">
        <f t="shared" si="9"/>
        <v>14BX-014</v>
      </c>
    </row>
    <row r="60" spans="1:12" ht="14.1" customHeight="1">
      <c r="A60" s="69">
        <f t="shared" si="7"/>
        <v>46226</v>
      </c>
      <c r="B60" s="70">
        <f>'CHICLETS MASTER S2'!X8</f>
        <v>0.43055555555555602</v>
      </c>
      <c r="C60" s="71" t="s">
        <v>218</v>
      </c>
      <c r="D60" s="71" t="str">
        <f t="shared" si="8"/>
        <v>ESPERANZA HS</v>
      </c>
      <c r="E60" s="71">
        <v>18</v>
      </c>
      <c r="F60" s="71" t="str">
        <f>F5</f>
        <v>6-ALAMEDA</v>
      </c>
      <c r="G60" s="73">
        <v>18</v>
      </c>
      <c r="H60" s="71" t="str">
        <f>F8</f>
        <v>43-RAIN CITY</v>
      </c>
      <c r="I60" s="71">
        <v>6</v>
      </c>
      <c r="J60" s="71">
        <v>42</v>
      </c>
      <c r="K60" s="71">
        <v>46</v>
      </c>
      <c r="L60" s="71" t="str">
        <f t="shared" si="9"/>
        <v>14BX-018</v>
      </c>
    </row>
    <row r="61" spans="1:12" ht="14.1" customHeight="1">
      <c r="A61" s="69">
        <f t="shared" si="7"/>
        <v>46226</v>
      </c>
      <c r="B61" s="70">
        <f>'CHICLETS MASTER S2'!X9</f>
        <v>0.46527777777777801</v>
      </c>
      <c r="C61" s="71" t="s">
        <v>218</v>
      </c>
      <c r="D61" s="71" t="str">
        <f t="shared" si="8"/>
        <v>ESPERANZA HS</v>
      </c>
      <c r="E61" s="71">
        <v>22</v>
      </c>
      <c r="F61" s="71" t="str">
        <f>F6</f>
        <v>19-SAN JOSE EXPRESS BLUE</v>
      </c>
      <c r="G61" s="73">
        <v>8</v>
      </c>
      <c r="H61" s="71" t="str">
        <f>F7</f>
        <v>30-ROSE BOWL RED</v>
      </c>
      <c r="I61" s="71">
        <v>10</v>
      </c>
      <c r="J61" s="71">
        <v>42</v>
      </c>
      <c r="K61" s="71">
        <v>46</v>
      </c>
      <c r="L61" s="71" t="str">
        <f t="shared" si="9"/>
        <v>14BX-022</v>
      </c>
    </row>
    <row r="62" spans="1:12" ht="14.1" customHeight="1">
      <c r="A62" s="69">
        <f t="shared" si="7"/>
        <v>46226</v>
      </c>
      <c r="B62" s="70">
        <f>'CHICLETS MASTER S2'!X10</f>
        <v>0.5</v>
      </c>
      <c r="C62" s="71" t="s">
        <v>218</v>
      </c>
      <c r="D62" s="71" t="str">
        <f t="shared" si="8"/>
        <v>ESPERANZA HS</v>
      </c>
      <c r="E62" s="71">
        <v>26</v>
      </c>
      <c r="F62" s="71" t="str">
        <f>IF(G56="","W2",IF(G56&gt;I56,_xlfn.CONCAT("W2-",RIGHT(F56,LEN(F56) - FIND("-",F56))), _xlfn.CONCAT("W2-",RIGHT(H56,LEN(H56) - FIND("-",H56)))))</f>
        <v>W2-VANGUARD SILVER</v>
      </c>
      <c r="G62" s="81">
        <v>8.3000000000000007</v>
      </c>
      <c r="H62" s="71" t="str">
        <f>IF(G57="","W6",IF(G57&gt;I57,_xlfn.CONCAT("W6-",RIGHT(F57,LEN(F57) - FIND("-",F57))), _xlfn.CONCAT("W6-",RIGHT(H57,LEN(H57) - FIND("-",H57)))))</f>
        <v>W6-TEMPLE CITY</v>
      </c>
      <c r="I62" s="71">
        <v>8.4</v>
      </c>
      <c r="J62" s="71" t="s">
        <v>1269</v>
      </c>
      <c r="K62" s="71">
        <v>49</v>
      </c>
      <c r="L62" s="71" t="str">
        <f t="shared" si="9"/>
        <v>14BX-026</v>
      </c>
    </row>
    <row r="63" spans="1:12" ht="14.1" customHeight="1">
      <c r="A63" s="69">
        <f t="shared" si="7"/>
        <v>46226</v>
      </c>
      <c r="B63" s="70">
        <f>'CHICLETS MASTER S2'!X11</f>
        <v>0.53472222222222199</v>
      </c>
      <c r="C63" s="71" t="s">
        <v>218</v>
      </c>
      <c r="D63" s="71" t="str">
        <f t="shared" si="8"/>
        <v>ESPERANZA HS</v>
      </c>
      <c r="E63" s="71">
        <v>30</v>
      </c>
      <c r="F63" s="71" t="str">
        <f>IF(G56="","L2",IF(G56&lt;I56,_xlfn.CONCAT("L2-",RIGHT(F56,LEN(F56) - FIND("-",F56))), _xlfn.CONCAT("L2-",RIGHT(H56,LEN(H56) - FIND("-",H56)))))</f>
        <v>L2-TITANS GOLD</v>
      </c>
      <c r="G63" s="81">
        <v>12</v>
      </c>
      <c r="H63" s="71" t="str">
        <f>IF(G57="","L6",IF(G57&lt;I57,_xlfn.CONCAT("L6-",RIGHT(F57,LEN(F57) - FIND("-",F57))), _xlfn.CONCAT("L6-",RIGHT(H57,LEN(H57) - FIND("-",H57)))))</f>
        <v>L6-SAN JOSE FOUNDATION BLACK</v>
      </c>
      <c r="I63" s="71">
        <v>6</v>
      </c>
      <c r="J63" s="71">
        <v>50</v>
      </c>
      <c r="K63" s="71" t="s">
        <v>1270</v>
      </c>
      <c r="L63" s="71" t="str">
        <f t="shared" si="9"/>
        <v>14BX-030</v>
      </c>
    </row>
    <row r="64" spans="1:12" ht="14.1" customHeight="1">
      <c r="A64" s="69">
        <f t="shared" si="7"/>
        <v>46226</v>
      </c>
      <c r="B64" s="70">
        <f>'CHICLETS MASTER S2'!X12</f>
        <v>0.56944444444444497</v>
      </c>
      <c r="C64" s="71" t="s">
        <v>218</v>
      </c>
      <c r="D64" s="71" t="str">
        <f t="shared" si="8"/>
        <v>ESPERANZA HS</v>
      </c>
      <c r="E64" s="71">
        <v>34</v>
      </c>
      <c r="F64" s="71" t="str">
        <f>IF(G58="","W10",IF(G58&gt;I58,_xlfn.CONCAT("W10-",RIGHT(F58,LEN(F58) - FIND("-",F58))), _xlfn.CONCAT("W10-",RIGHT(H58,LEN(H58) - FIND("-",H58)))))</f>
        <v>W10-ECA</v>
      </c>
      <c r="G64" s="73">
        <v>8</v>
      </c>
      <c r="H64" s="71" t="str">
        <f>IF(G59="","W14",IF(G59&gt;I59,_xlfn.CONCAT("W14-",RIGHT(F59,LEN(F59) - FIND("-",F59))), _xlfn.CONCAT("W14-",RIGHT(H59,LEN(H59) - FIND("-",H59)))))</f>
        <v>W14-SD DONS BLACK</v>
      </c>
      <c r="I64" s="71">
        <v>12</v>
      </c>
      <c r="J64" s="71" t="s">
        <v>1271</v>
      </c>
      <c r="K64" s="71">
        <v>58</v>
      </c>
      <c r="L64" s="71" t="str">
        <f t="shared" si="9"/>
        <v>14BX-034</v>
      </c>
    </row>
    <row r="65" spans="1:12" ht="14.1" customHeight="1">
      <c r="A65" s="69">
        <f t="shared" si="7"/>
        <v>46226</v>
      </c>
      <c r="B65" s="70">
        <f>'CHICLETS MASTER S2'!X13</f>
        <v>0.60416666666666696</v>
      </c>
      <c r="C65" s="71" t="s">
        <v>218</v>
      </c>
      <c r="D65" s="71" t="str">
        <f t="shared" si="8"/>
        <v>ESPERANZA HS</v>
      </c>
      <c r="E65" s="71">
        <v>38</v>
      </c>
      <c r="F65" s="71" t="str">
        <f>IF(G58="","L10",IF(G58&lt;I58,_xlfn.CONCAT("L10-",RIGHT(F58,LEN(F58) - FIND("-",F58))), _xlfn.CONCAT("L10-",RIGHT(H58,LEN(H58) - FIND("-",H58)))))</f>
        <v>L10-T HILLS</v>
      </c>
      <c r="G65" s="73">
        <v>7</v>
      </c>
      <c r="H65" s="71" t="str">
        <f>IF(G59="","L14",IF(G59&lt;I59,_xlfn.CONCAT("L14-",RIGHT(F59,LEN(F59) - FIND("-",F59))), _xlfn.CONCAT("L14-",RIGHT(H59,LEN(H59) - FIND("-",H59)))))</f>
        <v>L14-SD SHORES GOLD</v>
      </c>
      <c r="I65" s="71">
        <v>18</v>
      </c>
      <c r="J65" s="71">
        <v>54</v>
      </c>
      <c r="K65" s="71" t="s">
        <v>1272</v>
      </c>
      <c r="L65" s="71" t="str">
        <f t="shared" si="9"/>
        <v>14BX-038</v>
      </c>
    </row>
    <row r="66" spans="1:12" ht="14.1" customHeight="1">
      <c r="A66" s="69">
        <f t="shared" si="7"/>
        <v>46226</v>
      </c>
      <c r="B66" s="70">
        <f>'CHICLETS MASTER S2'!X14</f>
        <v>0.63888888888888895</v>
      </c>
      <c r="C66" s="71" t="s">
        <v>218</v>
      </c>
      <c r="D66" s="71" t="str">
        <f t="shared" si="8"/>
        <v>ESPERANZA HS</v>
      </c>
      <c r="E66" s="71">
        <v>42</v>
      </c>
      <c r="F66" s="71" t="str">
        <f>IF(G60="","W18",IF(G60&gt;I60,_xlfn.CONCAT("W18-",RIGHT(F60,LEN(F60) - FIND("-",F60))), _xlfn.CONCAT("W18-",RIGHT(H60,LEN(H60) - FIND("-",H60)))))</f>
        <v>W18-ALAMEDA</v>
      </c>
      <c r="G66" s="74">
        <v>14.4</v>
      </c>
      <c r="H66" s="71" t="str">
        <f>IF(G61="","W22",IF(G61&gt;I61,_xlfn.CONCAT("W22-",RIGHT(F61,LEN(F61) - FIND("-",F61))), _xlfn.CONCAT("W22-",RIGHT(H61,LEN(H61) - FIND("-",H61)))))</f>
        <v>W22-ROSE BOWL RED</v>
      </c>
      <c r="I66" s="71">
        <v>14.3</v>
      </c>
      <c r="J66" s="71" t="s">
        <v>1273</v>
      </c>
      <c r="K66" s="71">
        <v>54</v>
      </c>
      <c r="L66" s="71" t="str">
        <f t="shared" si="9"/>
        <v>14BX-042</v>
      </c>
    </row>
    <row r="67" spans="1:12" ht="14.1" customHeight="1" thickBot="1"/>
    <row r="68" spans="1:12" ht="14.1" customHeight="1" thickBot="1">
      <c r="B68" s="60"/>
      <c r="C68" s="60"/>
      <c r="D68" s="68" t="str">
        <f>'CHICLETS MASTER S2'!$AF$3</f>
        <v>YORBA LINDA HS</v>
      </c>
      <c r="I68" s="60"/>
      <c r="J68" s="60"/>
      <c r="K68" s="60"/>
      <c r="L68" s="60"/>
    </row>
    <row r="69" spans="1:12" ht="14.1" customHeight="1">
      <c r="A69" s="108" t="s">
        <v>124</v>
      </c>
      <c r="B69" s="108" t="s">
        <v>125</v>
      </c>
      <c r="C69" s="108" t="s">
        <v>126</v>
      </c>
      <c r="D69" s="108" t="s">
        <v>127</v>
      </c>
      <c r="E69" s="108" t="s">
        <v>128</v>
      </c>
      <c r="F69" s="108" t="s">
        <v>129</v>
      </c>
      <c r="G69" s="108" t="s">
        <v>130</v>
      </c>
      <c r="H69" s="108" t="s">
        <v>131</v>
      </c>
      <c r="I69" s="108" t="s">
        <v>130</v>
      </c>
      <c r="J69" s="108" t="s">
        <v>132</v>
      </c>
      <c r="K69" s="108" t="s">
        <v>133</v>
      </c>
      <c r="L69" s="108" t="s">
        <v>134</v>
      </c>
    </row>
    <row r="70" spans="1:12" ht="14.1" customHeight="1">
      <c r="A70" s="69">
        <f t="shared" si="7"/>
        <v>46226</v>
      </c>
      <c r="B70" s="70">
        <f>'CHICLETS MASTER S2'!X15</f>
        <v>0.67361111111111105</v>
      </c>
      <c r="C70" s="71" t="s">
        <v>218</v>
      </c>
      <c r="D70" s="71" t="str">
        <f>$D$68</f>
        <v>YORBA LINDA HS</v>
      </c>
      <c r="E70" s="71">
        <v>46</v>
      </c>
      <c r="F70" s="71" t="str">
        <f>IF(G60="","L18",IF(G60&lt;I60,_xlfn.CONCAT("L18-",RIGHT(F60,LEN(F60) - FIND("-",F60))), _xlfn.CONCAT("L18-",RIGHT(H60,LEN(H60) - FIND("-",H60)))))</f>
        <v>L18-RAIN CITY</v>
      </c>
      <c r="G70" s="73">
        <v>5</v>
      </c>
      <c r="H70" s="71" t="str">
        <f>IF(G61="","L22",IF(G61&lt;I61,_xlfn.CONCAT("L22-",RIGHT(F61,LEN(F61) - FIND("-",F61))), _xlfn.CONCAT("L22-",RIGHT(H61,LEN(H61) - FIND("-",H61)))))</f>
        <v>L22-SAN JOSE EXPRESS BLUE</v>
      </c>
      <c r="I70" s="71">
        <v>18</v>
      </c>
      <c r="J70" s="71">
        <v>58</v>
      </c>
      <c r="K70" s="71" t="s">
        <v>1274</v>
      </c>
      <c r="L70" s="71" t="str">
        <f t="shared" si="9"/>
        <v>14BX-046</v>
      </c>
    </row>
    <row r="71" spans="1:12" ht="14.1" customHeight="1">
      <c r="A71" s="75"/>
      <c r="B71" s="60" t="s">
        <v>139</v>
      </c>
      <c r="C71" s="60"/>
      <c r="D71" s="60"/>
      <c r="E71" s="60"/>
      <c r="F71" s="60"/>
      <c r="G71" s="64"/>
      <c r="H71" s="60"/>
      <c r="I71" s="60"/>
      <c r="J71" s="60"/>
      <c r="K71" s="60"/>
      <c r="L71" s="60"/>
    </row>
    <row r="72" spans="1:12" ht="14.1" customHeight="1">
      <c r="A72" s="69">
        <f>$A$2</f>
        <v>46226</v>
      </c>
      <c r="B72" s="70">
        <f>'CHICLETS MASTER S2'!X17</f>
        <v>0.74305555555555602</v>
      </c>
      <c r="C72" s="71" t="s">
        <v>140</v>
      </c>
      <c r="D72" s="71" t="str">
        <f>$D$68</f>
        <v>YORBA LINDA HS</v>
      </c>
      <c r="E72" s="71">
        <v>50</v>
      </c>
      <c r="F72" s="111" t="str">
        <f>IF(G84="","L25",IF(G84&lt;I84,_xlfn.CONCAT("L25-",RIGHT(F84,LEN(F84) - FIND("-",F84))), _xlfn.CONCAT("L25-",RIGHT(H84,LEN(H84) - FIND("-",H84)))))</f>
        <v>L25-TROJAN CARDINAL</v>
      </c>
      <c r="G72" s="81">
        <v>7</v>
      </c>
      <c r="H72" s="71" t="str">
        <f>IF(G63="","W30",IF(G63&gt;I63,_xlfn.CONCAT("W30-",RIGHT(F63,LEN(F63) - FIND("-",F63))), _xlfn.CONCAT("W30-",RIGHT(H63,LEN(H63) - FIND("-",H63)))))</f>
        <v>W30-TITANS GOLD</v>
      </c>
      <c r="I72" s="71">
        <v>8</v>
      </c>
      <c r="J72" s="71" t="s">
        <v>897</v>
      </c>
      <c r="K72" s="71" t="s">
        <v>888</v>
      </c>
      <c r="L72" s="71" t="str">
        <f>IF(E72="","",$L$15&amp;"-"&amp;TEXT(E72,"000"))</f>
        <v>14BX-050</v>
      </c>
    </row>
    <row r="73" spans="1:12" ht="14.1" customHeight="1">
      <c r="A73" s="69">
        <f>$A$2</f>
        <v>46226</v>
      </c>
      <c r="B73" s="70">
        <f>'CHICLETS MASTER S2'!X18</f>
        <v>0.77777777777777801</v>
      </c>
      <c r="C73" s="71" t="s">
        <v>140</v>
      </c>
      <c r="D73" s="71" t="str">
        <f>$D$68</f>
        <v>YORBA LINDA HS</v>
      </c>
      <c r="E73" s="71">
        <v>54</v>
      </c>
      <c r="F73" s="71" t="str">
        <f>IF(G66="","L42",IF(G66&lt;I66,_xlfn.CONCAT("L42-",RIGHT(F66,LEN(F66) - FIND("-",F66))), _xlfn.CONCAT("L42-",RIGHT(H66,LEN(H66) - FIND("-",H66)))))</f>
        <v>L42-ROSE BOWL RED</v>
      </c>
      <c r="G73" s="81">
        <v>11</v>
      </c>
      <c r="H73" s="71" t="str">
        <f>IF(G65="","W38",IF(G65&gt;I65,_xlfn.CONCAT("W38-",RIGHT(F65,LEN(F65) - FIND("-",F65))), _xlfn.CONCAT("W38-",RIGHT(H65,LEN(H65) - FIND("-",H65)))))</f>
        <v>W38-SD SHORES GOLD</v>
      </c>
      <c r="I73" s="71">
        <v>8</v>
      </c>
      <c r="J73" s="71" t="s">
        <v>1275</v>
      </c>
      <c r="K73" s="71" t="s">
        <v>1276</v>
      </c>
      <c r="L73" s="71" t="str">
        <f>IF(E73="","",$L$15&amp;"-"&amp;TEXT(E73,"000"))</f>
        <v>14BX-054</v>
      </c>
    </row>
    <row r="74" spans="1:12" ht="14.1" customHeight="1">
      <c r="A74" s="69">
        <f>$A$2</f>
        <v>46226</v>
      </c>
      <c r="B74" s="70">
        <f>'CHICLETS MASTER S2'!X19</f>
        <v>0.8125</v>
      </c>
      <c r="C74" s="71" t="s">
        <v>140</v>
      </c>
      <c r="D74" s="71" t="str">
        <f>$D$68</f>
        <v>YORBA LINDA HS</v>
      </c>
      <c r="E74" s="71">
        <v>58</v>
      </c>
      <c r="F74" s="71" t="str">
        <f>IF(G64="","L34",IF(G64&lt;I64,_xlfn.CONCAT("L34-",RIGHT(F64,LEN(F64) - FIND("-",F64))), _xlfn.CONCAT("L34-",RIGHT(H64,LEN(H64) - FIND("-",H64)))))</f>
        <v>L34-ECA</v>
      </c>
      <c r="G74" s="81">
        <v>7</v>
      </c>
      <c r="H74" s="71" t="str">
        <f>IF(G70="","W46",IF(G70&gt;I70,_xlfn.CONCAT("W46-",RIGHT(F70,LEN(F70) - FIND("-",F70))), _xlfn.CONCAT("W46-",RIGHT(H70,LEN(H70) - FIND("-",H70)))))</f>
        <v>W46-SAN JOSE EXPRESS BLUE</v>
      </c>
      <c r="I74" s="71">
        <v>6</v>
      </c>
      <c r="J74" s="71" t="s">
        <v>1277</v>
      </c>
      <c r="K74" s="71" t="s">
        <v>1278</v>
      </c>
      <c r="L74" s="71" t="str">
        <f>IF(E74="","",$L$15&amp;"-"&amp;TEXT(E74,"000"))</f>
        <v>14BX-058</v>
      </c>
    </row>
    <row r="75" spans="1:12" ht="14.1" customHeight="1" thickBot="1">
      <c r="A75" s="78"/>
      <c r="B75" s="79"/>
      <c r="C75" s="60"/>
      <c r="D75" s="60"/>
      <c r="E75" s="60"/>
      <c r="I75" s="60"/>
      <c r="J75" s="60"/>
      <c r="K75" s="60"/>
      <c r="L75" s="60"/>
    </row>
    <row r="76" spans="1:12" ht="14.1" customHeight="1" thickBot="1">
      <c r="A76" s="60"/>
      <c r="B76" s="60"/>
      <c r="C76" s="60"/>
      <c r="D76" s="68" t="str">
        <f>'CHICLETS MASTER S2'!$AC$3</f>
        <v>OCEAN VIEW HS 1</v>
      </c>
      <c r="I76" s="60"/>
      <c r="J76" s="60"/>
      <c r="K76" s="60"/>
      <c r="L76" s="60"/>
    </row>
    <row r="77" spans="1:12" ht="14.1" customHeight="1">
      <c r="A77" s="108" t="s">
        <v>124</v>
      </c>
      <c r="B77" s="108" t="s">
        <v>125</v>
      </c>
      <c r="C77" s="108" t="s">
        <v>126</v>
      </c>
      <c r="D77" s="108" t="s">
        <v>127</v>
      </c>
      <c r="E77" s="108" t="s">
        <v>128</v>
      </c>
      <c r="F77" s="108" t="s">
        <v>129</v>
      </c>
      <c r="G77" s="108" t="s">
        <v>130</v>
      </c>
      <c r="H77" s="108" t="s">
        <v>131</v>
      </c>
      <c r="I77" s="108" t="s">
        <v>130</v>
      </c>
      <c r="J77" s="108" t="s">
        <v>132</v>
      </c>
      <c r="K77" s="108" t="s">
        <v>133</v>
      </c>
      <c r="L77" s="108" t="s">
        <v>134</v>
      </c>
    </row>
    <row r="78" spans="1:12" ht="14.1" customHeight="1">
      <c r="A78" s="69">
        <f t="shared" ref="A78:A92" si="10">$A$2</f>
        <v>46226</v>
      </c>
      <c r="B78" s="70">
        <v>0.29166666666666669</v>
      </c>
      <c r="C78" s="71" t="s">
        <v>218</v>
      </c>
      <c r="D78" s="71" t="str">
        <f>$D$76</f>
        <v>OCEAN VIEW HS 1</v>
      </c>
      <c r="E78" s="71">
        <v>1</v>
      </c>
      <c r="F78" s="71" t="str">
        <f>C5</f>
        <v>3-TSUNAMI</v>
      </c>
      <c r="G78" s="73">
        <v>17</v>
      </c>
      <c r="H78" s="71" t="str">
        <f>C8</f>
        <v>46-HONOLULU</v>
      </c>
      <c r="I78" s="71">
        <v>3</v>
      </c>
      <c r="J78" s="71">
        <v>25</v>
      </c>
      <c r="K78" s="71">
        <v>29</v>
      </c>
      <c r="L78" s="71" t="str">
        <f t="shared" ref="L78:L92" si="11">IF(E78="","",$L$15&amp;"-"&amp;TEXT(E78,"000"))</f>
        <v>14BX-001</v>
      </c>
    </row>
    <row r="79" spans="1:12" ht="14.1" customHeight="1">
      <c r="A79" s="69">
        <f t="shared" si="10"/>
        <v>46226</v>
      </c>
      <c r="B79" s="70">
        <v>0.3263888888888889</v>
      </c>
      <c r="C79" s="71" t="s">
        <v>218</v>
      </c>
      <c r="D79" s="71" t="str">
        <f t="shared" ref="D79:D88" si="12">$D$76</f>
        <v>OCEAN VIEW HS 1</v>
      </c>
      <c r="E79" s="71">
        <v>5</v>
      </c>
      <c r="F79" s="71" t="str">
        <f>C6</f>
        <v>22-TROJAN CARDINAL</v>
      </c>
      <c r="G79" s="73">
        <v>11</v>
      </c>
      <c r="H79" s="71" t="str">
        <f>C7</f>
        <v>27-VEGAS RENEGADES</v>
      </c>
      <c r="I79" s="71">
        <v>6</v>
      </c>
      <c r="J79" s="71">
        <v>25</v>
      </c>
      <c r="K79" s="71">
        <v>29</v>
      </c>
      <c r="L79" s="71" t="str">
        <f t="shared" si="11"/>
        <v>14BX-005</v>
      </c>
    </row>
    <row r="80" spans="1:12" ht="14.1" customHeight="1">
      <c r="A80" s="69">
        <f t="shared" si="10"/>
        <v>46226</v>
      </c>
      <c r="B80" s="70">
        <v>0.36111111111111099</v>
      </c>
      <c r="C80" s="71" t="s">
        <v>218</v>
      </c>
      <c r="D80" s="71" t="str">
        <f t="shared" si="12"/>
        <v>OCEAN VIEW HS 1</v>
      </c>
      <c r="E80" s="71">
        <v>9</v>
      </c>
      <c r="F80" s="71" t="str">
        <f>A5</f>
        <v>1-OCWPC BLUE</v>
      </c>
      <c r="G80" s="73">
        <v>23</v>
      </c>
      <c r="H80" s="71" t="str">
        <f>A8</f>
        <v>48-CAPITAL</v>
      </c>
      <c r="I80" s="71">
        <v>6</v>
      </c>
      <c r="J80" s="71">
        <v>33</v>
      </c>
      <c r="K80" s="71">
        <v>37</v>
      </c>
      <c r="L80" s="71" t="str">
        <f t="shared" si="11"/>
        <v>14BX-009</v>
      </c>
    </row>
    <row r="81" spans="1:12" ht="14.1" customHeight="1">
      <c r="A81" s="69">
        <f t="shared" si="10"/>
        <v>46226</v>
      </c>
      <c r="B81" s="70">
        <v>0.39583333333333398</v>
      </c>
      <c r="C81" s="71" t="s">
        <v>218</v>
      </c>
      <c r="D81" s="71" t="str">
        <f t="shared" si="12"/>
        <v>OCEAN VIEW HS 1</v>
      </c>
      <c r="E81" s="71">
        <v>13</v>
      </c>
      <c r="F81" s="71" t="str">
        <f>A6</f>
        <v>24-FOOTHILL RED</v>
      </c>
      <c r="G81" s="73">
        <v>13</v>
      </c>
      <c r="H81" s="71" t="str">
        <f>A7</f>
        <v>25-WCAC UNITED</v>
      </c>
      <c r="I81" s="71">
        <v>5</v>
      </c>
      <c r="J81" s="71">
        <v>33</v>
      </c>
      <c r="K81" s="71">
        <v>37</v>
      </c>
      <c r="L81" s="71" t="str">
        <f t="shared" si="11"/>
        <v>14BX-013</v>
      </c>
    </row>
    <row r="82" spans="1:12" ht="14.1" customHeight="1">
      <c r="A82" s="69">
        <f t="shared" si="10"/>
        <v>46226</v>
      </c>
      <c r="B82" s="70">
        <v>0.43055555555555602</v>
      </c>
      <c r="C82" s="71" t="s">
        <v>218</v>
      </c>
      <c r="D82" s="71" t="str">
        <f t="shared" si="12"/>
        <v>OCEAN VIEW HS 1</v>
      </c>
      <c r="E82" s="71">
        <v>17</v>
      </c>
      <c r="F82" s="71" t="str">
        <f>B5</f>
        <v>2-STANFORD BLACK</v>
      </c>
      <c r="G82" s="73">
        <v>18</v>
      </c>
      <c r="H82" s="71" t="str">
        <f>B8</f>
        <v>47-BAINBRIDGE</v>
      </c>
      <c r="I82" s="71">
        <v>1</v>
      </c>
      <c r="J82" s="71">
        <v>41</v>
      </c>
      <c r="K82" s="71">
        <v>45</v>
      </c>
      <c r="L82" s="71" t="str">
        <f t="shared" si="11"/>
        <v>14BX-017</v>
      </c>
    </row>
    <row r="83" spans="1:12" ht="14.1" customHeight="1">
      <c r="A83" s="69">
        <f t="shared" si="10"/>
        <v>46226</v>
      </c>
      <c r="B83" s="70">
        <v>0.46527777777777801</v>
      </c>
      <c r="C83" s="71" t="s">
        <v>218</v>
      </c>
      <c r="D83" s="71" t="str">
        <f t="shared" si="12"/>
        <v>OCEAN VIEW HS 1</v>
      </c>
      <c r="E83" s="71">
        <v>21</v>
      </c>
      <c r="F83" s="71" t="str">
        <f>B6</f>
        <v>23-HIELAND</v>
      </c>
      <c r="G83" s="73">
        <v>17</v>
      </c>
      <c r="H83" s="71" t="str">
        <f>B7</f>
        <v>26-DIABLO ALLIANCE B</v>
      </c>
      <c r="I83" s="71">
        <v>7</v>
      </c>
      <c r="J83" s="71">
        <v>41</v>
      </c>
      <c r="K83" s="71">
        <v>45</v>
      </c>
      <c r="L83" s="71" t="str">
        <f t="shared" si="11"/>
        <v>14BX-021</v>
      </c>
    </row>
    <row r="84" spans="1:12" ht="14.1" customHeight="1">
      <c r="A84" s="69">
        <f t="shared" si="10"/>
        <v>46226</v>
      </c>
      <c r="B84" s="70">
        <v>0.5</v>
      </c>
      <c r="C84" s="71" t="s">
        <v>218</v>
      </c>
      <c r="D84" s="71" t="str">
        <f t="shared" si="12"/>
        <v>OCEAN VIEW HS 1</v>
      </c>
      <c r="E84" s="71">
        <v>25</v>
      </c>
      <c r="F84" s="71" t="str">
        <f>IF(G78="","W1",IF(G78&gt;I78,_xlfn.CONCAT("W1-",RIGHT(F78,LEN(F78) - FIND("-",F78))), _xlfn.CONCAT("W1-",RIGHT(H78,LEN(H78) - FIND("-",H78)))))</f>
        <v>W1-TSUNAMI</v>
      </c>
      <c r="G84" s="81">
        <v>7</v>
      </c>
      <c r="H84" s="71" t="str">
        <f>IF(G79="","W5",IF(G79&gt;I79,_xlfn.CONCAT("W5-",RIGHT(F79,LEN(F79) - FIND("-",F79))), _xlfn.CONCAT("W5-",RIGHT(H79,LEN(H79) - FIND("-",H79)))))</f>
        <v>W5-TROJAN CARDINAL</v>
      </c>
      <c r="I84" s="71">
        <v>4</v>
      </c>
      <c r="J84" s="71" t="s">
        <v>1279</v>
      </c>
      <c r="K84" s="71">
        <v>50</v>
      </c>
      <c r="L84" s="71" t="str">
        <f t="shared" si="11"/>
        <v>14BX-025</v>
      </c>
    </row>
    <row r="85" spans="1:12" ht="14.1" customHeight="1">
      <c r="A85" s="69">
        <f t="shared" si="10"/>
        <v>46226</v>
      </c>
      <c r="B85" s="70">
        <v>0.53472222222222199</v>
      </c>
      <c r="C85" s="71" t="s">
        <v>218</v>
      </c>
      <c r="D85" s="71" t="str">
        <f t="shared" si="12"/>
        <v>OCEAN VIEW HS 1</v>
      </c>
      <c r="E85" s="71">
        <v>29</v>
      </c>
      <c r="F85" s="71" t="str">
        <f>IF(G78="","L1",IF(G78&lt;I78,_xlfn.CONCAT("L1-",RIGHT(F78,LEN(F78) - FIND("-",F78))), _xlfn.CONCAT("L1-",RIGHT(H78,LEN(H78) - FIND("-",H78)))))</f>
        <v>L1-HONOLULU</v>
      </c>
      <c r="G85" s="81">
        <v>11</v>
      </c>
      <c r="H85" s="71" t="str">
        <f>IF(G79="","L5",IF(G79&lt;I79,_xlfn.CONCAT("L5-",RIGHT(F79,LEN(F79) - FIND("-",F79))), _xlfn.CONCAT("L5-",RIGHT(H79,LEN(H79) - FIND("-",H79)))))</f>
        <v>L5-VEGAS RENEGADES</v>
      </c>
      <c r="I85" s="71">
        <v>21</v>
      </c>
      <c r="J85" s="71">
        <v>49</v>
      </c>
      <c r="K85" s="71" t="s">
        <v>1280</v>
      </c>
      <c r="L85" s="71" t="str">
        <f t="shared" si="11"/>
        <v>14BX-029</v>
      </c>
    </row>
    <row r="86" spans="1:12" ht="14.1" customHeight="1">
      <c r="A86" s="69">
        <f t="shared" si="10"/>
        <v>46226</v>
      </c>
      <c r="B86" s="70">
        <v>0.56944444444444497</v>
      </c>
      <c r="C86" s="71" t="s">
        <v>218</v>
      </c>
      <c r="D86" s="71" t="str">
        <f t="shared" si="12"/>
        <v>OCEAN VIEW HS 1</v>
      </c>
      <c r="E86" s="71">
        <v>33</v>
      </c>
      <c r="F86" s="71" t="str">
        <f>IF(G80="","W9",IF(G80&gt;I80,_xlfn.CONCAT("W9-",RIGHT(F80,LEN(F80) - FIND("-",F80))), _xlfn.CONCAT("W9-",RIGHT(H80,LEN(H80) - FIND("-",H80)))))</f>
        <v>W9-OCWPC BLUE</v>
      </c>
      <c r="G86" s="81">
        <v>11</v>
      </c>
      <c r="H86" s="71" t="str">
        <f>IF(G81="","W13",IF(G81&gt;I81,_xlfn.CONCAT("W13-",RIGHT(F81,LEN(F81) - FIND("-",F81))), _xlfn.CONCAT("W13-",RIGHT(H81,LEN(H81) - FIND("-",H81)))))</f>
        <v>W13-FOOTHILL RED</v>
      </c>
      <c r="I86" s="71">
        <v>7</v>
      </c>
      <c r="J86" s="71" t="s">
        <v>1281</v>
      </c>
      <c r="K86" s="71">
        <v>57</v>
      </c>
      <c r="L86" s="71" t="str">
        <f t="shared" si="11"/>
        <v>14BX-033</v>
      </c>
    </row>
    <row r="87" spans="1:12" ht="14.1" customHeight="1">
      <c r="A87" s="69">
        <f t="shared" si="10"/>
        <v>46226</v>
      </c>
      <c r="B87" s="70">
        <v>0.60416666666666696</v>
      </c>
      <c r="C87" s="71" t="s">
        <v>218</v>
      </c>
      <c r="D87" s="71" t="str">
        <f t="shared" si="12"/>
        <v>OCEAN VIEW HS 1</v>
      </c>
      <c r="E87" s="71">
        <v>37</v>
      </c>
      <c r="F87" s="71" t="str">
        <f>IF(G80="","L9",IF(G80&lt;I80,_xlfn.CONCAT("L9-",RIGHT(F80,LEN(F80) - FIND("-",F80))), _xlfn.CONCAT("L9-",RIGHT(H80,LEN(H80) - FIND("-",H80)))))</f>
        <v>L9-CAPITAL</v>
      </c>
      <c r="G87" s="81">
        <v>15</v>
      </c>
      <c r="H87" s="71" t="str">
        <f>IF(G81="","L13",IF(G81&lt;I81,_xlfn.CONCAT("L13-",RIGHT(F81,LEN(F81) - FIND("-",F81))), _xlfn.CONCAT("L13-",RIGHT(H81,LEN(H81) - FIND("-",H81)))))</f>
        <v>L13-WCAC UNITED</v>
      </c>
      <c r="I87" s="71">
        <v>9</v>
      </c>
      <c r="J87" s="71">
        <v>53</v>
      </c>
      <c r="K87" s="71" t="s">
        <v>1282</v>
      </c>
      <c r="L87" s="71" t="str">
        <f t="shared" si="11"/>
        <v>14BX-037</v>
      </c>
    </row>
    <row r="88" spans="1:12" ht="14.1" customHeight="1">
      <c r="A88" s="69">
        <f t="shared" si="10"/>
        <v>46226</v>
      </c>
      <c r="B88" s="70">
        <v>0.63888888888888895</v>
      </c>
      <c r="C88" s="71" t="s">
        <v>218</v>
      </c>
      <c r="D88" s="71" t="str">
        <f t="shared" si="12"/>
        <v>OCEAN VIEW HS 1</v>
      </c>
      <c r="E88" s="71">
        <v>41</v>
      </c>
      <c r="F88" s="71" t="str">
        <f>IF(G82="","W17",IF(G82&gt;I82,_xlfn.CONCAT("W17-",RIGHT(F82,LEN(F82) - FIND("-",F82))), _xlfn.CONCAT("W17-",RIGHT(H82,LEN(H82) - FIND("-",H82)))))</f>
        <v>W17-STANFORD BLACK</v>
      </c>
      <c r="G88" s="73">
        <v>12</v>
      </c>
      <c r="H88" s="71" t="str">
        <f>IF(G83="","W21",IF(G83&gt;I83,_xlfn.CONCAT("W21-",RIGHT(F83,LEN(F83) - FIND("-",F83))), _xlfn.CONCAT("W21-",RIGHT(H83,LEN(H83) - FIND("-",H83)))))</f>
        <v>W21-HIELAND</v>
      </c>
      <c r="I88" s="71">
        <v>9</v>
      </c>
      <c r="J88" s="71" t="s">
        <v>1283</v>
      </c>
      <c r="K88" s="71">
        <v>53</v>
      </c>
      <c r="L88" s="71" t="str">
        <f t="shared" si="11"/>
        <v>14BX-041</v>
      </c>
    </row>
    <row r="89" spans="1:12" ht="14.1" customHeight="1" thickBot="1">
      <c r="A89" s="78"/>
      <c r="B89" s="79"/>
      <c r="C89" s="60"/>
      <c r="D89" s="60"/>
      <c r="E89" s="60"/>
      <c r="I89" s="60"/>
      <c r="J89" s="60"/>
      <c r="K89" s="60"/>
      <c r="L89" s="60"/>
    </row>
    <row r="90" spans="1:12" ht="14.1" customHeight="1" thickBot="1">
      <c r="B90" s="79"/>
      <c r="C90" s="60"/>
      <c r="D90" s="68" t="str">
        <f>'CHICLETS MASTER S2'!$AD$27</f>
        <v>NEWPORT HARBOR HS</v>
      </c>
      <c r="E90" s="60"/>
      <c r="I90" s="60"/>
      <c r="J90" s="60"/>
      <c r="K90" s="60"/>
      <c r="L90" s="60"/>
    </row>
    <row r="91" spans="1:12" ht="14.1" customHeight="1">
      <c r="A91" s="108" t="s">
        <v>124</v>
      </c>
      <c r="B91" s="108" t="s">
        <v>125</v>
      </c>
      <c r="C91" s="108" t="s">
        <v>126</v>
      </c>
      <c r="D91" s="108" t="s">
        <v>127</v>
      </c>
      <c r="E91" s="108" t="s">
        <v>128</v>
      </c>
      <c r="F91" s="108" t="s">
        <v>129</v>
      </c>
      <c r="G91" s="108" t="s">
        <v>130</v>
      </c>
      <c r="H91" s="108" t="s">
        <v>131</v>
      </c>
      <c r="I91" s="108" t="s">
        <v>130</v>
      </c>
      <c r="J91" s="108" t="s">
        <v>132</v>
      </c>
      <c r="K91" s="108" t="s">
        <v>133</v>
      </c>
      <c r="L91" s="108" t="s">
        <v>134</v>
      </c>
    </row>
    <row r="92" spans="1:12" ht="14.1" customHeight="1">
      <c r="A92" s="69">
        <f t="shared" si="10"/>
        <v>46226</v>
      </c>
      <c r="B92" s="70">
        <v>0.67361111111111105</v>
      </c>
      <c r="C92" s="71" t="s">
        <v>218</v>
      </c>
      <c r="D92" s="71" t="str">
        <f>$D$90</f>
        <v>NEWPORT HARBOR HS</v>
      </c>
      <c r="E92" s="71">
        <v>45</v>
      </c>
      <c r="F92" s="71" t="str">
        <f>IF(G82="","L17",IF(G82&lt;I82,_xlfn.CONCAT("L17-",RIGHT(F82,LEN(F82) - FIND("-",F82))), _xlfn.CONCAT("L17-",RIGHT(H82,LEN(H82) - FIND("-",H82)))))</f>
        <v>L17-BAINBRIDGE</v>
      </c>
      <c r="G92" s="73">
        <v>5</v>
      </c>
      <c r="H92" s="71" t="str">
        <f>IF(G83="","L21",IF(G83&lt;I83,_xlfn.CONCAT("L21-",RIGHT(F83,LEN(F83) - FIND("-",F83))), _xlfn.CONCAT("L21-",RIGHT(H83,LEN(H83) - FIND("-",H83)))))</f>
        <v>L21-DIABLO ALLIANCE B</v>
      </c>
      <c r="I92" s="71">
        <v>16</v>
      </c>
      <c r="J92" s="71">
        <v>57</v>
      </c>
      <c r="K92" s="71" t="s">
        <v>1284</v>
      </c>
      <c r="L92" s="71" t="str">
        <f t="shared" si="11"/>
        <v>14BX-045</v>
      </c>
    </row>
    <row r="93" spans="1:12" ht="14.1" customHeight="1">
      <c r="A93" s="75"/>
      <c r="B93" s="60" t="s">
        <v>139</v>
      </c>
      <c r="C93" s="60"/>
      <c r="D93" s="60"/>
      <c r="E93" s="60"/>
      <c r="F93" s="60"/>
      <c r="G93" s="64"/>
      <c r="H93" s="60"/>
      <c r="I93" s="60"/>
      <c r="J93" s="60"/>
      <c r="K93" s="60"/>
      <c r="L93" s="60"/>
    </row>
    <row r="94" spans="1:12" ht="14.1" customHeight="1">
      <c r="A94" s="69">
        <f>$A$2</f>
        <v>46226</v>
      </c>
      <c r="B94" s="70">
        <v>0.74305555555555602</v>
      </c>
      <c r="C94" s="71" t="s">
        <v>140</v>
      </c>
      <c r="D94" s="71" t="str">
        <f t="shared" ref="D94:D96" si="13">$D$90</f>
        <v>NEWPORT HARBOR HS</v>
      </c>
      <c r="E94" s="71">
        <v>49</v>
      </c>
      <c r="F94" s="66" t="str">
        <f>IF(G62="","L26",IF(G62&lt;I62,_xlfn.CONCAT("L26-",RIGHT(F62,LEN(F62) - FIND("-",F62))), _xlfn.CONCAT("L26-",RIGHT(H62,LEN(H62) - FIND("-",H62)))))</f>
        <v>L26-VANGUARD SILVER</v>
      </c>
      <c r="G94" s="81">
        <v>12.7</v>
      </c>
      <c r="H94" s="71" t="str">
        <f>IF(G85="","W29",IF(G85&gt;I85,_xlfn.CONCAT("W29-",RIGHT(F85,LEN(F85) - FIND("-",F85))), _xlfn.CONCAT("W29-",RIGHT(H85,LEN(H85) - FIND("-",H85)))))</f>
        <v>W29-VEGAS RENEGADES</v>
      </c>
      <c r="I94" s="71">
        <v>12.6</v>
      </c>
      <c r="J94" s="71" t="s">
        <v>892</v>
      </c>
      <c r="K94" s="71" t="s">
        <v>927</v>
      </c>
      <c r="L94" s="71" t="str">
        <f>IF(E94="","",$L$15&amp;"-"&amp;TEXT(E94,"000"))</f>
        <v>14BX-049</v>
      </c>
    </row>
    <row r="95" spans="1:12" ht="14.1" customHeight="1">
      <c r="A95" s="69">
        <f>$A$2</f>
        <v>46226</v>
      </c>
      <c r="B95" s="70">
        <v>0.77777777777777801</v>
      </c>
      <c r="C95" s="71" t="s">
        <v>140</v>
      </c>
      <c r="D95" s="71" t="str">
        <f t="shared" si="13"/>
        <v>NEWPORT HARBOR HS</v>
      </c>
      <c r="E95" s="71">
        <v>53</v>
      </c>
      <c r="F95" s="71" t="str">
        <f>IF(G88="","L41",IF(G88&lt;I88,_xlfn.CONCAT("L41-",RIGHT(F88,LEN(F88) - FIND("-",F88))), _xlfn.CONCAT("L41-",RIGHT(H88,LEN(H88) - FIND("-",H88)))))</f>
        <v>L41-HIELAND</v>
      </c>
      <c r="G95" s="81">
        <v>14</v>
      </c>
      <c r="H95" s="71" t="str">
        <f>IF(G87="","W37",IF(G87&gt;I87,_xlfn.CONCAT("W37-",RIGHT(F87,LEN(F87) - FIND("-",F87))), _xlfn.CONCAT("W37-",RIGHT(H87,LEN(H87) - FIND("-",H87)))))</f>
        <v>W37-CAPITAL</v>
      </c>
      <c r="I95" s="71">
        <v>5</v>
      </c>
      <c r="J95" s="71" t="s">
        <v>926</v>
      </c>
      <c r="K95" s="71" t="s">
        <v>893</v>
      </c>
      <c r="L95" s="71" t="str">
        <f>IF(E95="","",$L$15&amp;"-"&amp;TEXT(E95,"000"))</f>
        <v>14BX-053</v>
      </c>
    </row>
    <row r="96" spans="1:12" ht="14.1" customHeight="1">
      <c r="A96" s="69">
        <f>$A$2</f>
        <v>46226</v>
      </c>
      <c r="B96" s="70">
        <v>0.8125</v>
      </c>
      <c r="C96" s="71" t="s">
        <v>140</v>
      </c>
      <c r="D96" s="71" t="str">
        <f t="shared" si="13"/>
        <v>NEWPORT HARBOR HS</v>
      </c>
      <c r="E96" s="71">
        <v>57</v>
      </c>
      <c r="F96" s="71" t="str">
        <f>IF(G86="","L33",IF(G86&lt;I86,_xlfn.CONCAT("L33-",RIGHT(F86,LEN(F86) - FIND("-",F86))), _xlfn.CONCAT("L33-",RIGHT(H86,LEN(H86) - FIND("-",H86)))))</f>
        <v>L33-FOOTHILL RED</v>
      </c>
      <c r="G96" s="81">
        <v>13</v>
      </c>
      <c r="H96" s="71" t="str">
        <f>IF(G92="","W45",IF(G92&gt;I92,_xlfn.CONCAT("W45-",RIGHT(F92,LEN(F92) - FIND("-",F92))), _xlfn.CONCAT("W45-",RIGHT(H92,LEN(H92) - FIND("-",H92)))))</f>
        <v>W45-DIABLO ALLIANCE B</v>
      </c>
      <c r="I96" s="71">
        <v>9</v>
      </c>
      <c r="J96" s="71" t="s">
        <v>887</v>
      </c>
      <c r="K96" s="71" t="s">
        <v>898</v>
      </c>
      <c r="L96" s="71" t="str">
        <f>IF(E96="","",$L$15&amp;"-"&amp;TEXT(E96,"000"))</f>
        <v>14BX-057</v>
      </c>
    </row>
    <row r="97" spans="1:12" ht="14.1" customHeight="1" thickBot="1">
      <c r="D97" s="72"/>
    </row>
    <row r="98" spans="1:12" ht="14.1" customHeight="1" thickTop="1" thickBot="1">
      <c r="A98" s="68" t="s">
        <v>196</v>
      </c>
      <c r="B98" s="82"/>
      <c r="C98" s="82"/>
      <c r="D98" s="82"/>
      <c r="E98" s="82"/>
      <c r="F98" s="82"/>
      <c r="G98" s="83"/>
      <c r="H98" s="82"/>
      <c r="I98" s="82"/>
      <c r="J98" s="82"/>
      <c r="K98" s="82"/>
      <c r="L98" s="82"/>
    </row>
    <row r="99" spans="1:12" s="60" customFormat="1" ht="14.1" customHeight="1">
      <c r="A99" s="61">
        <v>46227</v>
      </c>
    </row>
    <row r="100" spans="1:12" ht="14.1" customHeight="1">
      <c r="B100" s="84" t="s">
        <v>197</v>
      </c>
      <c r="C100" s="60"/>
      <c r="D100" s="60"/>
      <c r="E100" s="60"/>
    </row>
    <row r="101" spans="1:12" ht="14.1" customHeight="1">
      <c r="A101" s="60"/>
      <c r="B101" s="85" t="s">
        <v>928</v>
      </c>
      <c r="C101" s="85" t="s">
        <v>929</v>
      </c>
      <c r="D101" s="85" t="s">
        <v>930</v>
      </c>
      <c r="E101" s="85" t="s">
        <v>931</v>
      </c>
    </row>
    <row r="102" spans="1:12" ht="14.1" customHeight="1">
      <c r="A102" s="60">
        <v>1</v>
      </c>
      <c r="B102" s="86" t="str">
        <f>IF(G86="","ag_M1(W33)",IF(G86&gt;I86,_xlfn.CONCAT("ag_M1(W33)-",RIGHT(F86,LEN(F86) - FIND("-",F86))), _xlfn.CONCAT("ag_M1(W33)-",RIGHT(H86,LEN(H86) - FIND("-",H86)))))</f>
        <v>ag_M1(W33)-OCWPC BLUE</v>
      </c>
      <c r="C102" s="113" t="str">
        <f>IF(G88="","ag_N1(W41)",IF(G88&gt;I88,_xlfn.CONCAT("ag_N1(W41)-",RIGHT(F88,LEN(F88) - FIND("-",F88))), _xlfn.CONCAT("ag_N1(W41)-",RIGHT(H88,LEN(H88) - FIND("-",H88)))))</f>
        <v>ag_N1(W41)-STANFORD BLACK</v>
      </c>
      <c r="D102" s="113" t="str">
        <f>IF(G84="","ag_O1(W25)",IF(G84&gt;I84,_xlfn.CONCAT("ag_O1(W25)-",RIGHT(F84,LEN(F84) - FIND("-",F84))), _xlfn.CONCAT("ag_O1(W25)-",RIGHT(H84,LEN(H84) - FIND("-",H84)))))</f>
        <v>ag_O1(W25)-TSUNAMI</v>
      </c>
      <c r="E102" s="86" t="str">
        <f>IF(G62="","ag_P1(W26)",IF(G62&gt;I62,_xlfn.CONCAT("ag_P1(W26)-",RIGHT(F62,LEN(F62) - FIND("-",F62))), _xlfn.CONCAT("ag_P1(W26)-",RIGHT(H62,LEN(H62) - FIND("-",H62)))))</f>
        <v>ag_P1(W26)-TEMPLE CITY</v>
      </c>
    </row>
    <row r="103" spans="1:12" ht="14.1" customHeight="1">
      <c r="A103" s="60">
        <v>2</v>
      </c>
      <c r="B103" s="113" t="str">
        <f>IF(G47="","ag_M2(W43)",IF(G47&gt;I47,_xlfn.CONCAT("ag_M2(W43)-",RIGHT(F47,LEN(F47) - FIND("-",F47))), _xlfn.CONCAT("ag_M2(W43)-",RIGHT(H47,LEN(H47) - FIND("-",H47)))))</f>
        <v>ag_M2(W43)-LB SHORE RED</v>
      </c>
      <c r="C103" s="86" t="str">
        <f>IF(G45="","ag_N2(W35)",IF(G45&gt;I45,_xlfn.CONCAT("ag_N2(W35)-",RIGHT(F45,LEN(F45) - FIND("-",F45))), _xlfn.CONCAT("ag_N2(W35)-",RIGHT(H45,LEN(H45) - FIND("-",H45)))))</f>
        <v>ag_N2(W35)-MISSION B</v>
      </c>
      <c r="D103" s="113" t="str">
        <f>IF(G66="","ag_O2(W42)",IF(G66&gt;I66,_xlfn.CONCAT("ag_O2(W42)-",RIGHT(F66,LEN(F66) - FIND("-",F66))), _xlfn.CONCAT("ag_O2(W42)-",RIGHT(H66,LEN(H66) - FIND("-",H66)))))</f>
        <v>ag_O2(W42)-ALAMEDA</v>
      </c>
      <c r="E103" s="113" t="str">
        <f>IF(G64="","ag_P2(W34)",IF(G64&gt;I64,_xlfn.CONCAT("ag_P2(W34)-",RIGHT(F64,LEN(F64) - FIND("-",F64))), _xlfn.CONCAT("ag_P2(W34)-",RIGHT(H64,LEN(H64) - FIND("-",H64)))))</f>
        <v>ag_P2(W34)-SD DONS BLACK</v>
      </c>
    </row>
    <row r="104" spans="1:12" ht="14.1" customHeight="1">
      <c r="A104" s="60">
        <v>3</v>
      </c>
      <c r="B104" s="113" t="str">
        <f>IF(G43="","ag_M3(W27)",IF(G43&gt;I43,_xlfn.CONCAT("ag_M3(W27)-",RIGHT(F43,LEN(F43) - FIND("-",F43))), _xlfn.CONCAT("ag_M3(W27)-",RIGHT(H43,LEN(H43) - FIND("-",H43)))))</f>
        <v>ag_M3(W27)-LA JOLLA UNITED B</v>
      </c>
      <c r="C104" s="113" t="str">
        <f>IF(G24="","ag_N3(W28)",IF(G24&gt;I24,_xlfn.CONCAT("ag_N3(W28)-",RIGHT(F24,LEN(F24) - FIND("-",F24))), _xlfn.CONCAT("ag_N3(W28)-",RIGHT(H24,LEN(H24) - FIND("-",H24)))))</f>
        <v>ag_N3(W28)-ROUTE 66</v>
      </c>
      <c r="D104" s="113" t="str">
        <f>IF(G26="","ag_O3(W36)",IF(G26&gt;I26,_xlfn.CONCAT("ag_O3(W36)-",RIGHT(F26,LEN(F26) - FIND("-",F26))), _xlfn.CONCAT("ag_O3(W36)-",RIGHT(H26,LEN(H26) - FIND("-",H26)))))</f>
        <v>ag_O3(W36)-KINGSBURG</v>
      </c>
      <c r="E104" s="113" t="str">
        <f>IF(G28="","ag_P3(W44)",IF(G28&gt;I28,_xlfn.CONCAT("ag_P3(W44)-",RIGHT(F28,LEN(F28) - FIND("-",F28))), _xlfn.CONCAT("ag_P3(W44)-",RIGHT(H28,LEN(H28) - FIND("-",H28)))))</f>
        <v>ag_P3(W44)-SHARKS</v>
      </c>
    </row>
    <row r="106" spans="1:12" ht="14.1" customHeight="1">
      <c r="B106" s="85" t="s">
        <v>941</v>
      </c>
      <c r="C106" s="85" t="s">
        <v>942</v>
      </c>
      <c r="D106" s="85" t="s">
        <v>943</v>
      </c>
      <c r="E106" s="85" t="s">
        <v>944</v>
      </c>
    </row>
    <row r="107" spans="1:12" ht="14.1" customHeight="1">
      <c r="A107" s="60">
        <v>1</v>
      </c>
      <c r="B107" s="113" t="str">
        <f>IF(G32="","ag_R1(W56)",IF(G32&gt;I32,_xlfn.CONCAT("ag_R1(W56)-",RIGHT(F32,LEN(F32) - FIND("-",F32))), _xlfn.CONCAT("ag_R1(W56)-",RIGHT(H32,LEN(H32) - FIND("-",H32)))))</f>
        <v>ag_R1(W56)-PRIDE BLACK</v>
      </c>
      <c r="C107" s="113" t="str">
        <f>IF(G33="","ag_S1(W60)",IF(G33&gt;I33,_xlfn.CONCAT("ag_S1(W60)-",RIGHT(F33,LEN(F33) - FIND("-",F33))), _xlfn.CONCAT("ag_S1(W60)-",RIGHT(H33,LEN(H33) - FIND("-",H33)))))</f>
        <v>ag_S1(W60)-KERN PREMIER</v>
      </c>
      <c r="D107" s="113" t="str">
        <f>IF(G50="","ag_T1(W51)",IF(G50&gt;I50,_xlfn.CONCAT("ag_T1(W51)-",RIGHT(F50,LEN(F50) - FIND("-",F50))), _xlfn.CONCAT("ag_T1(W51)-",RIGHT(H50,LEN(H50) - FIND("-",H50)))))</f>
        <v>ag_T1(W51)-PATRIOT RED</v>
      </c>
      <c r="E107" s="86" t="str">
        <f>IF(G31="","ag_U1(W52)",IF(G31&gt;I31,_xlfn.CONCAT("ag_U1(W52)-",RIGHT(F31,LEN(F31) - FIND("-",F31))), _xlfn.CONCAT("ag_U1(W52)-",RIGHT(H31,LEN(H31) - FIND("-",H31)))))</f>
        <v>ag_U1(W52)-CT PREMIER</v>
      </c>
    </row>
    <row r="108" spans="1:12" ht="14.1" customHeight="1">
      <c r="A108" s="60">
        <v>2</v>
      </c>
      <c r="B108" s="113" t="str">
        <f>IF(G74="","ag_R2(W58)",IF(G74&gt;I74,_xlfn.CONCAT("ag_R2(W58)-",RIGHT(F74,LEN(F74) - FIND("-",F74))), _xlfn.CONCAT("ag_R2(W58)-",RIGHT(H74,LEN(H74) - FIND("-",H74)))))</f>
        <v>ag_R2(W58)-ECA</v>
      </c>
      <c r="C108" s="113" t="str">
        <f>IF(G73="","ag_S2(W54)",IF(G73&gt;I73,_xlfn.CONCAT("ag_S2(W54)-",RIGHT(F73,LEN(F73) - FIND("-",F73))), _xlfn.CONCAT("ag_S2(W54)-",RIGHT(H73,LEN(H73) - FIND("-",H73)))))</f>
        <v>ag_S2(W54)-ROSE BOWL RED</v>
      </c>
      <c r="D108" s="86" t="str">
        <f>IF(G52="","ag_T2(W59)",IF(G52&gt;I52,_xlfn.CONCAT("ag_T2(W59)-",RIGHT(F52,LEN(F52) - FIND("-",F52))), _xlfn.CONCAT("ag_T2(W59)-",RIGHT(H52,LEN(H52) - FIND("-",H52)))))</f>
        <v>ag_T2(W59)-LAMORINDA B</v>
      </c>
      <c r="E108" s="86" t="str">
        <f>IF(G51="","ag_U2(W55)",IF(G51&gt;I51,_xlfn.CONCAT("ag_U2(W55)-",RIGHT(F51,LEN(F51) - FIND("-",F51))), _xlfn.CONCAT("ag_U2(W55)-",RIGHT(H51,LEN(H51) - FIND("-",H51)))))</f>
        <v>ag_U2(W55)-ORWP BLACK</v>
      </c>
    </row>
    <row r="109" spans="1:12" ht="14.1" customHeight="1">
      <c r="A109" s="60">
        <v>3</v>
      </c>
      <c r="B109" s="113" t="str">
        <f>IF(G94="","ag_R3(W49)",IF(G94&gt;I94,_xlfn.CONCAT("ag_R3(W49)-",RIGHT(F94,LEN(F94) - FIND("-",F94))), _xlfn.CONCAT("ag_R3(W49)-",RIGHT(H94,LEN(H94) - FIND("-",H94)))))</f>
        <v>ag_R3(W49)-VANGUARD SILVER</v>
      </c>
      <c r="C109" s="113" t="str">
        <f>IF(G72="","ag_S3(W50)",IF(G72&gt;I72,_xlfn.CONCAT("ag_S3(W50)-",RIGHT(F72,LEN(F72) - FIND("-",F72))), _xlfn.CONCAT("ag_S3(W50)-",RIGHT(H72,LEN(H72) - FIND("-",H72)))))</f>
        <v>ag_S3(W50)-TITANS GOLD</v>
      </c>
      <c r="D109" s="113" t="str">
        <f>IF(G95="","ag_T3(W53)",IF(G95&gt;I95,_xlfn.CONCAT("ag_T3(W53)-",RIGHT(F95,LEN(F95) - FIND("-",F95))), _xlfn.CONCAT("ag_T3(W53)-",RIGHT(H95,LEN(H95) - FIND("-",H95)))))</f>
        <v>ag_T3(W53)-HIELAND</v>
      </c>
      <c r="E109" s="113" t="str">
        <f>IF(G96="","ag_U3(W57)",IF(G96&gt;I96,_xlfn.CONCAT("ag_U3(W57)-",RIGHT(F96,LEN(F96) - FIND("-",F96))), _xlfn.CONCAT("ag_U3(W57)-",RIGHT(H96,LEN(H96) - FIND("-",H96)))))</f>
        <v>ag_U3(W57)-FOOTHILL RED</v>
      </c>
    </row>
    <row r="111" spans="1:12" ht="14.1" customHeight="1">
      <c r="A111" s="60"/>
      <c r="B111" s="84" t="s">
        <v>408</v>
      </c>
      <c r="C111" s="60"/>
      <c r="D111" s="60"/>
      <c r="E111" s="60"/>
    </row>
    <row r="112" spans="1:12" ht="14.1" customHeight="1">
      <c r="A112" s="60"/>
      <c r="B112" s="88" t="s">
        <v>953</v>
      </c>
      <c r="C112" s="88" t="s">
        <v>954</v>
      </c>
      <c r="D112" s="88" t="s">
        <v>955</v>
      </c>
      <c r="E112" s="88" t="s">
        <v>956</v>
      </c>
    </row>
    <row r="113" spans="1:14" ht="14.1" customHeight="1">
      <c r="A113" s="60">
        <v>1</v>
      </c>
      <c r="B113" s="113" t="str">
        <f>IF(G95="","bz_M1(L53)",IF(G95&lt;I95,_xlfn.CONCAT("bz_M1(L53)-",RIGHT(F95,LEN(F95) - FIND("-",F95))), _xlfn.CONCAT("bz_M1(L53)-",RIGHT(H95,LEN(H95) - FIND("-",H95)))))</f>
        <v>bz_M1(L53)-CAPITAL</v>
      </c>
      <c r="C113" s="113" t="str">
        <f>IF(G96="","bz_N1(L57)",IF(G96&lt;I96,_xlfn.CONCAT("bz_N1(L57)-",RIGHT(F96,LEN(F96) - FIND("-",F96))), _xlfn.CONCAT("bz_N1(L57)-",RIGHT(H96,LEN(H96) - FIND("-",H96)))))</f>
        <v>bz_N1(L57)-DIABLO ALLIANCE B</v>
      </c>
      <c r="D113" s="113" t="str">
        <f>IF(G94="","bz_O1(L49)",IF(G94&lt;I94,_xlfn.CONCAT("bz_O1(L49)-",RIGHT(F94,LEN(F94) - FIND("-",F94))), _xlfn.CONCAT("bz_O1(L49)-",RIGHT(H94,LEN(H94) - FIND("-",H94)))))</f>
        <v>bz_O1(L49)-VEGAS RENEGADES</v>
      </c>
      <c r="E113" s="113" t="str">
        <f>IF(G72="","bz_P1(L50)",IF(G72&lt;I72,_xlfn.CONCAT("bz_P1(L50)-",RIGHT(F72,LEN(F72) - FIND("-",F72))), _xlfn.CONCAT("bz_P1(L50)-",RIGHT(H72,LEN(H72) - FIND("-",H72)))))</f>
        <v>bz_P1(L50)-TROJAN CARDINAL</v>
      </c>
    </row>
    <row r="114" spans="1:14" ht="14.1" customHeight="1">
      <c r="A114" s="60">
        <v>2</v>
      </c>
      <c r="B114" s="86" t="str">
        <f>IF(G52="","bz_M2(L59)",IF(G52&lt;I52,_xlfn.CONCAT("bz_M2(L59)-",RIGHT(F52,LEN(F52) - FIND("-",F52))), _xlfn.CONCAT("bz_M2(L59)-",RIGHT(H52,LEN(H52) - FIND("-",H52)))))</f>
        <v>bz_M2(L59)-CENTRAL VALLEY UNITED</v>
      </c>
      <c r="C114" s="86" t="str">
        <f>IF(G51="","bz_N2(L55)",IF(G51&lt;I51,_xlfn.CONCAT("bz_N2(L55)-",RIGHT(F51,LEN(F51) - FIND("-",F51))), _xlfn.CONCAT("bz_N2(L55)-",RIGHT(H51,LEN(H51) - FIND("-",H51)))))</f>
        <v>bz_N2(L55)-CARLSBAD</v>
      </c>
      <c r="D114" s="113" t="str">
        <f>IF(G74="","bz_O2(L58)",IF(G74&lt;I74,_xlfn.CONCAT("bz_O2(L58)-",RIGHT(F74,LEN(F74) - FIND("-",F74))), _xlfn.CONCAT("bz_O2(L58)-",RIGHT(H74,LEN(H74) - FIND("-",H74)))))</f>
        <v>bz_O2(L58)-SAN JOSE EXPRESS BLUE</v>
      </c>
      <c r="E114" s="113" t="str">
        <f>IF(G73="","bz_P2(L54)",IF(G73&lt;I73,_xlfn.CONCAT("bz_P2(L54)-",RIGHT(F73,LEN(F73) - FIND("-",F73))), _xlfn.CONCAT("bz_P2(L54)-",RIGHT(H73,LEN(H73) - FIND("-",H73)))))</f>
        <v>bz_P2(L54)-SD SHORES GOLD</v>
      </c>
    </row>
    <row r="115" spans="1:14" ht="14.1" customHeight="1">
      <c r="A115" s="60">
        <v>3</v>
      </c>
      <c r="B115" s="86" t="str">
        <f>IF(G50="","bz_M3(L51)",IF(G50&lt;I50,_xlfn.CONCAT("bz_M3(L51)-",RIGHT(F50,LEN(F50) - FIND("-",F50))), _xlfn.CONCAT("bz_M3(L51)-",RIGHT(H50,LEN(H50) - FIND("-",H50)))))</f>
        <v>bz_M3(L51)-PRAETORIAN</v>
      </c>
      <c r="C115" s="86" t="str">
        <f>IF(G31="","bz_N3(L52)",IF(G31&lt;I31,_xlfn.CONCAT("bz_N3(L52)-",RIGHT(F31,LEN(F31) - FIND("-",F31))), _xlfn.CONCAT("bz_N3(L52)-",RIGHT(H31,LEN(H31) - FIND("-",H31)))))</f>
        <v>bz_N3(L52)-TEAM VEGAS RED</v>
      </c>
      <c r="D115" s="113" t="str">
        <f>IF(G32="","bz_O3(L56)",IF(G32&lt;I32,_xlfn.CONCAT("bz_O3(L56)-",RIGHT(F32,LEN(F32) - FIND("-",F32))), _xlfn.CONCAT("bz_O3(L56)-",RIGHT(H32,LEN(H32) - FIND("-",H32)))))</f>
        <v>bz_O3(L56)-680 BLUE</v>
      </c>
      <c r="E115" s="113" t="str">
        <f>IF(G33="","bz_P3(L60)",IF(G33&lt;I33,_xlfn.CONCAT("bz_P3(L60)-",RIGHT(F33,LEN(F33) - FIND("-",F33))), _xlfn.CONCAT("bz_P3(L60)-",RIGHT(H33,LEN(H33) - FIND("-",H33)))))</f>
        <v>bz_P3(L60)-CLOVIS RED</v>
      </c>
    </row>
    <row r="116" spans="1:14" ht="14.1" customHeight="1">
      <c r="B116" s="60"/>
      <c r="C116" s="60"/>
      <c r="D116" s="60"/>
      <c r="E116" s="60"/>
    </row>
    <row r="117" spans="1:14" ht="14.1" customHeight="1">
      <c r="B117" s="88" t="s">
        <v>966</v>
      </c>
      <c r="C117" s="88" t="s">
        <v>967</v>
      </c>
      <c r="D117" s="88" t="s">
        <v>968</v>
      </c>
      <c r="E117" s="88" t="s">
        <v>969</v>
      </c>
    </row>
    <row r="118" spans="1:14" ht="14.1" customHeight="1">
      <c r="A118" s="60">
        <v>1</v>
      </c>
      <c r="B118" s="113" t="str">
        <f>IF(G29="","bz_R1(L48)",IF(G29&lt;I29,_xlfn.CONCAT("bz_R1(L48)-",RIGHT(F29,LEN(F29) - FIND("-",F29))), _xlfn.CONCAT("bz_R1(L48)-",RIGHT(H29,LEN(H29) - FIND("-",H29)))))</f>
        <v>bz_R1(L48)-LOKAHI</v>
      </c>
      <c r="C118" s="113" t="str">
        <f>IF(G27="","bz_S1(L40)",IF(G27&lt;I27,_xlfn.CONCAT("bz_S1(L40)-",RIGHT(F27,LEN(F27) - FIND("-",F27))), _xlfn.CONCAT("bz_S1(L40)-",RIGHT(H27,LEN(H27) - FIND("-",H27)))))</f>
        <v>bz_S1(L40)-NEWPORT BEACH WHITE</v>
      </c>
      <c r="D118" s="113" t="str">
        <f>IF(G25="","bz_T1(L32)",IF(G25&lt;I25,_xlfn.CONCAT("bz_T1(L32)-",RIGHT(F25,LEN(F25) - FIND("-",F25))), _xlfn.CONCAT("bz_T1(L32)-",RIGHT(H25,LEN(H25) - FIND("-",H25)))))</f>
        <v>bz_T1(L32)-BROOKLYN HUSTLE</v>
      </c>
      <c r="E118" s="86" t="str">
        <f>IF(G44="","bz_U1(L31)",IF(G44&lt;I44,_xlfn.CONCAT("bz_U1(L31)-",RIGHT(F44,LEN(F44) - FIND("-",F44))), _xlfn.CONCAT("bz_U1(L31)-",RIGHT(H44,LEN(H44) - FIND("-",H44)))))</f>
        <v>bz_U1(L31)-680 WHITE</v>
      </c>
    </row>
    <row r="119" spans="1:14" ht="14.1" customHeight="1">
      <c r="A119" s="60">
        <v>2</v>
      </c>
      <c r="B119" s="113" t="str">
        <f>IF(G65="","bz_R2(L38)",IF(G65&lt;I65,_xlfn.CONCAT("bz_R2(L38)-",RIGHT(F65,LEN(F65) - FIND("-",F65))), _xlfn.CONCAT("bz_R2(L38)-",RIGHT(H65,LEN(H65) - FIND("-",H65)))))</f>
        <v>bz_R2(L38)-T HILLS</v>
      </c>
      <c r="C119" s="113" t="str">
        <f>IF(G70="","bz_S2(L46)",IF(G70&lt;I70,_xlfn.CONCAT("bz_S2(L46)-",RIGHT(F70,LEN(F70) - FIND("-",F70))), _xlfn.CONCAT("bz_S2(L46)-",RIGHT(H70,LEN(H70) - FIND("-",H70)))))</f>
        <v>bz_S2(L46)-RAIN CITY</v>
      </c>
      <c r="D119" s="86" t="str">
        <f>IF(G46="","bz_T2(L39)",IF(G46&lt;I46,_xlfn.CONCAT("bz_T2(L39)-",RIGHT(F46,LEN(F46) - FIND("-",F46))), _xlfn.CONCAT("bz_T2(L39)-",RIGHT(H46,LEN(H46) - FIND("-",H46)))))</f>
        <v>bz_T2(L39)-THIRD COAST</v>
      </c>
      <c r="E119" s="86" t="str">
        <f>IF(G48="","bz_U2(L47)",IF(G48&lt;I48,_xlfn.CONCAT("bz_U2(L47)-",RIGHT(F48,LEN(F48) - FIND("-",F48))), _xlfn.CONCAT("bz_U2(L47)-",RIGHT(H48,LEN(H48) - FIND("-",H48)))))</f>
        <v>bz_U2(L47)-INNIS ARDEN</v>
      </c>
    </row>
    <row r="120" spans="1:14" ht="14.1" customHeight="1">
      <c r="A120" s="60">
        <v>3</v>
      </c>
      <c r="B120" s="86" t="str">
        <f>IF(G63="","bz_R3(L30)",IF(G63&lt;I63,_xlfn.CONCAT("bz_R3(L30)-",RIGHT(F63,LEN(F63) - FIND("-",F63))), _xlfn.CONCAT("bz_R3(L30)-",RIGHT(H63,LEN(H63) - FIND("-",H63)))))</f>
        <v>bz_R3(L30)-SAN JOSE FOUNDATION BLACK</v>
      </c>
      <c r="C120" s="113" t="str">
        <f>IF(G85="","bz_S3(L29)",IF(G85&lt;I85,_xlfn.CONCAT("bz_S3(L29)-",RIGHT(F85,LEN(F85) - FIND("-",F85))), _xlfn.CONCAT("bz_S3(L29)-",RIGHT(H85,LEN(H85) - FIND("-",H85)))))</f>
        <v>bz_S3(L29)-HONOLULU</v>
      </c>
      <c r="D120" s="113" t="str">
        <f>IF(G92="","bz_T3(L45)",IF(G92&lt;I92,_xlfn.CONCAT("bz_T3(L45)-",RIGHT(F92,LEN(F92) - FIND("-",F92))), _xlfn.CONCAT("bz_T3(L45)-",RIGHT(H92,LEN(H92) - FIND("-",H92)))))</f>
        <v>bz_T3(L45)-BAINBRIDGE</v>
      </c>
      <c r="E120" s="86" t="str">
        <f>IF(G87="","bz_U3(L37)",IF(G87&lt;I87,_xlfn.CONCAT("bz_U3(L37)-",RIGHT(F87,LEN(F87) - FIND("-",F87))), _xlfn.CONCAT("bz_U3(L37)-",RIGHT(H87,LEN(H87) - FIND("-",H87)))))</f>
        <v>bz_U3(L37)-WCAC UNITED</v>
      </c>
    </row>
    <row r="121" spans="1:14" ht="14.1" customHeight="1" thickBot="1">
      <c r="B121" s="60"/>
      <c r="C121" s="60"/>
      <c r="D121" s="60"/>
      <c r="E121" s="60"/>
      <c r="F121" s="60"/>
      <c r="G121" s="64"/>
      <c r="H121" s="60"/>
      <c r="I121" s="60"/>
      <c r="J121" s="60"/>
      <c r="K121" s="60"/>
      <c r="L121" s="60"/>
    </row>
    <row r="122" spans="1:14" ht="14.1" customHeight="1" thickBot="1">
      <c r="B122" s="60"/>
      <c r="C122" s="60"/>
      <c r="D122" s="68" t="str">
        <f>'CHICLETS MASTER S2'!$AC$27</f>
        <v>OCEAN VIEW HS 1</v>
      </c>
      <c r="E122" s="60"/>
      <c r="F122" s="60"/>
      <c r="G122" s="64"/>
      <c r="H122" s="60"/>
      <c r="I122" s="60"/>
      <c r="J122" s="60"/>
      <c r="K122" s="60"/>
      <c r="L122" s="60"/>
    </row>
    <row r="123" spans="1:14" ht="14.1" customHeight="1">
      <c r="A123" s="108" t="s">
        <v>124</v>
      </c>
      <c r="B123" s="108" t="s">
        <v>125</v>
      </c>
      <c r="C123" s="108" t="s">
        <v>126</v>
      </c>
      <c r="D123" s="108" t="s">
        <v>127</v>
      </c>
      <c r="E123" s="108" t="s">
        <v>128</v>
      </c>
      <c r="F123" s="108" t="s">
        <v>129</v>
      </c>
      <c r="G123" s="108" t="s">
        <v>130</v>
      </c>
      <c r="H123" s="108" t="s">
        <v>131</v>
      </c>
      <c r="I123" s="108" t="s">
        <v>130</v>
      </c>
      <c r="J123" s="108" t="s">
        <v>132</v>
      </c>
      <c r="K123" s="108" t="s">
        <v>133</v>
      </c>
      <c r="L123" s="108" t="s">
        <v>134</v>
      </c>
    </row>
    <row r="124" spans="1:14" ht="14.1" customHeight="1">
      <c r="A124" s="89">
        <f t="shared" ref="A124:A138" si="14">$A$99</f>
        <v>46227</v>
      </c>
      <c r="B124" s="70">
        <f>'CHICLETS MASTER S2'!X28</f>
        <v>0.29166666666666669</v>
      </c>
      <c r="C124" s="71" t="s">
        <v>218</v>
      </c>
      <c r="D124" s="71" t="str">
        <f t="shared" ref="D124:D134" si="15">$D$122</f>
        <v>OCEAN VIEW HS 1</v>
      </c>
      <c r="E124" s="71">
        <v>61</v>
      </c>
      <c r="F124" s="90" t="str">
        <f>B103</f>
        <v>ag_M2(W43)-LB SHORE RED</v>
      </c>
      <c r="G124" s="90">
        <v>10</v>
      </c>
      <c r="H124" s="90" t="str">
        <f>B104</f>
        <v>ag_M3(W27)-LA JOLLA UNITED B</v>
      </c>
      <c r="I124" s="90">
        <v>4</v>
      </c>
      <c r="J124" s="90"/>
      <c r="K124" s="90"/>
      <c r="L124" s="90" t="str">
        <f t="shared" ref="L124:L138" si="16">IF(E124="","",$L$15&amp;"-"&amp;TEXT(E124,"000"))</f>
        <v>14BX-061</v>
      </c>
      <c r="N124" s="62" t="str">
        <f t="shared" ref="N124:N134" si="17">$K$270&amp;C124</f>
        <v>ag_Group</v>
      </c>
    </row>
    <row r="125" spans="1:14" ht="14.1" customHeight="1">
      <c r="A125" s="89">
        <f t="shared" si="14"/>
        <v>46227</v>
      </c>
      <c r="B125" s="70">
        <f>'CHICLETS MASTER S2'!X29</f>
        <v>0.3263888888888889</v>
      </c>
      <c r="C125" s="71" t="s">
        <v>218</v>
      </c>
      <c r="D125" s="71" t="str">
        <f t="shared" si="15"/>
        <v>OCEAN VIEW HS 1</v>
      </c>
      <c r="E125" s="71">
        <v>65</v>
      </c>
      <c r="F125" s="90" t="str">
        <f>C103</f>
        <v>ag_N2(W35)-MISSION B</v>
      </c>
      <c r="G125" s="90">
        <v>11</v>
      </c>
      <c r="H125" s="90" t="str">
        <f>C104</f>
        <v>ag_N3(W28)-ROUTE 66</v>
      </c>
      <c r="I125" s="90">
        <v>10</v>
      </c>
      <c r="J125" s="90"/>
      <c r="K125" s="90"/>
      <c r="L125" s="90" t="str">
        <f t="shared" si="16"/>
        <v>14BX-065</v>
      </c>
      <c r="N125" s="62" t="str">
        <f t="shared" si="17"/>
        <v>ag_Group</v>
      </c>
    </row>
    <row r="126" spans="1:14" ht="14.1" customHeight="1">
      <c r="A126" s="89">
        <f t="shared" si="14"/>
        <v>46227</v>
      </c>
      <c r="B126" s="70">
        <f>'CHICLETS MASTER S2'!X30</f>
        <v>0.36111111111111099</v>
      </c>
      <c r="C126" s="71" t="s">
        <v>218</v>
      </c>
      <c r="D126" s="71" t="str">
        <f t="shared" si="15"/>
        <v>OCEAN VIEW HS 1</v>
      </c>
      <c r="E126" s="71">
        <v>69</v>
      </c>
      <c r="F126" s="90" t="str">
        <f>C107</f>
        <v>ag_S1(W60)-KERN PREMIER</v>
      </c>
      <c r="G126" s="90">
        <v>13</v>
      </c>
      <c r="H126" s="90" t="str">
        <f>C108</f>
        <v>ag_S2(W54)-ROSE BOWL RED</v>
      </c>
      <c r="I126" s="90">
        <v>8</v>
      </c>
      <c r="J126" s="90"/>
      <c r="K126" s="90"/>
      <c r="L126" s="90" t="str">
        <f t="shared" si="16"/>
        <v>14BX-069</v>
      </c>
      <c r="N126" s="62" t="str">
        <f t="shared" si="17"/>
        <v>ag_Group</v>
      </c>
    </row>
    <row r="127" spans="1:14" ht="14.1" customHeight="1">
      <c r="A127" s="89">
        <f t="shared" si="14"/>
        <v>46227</v>
      </c>
      <c r="B127" s="70">
        <f>'CHICLETS MASTER S2'!X31</f>
        <v>0.39583333333333398</v>
      </c>
      <c r="C127" s="71" t="s">
        <v>218</v>
      </c>
      <c r="D127" s="71" t="str">
        <f t="shared" si="15"/>
        <v>OCEAN VIEW HS 1</v>
      </c>
      <c r="E127" s="71">
        <v>73</v>
      </c>
      <c r="F127" s="90" t="str">
        <f>B107</f>
        <v>ag_R1(W56)-PRIDE BLACK</v>
      </c>
      <c r="G127" s="90">
        <v>7</v>
      </c>
      <c r="H127" s="90" t="str">
        <f>B108</f>
        <v>ag_R2(W58)-ECA</v>
      </c>
      <c r="I127" s="90">
        <v>6</v>
      </c>
      <c r="J127" s="90"/>
      <c r="K127" s="90"/>
      <c r="L127" s="90" t="str">
        <f t="shared" si="16"/>
        <v>14BX-073</v>
      </c>
      <c r="N127" s="62" t="str">
        <f t="shared" si="17"/>
        <v>ag_Group</v>
      </c>
    </row>
    <row r="128" spans="1:14" ht="14.1" customHeight="1">
      <c r="A128" s="89">
        <f t="shared" si="14"/>
        <v>46227</v>
      </c>
      <c r="B128" s="70">
        <f>'CHICLETS MASTER S2'!X32</f>
        <v>0.43055555555555602</v>
      </c>
      <c r="C128" s="71" t="s">
        <v>218</v>
      </c>
      <c r="D128" s="71" t="str">
        <f t="shared" si="15"/>
        <v>OCEAN VIEW HS 1</v>
      </c>
      <c r="E128" s="71">
        <v>77</v>
      </c>
      <c r="F128" s="90" t="str">
        <f>B102</f>
        <v>ag_M1(W33)-OCWPC BLUE</v>
      </c>
      <c r="G128" s="90">
        <v>8.5</v>
      </c>
      <c r="H128" s="90" t="str">
        <f>B104</f>
        <v>ag_M3(W27)-LA JOLLA UNITED B</v>
      </c>
      <c r="I128" s="90">
        <v>8.4</v>
      </c>
      <c r="J128" s="90"/>
      <c r="K128" s="90"/>
      <c r="L128" s="90" t="str">
        <f t="shared" si="16"/>
        <v>14BX-077</v>
      </c>
      <c r="N128" s="62" t="str">
        <f t="shared" si="17"/>
        <v>ag_Group</v>
      </c>
    </row>
    <row r="129" spans="1:14" ht="14.1" customHeight="1">
      <c r="A129" s="89">
        <f t="shared" si="14"/>
        <v>46227</v>
      </c>
      <c r="B129" s="70">
        <f>'CHICLETS MASTER S2'!X33</f>
        <v>0.46527777777777801</v>
      </c>
      <c r="C129" s="71" t="s">
        <v>218</v>
      </c>
      <c r="D129" s="71" t="str">
        <f t="shared" si="15"/>
        <v>OCEAN VIEW HS 1</v>
      </c>
      <c r="E129" s="71">
        <v>81</v>
      </c>
      <c r="F129" s="90" t="str">
        <f>C102</f>
        <v>ag_N1(W41)-STANFORD BLACK</v>
      </c>
      <c r="G129" s="90">
        <v>7</v>
      </c>
      <c r="H129" s="90" t="str">
        <f>C104</f>
        <v>ag_N3(W28)-ROUTE 66</v>
      </c>
      <c r="I129" s="90">
        <v>12</v>
      </c>
      <c r="J129" s="90"/>
      <c r="K129" s="90"/>
      <c r="L129" s="90" t="str">
        <f t="shared" si="16"/>
        <v>14BX-081</v>
      </c>
      <c r="N129" s="62" t="str">
        <f t="shared" si="17"/>
        <v>ag_Group</v>
      </c>
    </row>
    <row r="130" spans="1:14" ht="14.1" customHeight="1">
      <c r="A130" s="89">
        <f t="shared" si="14"/>
        <v>46227</v>
      </c>
      <c r="B130" s="70">
        <f>'CHICLETS MASTER S2'!X34</f>
        <v>0.5</v>
      </c>
      <c r="C130" s="71" t="s">
        <v>218</v>
      </c>
      <c r="D130" s="71" t="str">
        <f t="shared" si="15"/>
        <v>OCEAN VIEW HS 1</v>
      </c>
      <c r="E130" s="71">
        <v>85</v>
      </c>
      <c r="F130" s="90" t="str">
        <f>C107</f>
        <v>ag_S1(W60)-KERN PREMIER</v>
      </c>
      <c r="G130" s="90">
        <v>14</v>
      </c>
      <c r="H130" s="90" t="str">
        <f>C109</f>
        <v>ag_S3(W50)-TITANS GOLD</v>
      </c>
      <c r="I130" s="90">
        <v>10</v>
      </c>
      <c r="J130" s="90"/>
      <c r="K130" s="90"/>
      <c r="L130" s="90" t="str">
        <f t="shared" si="16"/>
        <v>14BX-085</v>
      </c>
      <c r="N130" s="62" t="str">
        <f t="shared" si="17"/>
        <v>ag_Group</v>
      </c>
    </row>
    <row r="131" spans="1:14" ht="14.1" customHeight="1">
      <c r="A131" s="89">
        <f t="shared" si="14"/>
        <v>46227</v>
      </c>
      <c r="B131" s="70">
        <f>'CHICLETS MASTER S2'!X35</f>
        <v>0.53472222222222199</v>
      </c>
      <c r="C131" s="71" t="s">
        <v>218</v>
      </c>
      <c r="D131" s="71" t="str">
        <f t="shared" si="15"/>
        <v>OCEAN VIEW HS 1</v>
      </c>
      <c r="E131" s="71">
        <v>89</v>
      </c>
      <c r="F131" s="90" t="str">
        <f>B107</f>
        <v>ag_R1(W56)-PRIDE BLACK</v>
      </c>
      <c r="G131" s="90">
        <v>7</v>
      </c>
      <c r="H131" s="90" t="str">
        <f>B109</f>
        <v>ag_R3(W49)-VANGUARD SILVER</v>
      </c>
      <c r="I131" s="90">
        <v>4</v>
      </c>
      <c r="J131" s="90"/>
      <c r="K131" s="90"/>
      <c r="L131" s="90" t="str">
        <f t="shared" si="16"/>
        <v>14BX-089</v>
      </c>
      <c r="N131" s="62" t="str">
        <f t="shared" si="17"/>
        <v>ag_Group</v>
      </c>
    </row>
    <row r="132" spans="1:14" ht="14.1" customHeight="1">
      <c r="A132" s="89">
        <f t="shared" si="14"/>
        <v>46227</v>
      </c>
      <c r="B132" s="70">
        <f>'CHICLETS MASTER S2'!X36</f>
        <v>0.56944444444444497</v>
      </c>
      <c r="C132" s="71" t="s">
        <v>218</v>
      </c>
      <c r="D132" s="71" t="str">
        <f t="shared" si="15"/>
        <v>OCEAN VIEW HS 1</v>
      </c>
      <c r="E132" s="71">
        <v>93</v>
      </c>
      <c r="F132" s="90" t="str">
        <f>B102</f>
        <v>ag_M1(W33)-OCWPC BLUE</v>
      </c>
      <c r="G132" s="90">
        <v>11</v>
      </c>
      <c r="H132" s="90" t="str">
        <f>B103</f>
        <v>ag_M2(W43)-LB SHORE RED</v>
      </c>
      <c r="I132" s="90">
        <v>10</v>
      </c>
      <c r="J132" s="90"/>
      <c r="K132" s="90"/>
      <c r="L132" s="90" t="str">
        <f t="shared" si="16"/>
        <v>14BX-093</v>
      </c>
      <c r="N132" s="62" t="str">
        <f t="shared" si="17"/>
        <v>ag_Group</v>
      </c>
    </row>
    <row r="133" spans="1:14" ht="14.1" customHeight="1">
      <c r="A133" s="89">
        <f t="shared" si="14"/>
        <v>46227</v>
      </c>
      <c r="B133" s="70">
        <f>'CHICLETS MASTER S2'!X37</f>
        <v>0.60416666666666696</v>
      </c>
      <c r="C133" s="71" t="s">
        <v>218</v>
      </c>
      <c r="D133" s="71" t="str">
        <f t="shared" si="15"/>
        <v>OCEAN VIEW HS 1</v>
      </c>
      <c r="E133" s="71">
        <v>97</v>
      </c>
      <c r="F133" s="90" t="str">
        <f>C102</f>
        <v>ag_N1(W41)-STANFORD BLACK</v>
      </c>
      <c r="G133" s="90">
        <v>9</v>
      </c>
      <c r="H133" s="90" t="str">
        <f>C103</f>
        <v>ag_N2(W35)-MISSION B</v>
      </c>
      <c r="I133" s="90">
        <v>15</v>
      </c>
      <c r="J133" s="90"/>
      <c r="K133" s="90"/>
      <c r="L133" s="90" t="str">
        <f t="shared" si="16"/>
        <v>14BX-097</v>
      </c>
      <c r="N133" s="62" t="str">
        <f t="shared" si="17"/>
        <v>ag_Group</v>
      </c>
    </row>
    <row r="134" spans="1:14" ht="14.1" customHeight="1">
      <c r="A134" s="89">
        <f t="shared" si="14"/>
        <v>46227</v>
      </c>
      <c r="B134" s="70">
        <f>'CHICLETS MASTER S2'!X38</f>
        <v>0.63888888888888895</v>
      </c>
      <c r="C134" s="71" t="s">
        <v>218</v>
      </c>
      <c r="D134" s="71" t="str">
        <f t="shared" si="15"/>
        <v>OCEAN VIEW HS 1</v>
      </c>
      <c r="E134" s="71">
        <v>101</v>
      </c>
      <c r="F134" s="90" t="str">
        <f>C108</f>
        <v>ag_S2(W54)-ROSE BOWL RED</v>
      </c>
      <c r="G134" s="90">
        <v>8</v>
      </c>
      <c r="H134" s="90" t="str">
        <f>C109</f>
        <v>ag_S3(W50)-TITANS GOLD</v>
      </c>
      <c r="I134" s="90">
        <v>7</v>
      </c>
      <c r="J134" s="90"/>
      <c r="K134" s="90"/>
      <c r="L134" s="90" t="str">
        <f t="shared" si="16"/>
        <v>14BX-101</v>
      </c>
      <c r="N134" s="62" t="str">
        <f t="shared" si="17"/>
        <v>ag_Group</v>
      </c>
    </row>
    <row r="135" spans="1:14" ht="14.1" customHeight="1" thickBot="1">
      <c r="B135" s="60"/>
      <c r="C135" s="60"/>
      <c r="D135" s="60"/>
      <c r="E135" s="60"/>
      <c r="F135" s="60"/>
      <c r="G135" s="64"/>
      <c r="H135" s="60"/>
      <c r="I135" s="60"/>
      <c r="J135" s="60"/>
      <c r="K135" s="60"/>
      <c r="L135" s="60"/>
    </row>
    <row r="136" spans="1:14" ht="14.1" customHeight="1" thickBot="1">
      <c r="B136" s="60"/>
      <c r="C136" s="60"/>
      <c r="D136" s="68" t="str">
        <f>'CHICLETS MASTER S2'!$AD$27</f>
        <v>NEWPORT HARBOR HS</v>
      </c>
      <c r="E136" s="60"/>
      <c r="F136" s="60"/>
      <c r="G136" s="64"/>
      <c r="H136" s="60"/>
      <c r="I136" s="60"/>
      <c r="J136" s="60"/>
      <c r="K136" s="60"/>
      <c r="L136" s="60"/>
    </row>
    <row r="137" spans="1:14" ht="14.1" customHeight="1">
      <c r="A137" s="108" t="s">
        <v>124</v>
      </c>
      <c r="B137" s="108" t="s">
        <v>125</v>
      </c>
      <c r="C137" s="108" t="s">
        <v>126</v>
      </c>
      <c r="D137" s="108" t="s">
        <v>127</v>
      </c>
      <c r="E137" s="108" t="s">
        <v>128</v>
      </c>
      <c r="F137" s="108" t="s">
        <v>129</v>
      </c>
      <c r="G137" s="108" t="s">
        <v>130</v>
      </c>
      <c r="H137" s="108" t="s">
        <v>131</v>
      </c>
      <c r="I137" s="108" t="s">
        <v>130</v>
      </c>
      <c r="J137" s="108" t="s">
        <v>132</v>
      </c>
      <c r="K137" s="108" t="s">
        <v>133</v>
      </c>
      <c r="L137" s="108" t="s">
        <v>134</v>
      </c>
    </row>
    <row r="138" spans="1:14" ht="14.1" customHeight="1">
      <c r="A138" s="89">
        <f t="shared" si="14"/>
        <v>46227</v>
      </c>
      <c r="B138" s="70">
        <f>'CHICLETS MASTER S2'!X39</f>
        <v>0.67361111111111105</v>
      </c>
      <c r="C138" s="71" t="s">
        <v>218</v>
      </c>
      <c r="D138" s="71" t="str">
        <f>$D$136</f>
        <v>NEWPORT HARBOR HS</v>
      </c>
      <c r="E138" s="71">
        <v>105</v>
      </c>
      <c r="F138" s="90" t="str">
        <f>B108</f>
        <v>ag_R2(W58)-ECA</v>
      </c>
      <c r="G138" s="90">
        <v>9</v>
      </c>
      <c r="H138" s="90" t="str">
        <f>B109</f>
        <v>ag_R3(W49)-VANGUARD SILVER</v>
      </c>
      <c r="I138" s="90">
        <v>5</v>
      </c>
      <c r="J138" s="90"/>
      <c r="K138" s="90"/>
      <c r="L138" s="90" t="str">
        <f t="shared" si="16"/>
        <v>14BX-105</v>
      </c>
      <c r="N138" s="62" t="str">
        <f>$K$270&amp;C138</f>
        <v>ag_Group</v>
      </c>
    </row>
    <row r="139" spans="1:14" ht="14.1" customHeight="1">
      <c r="A139" s="75"/>
      <c r="B139" s="60" t="s">
        <v>139</v>
      </c>
      <c r="C139" s="60"/>
      <c r="D139" s="60"/>
      <c r="E139" s="60"/>
      <c r="F139" s="60"/>
      <c r="G139" s="64"/>
      <c r="H139" s="60"/>
      <c r="I139" s="60"/>
      <c r="J139" s="60"/>
      <c r="K139" s="60"/>
      <c r="L139" s="60"/>
    </row>
    <row r="140" spans="1:14" ht="14.1" customHeight="1">
      <c r="A140" s="75"/>
      <c r="B140" s="60" t="s">
        <v>139</v>
      </c>
      <c r="C140" s="60"/>
      <c r="D140" s="60"/>
      <c r="E140" s="60"/>
      <c r="F140" s="60"/>
      <c r="G140" s="64"/>
      <c r="H140" s="60"/>
      <c r="I140" s="60"/>
      <c r="J140" s="60"/>
      <c r="K140" s="60"/>
      <c r="L140" s="60"/>
    </row>
    <row r="141" spans="1:14" ht="14.1" customHeight="1">
      <c r="A141" s="89">
        <f>$A$99</f>
        <v>46227</v>
      </c>
      <c r="B141" s="70">
        <f>'CHICLETS MASTER S2'!X42</f>
        <v>0.77777777777777801</v>
      </c>
      <c r="C141" s="71" t="s">
        <v>219</v>
      </c>
      <c r="D141" s="71" t="str">
        <f>$D$136</f>
        <v>NEWPORT HARBOR HS</v>
      </c>
      <c r="E141" s="71">
        <v>109</v>
      </c>
      <c r="F141" s="90" t="s">
        <v>1285</v>
      </c>
      <c r="G141" s="90">
        <v>10</v>
      </c>
      <c r="H141" s="90" t="s">
        <v>1286</v>
      </c>
      <c r="I141" s="90">
        <v>9</v>
      </c>
      <c r="J141" s="90">
        <v>129</v>
      </c>
      <c r="K141" s="90">
        <v>134</v>
      </c>
      <c r="L141" s="90" t="str">
        <f>IF(E141="","",$L$15&amp;"-"&amp;TEXT(E141,"000"))</f>
        <v>14BX-109</v>
      </c>
      <c r="N141" s="62" t="str">
        <f>$K$270&amp;C141</f>
        <v>ag_Play-in</v>
      </c>
    </row>
    <row r="142" spans="1:14" ht="14.1" customHeight="1">
      <c r="A142" s="89">
        <f>$A$99</f>
        <v>46227</v>
      </c>
      <c r="B142" s="70">
        <f>'CHICLETS MASTER S2'!X43</f>
        <v>0.8125</v>
      </c>
      <c r="C142" s="71" t="s">
        <v>219</v>
      </c>
      <c r="D142" s="71" t="str">
        <f>$D$136</f>
        <v>NEWPORT HARBOR HS</v>
      </c>
      <c r="E142" s="71">
        <v>113</v>
      </c>
      <c r="F142" s="90" t="s">
        <v>1287</v>
      </c>
      <c r="G142" s="90">
        <v>9</v>
      </c>
      <c r="H142" s="90" t="s">
        <v>1288</v>
      </c>
      <c r="I142" s="90">
        <v>10</v>
      </c>
      <c r="J142" s="90">
        <v>121</v>
      </c>
      <c r="K142" s="90">
        <v>126</v>
      </c>
      <c r="L142" s="90" t="str">
        <f>IF(E142="","",$L$15&amp;"-"&amp;TEXT(E142,"000"))</f>
        <v>14BX-113</v>
      </c>
      <c r="N142" s="62" t="str">
        <f>$K$270&amp;C142</f>
        <v>ag_Play-in</v>
      </c>
    </row>
    <row r="143" spans="1:14" ht="14.1" customHeight="1" thickBot="1">
      <c r="A143" s="78"/>
      <c r="B143" s="79"/>
      <c r="C143" s="60"/>
      <c r="D143" s="60"/>
      <c r="E143" s="60"/>
      <c r="F143" s="60" t="s">
        <v>418</v>
      </c>
      <c r="G143" s="64"/>
      <c r="H143" s="60"/>
      <c r="I143" s="60"/>
      <c r="J143" s="60"/>
      <c r="K143" s="60"/>
      <c r="L143" s="60"/>
    </row>
    <row r="144" spans="1:14" ht="14.1" customHeight="1" thickBot="1">
      <c r="A144" s="78"/>
      <c r="B144" s="79"/>
      <c r="C144" s="60"/>
      <c r="D144" s="68" t="str">
        <f>'CHICLETS MASTER S2'!$AM$27</f>
        <v>TUSTIN HS 1</v>
      </c>
      <c r="E144" s="60"/>
      <c r="F144" s="60"/>
      <c r="G144" s="64"/>
      <c r="H144" s="60"/>
      <c r="I144" s="60"/>
      <c r="J144" s="60"/>
      <c r="K144" s="60"/>
      <c r="L144" s="60"/>
    </row>
    <row r="145" spans="1:14" ht="14.1" customHeight="1">
      <c r="A145" s="108" t="s">
        <v>124</v>
      </c>
      <c r="B145" s="108" t="s">
        <v>125</v>
      </c>
      <c r="C145" s="108" t="s">
        <v>126</v>
      </c>
      <c r="D145" s="108" t="s">
        <v>127</v>
      </c>
      <c r="E145" s="108" t="s">
        <v>128</v>
      </c>
      <c r="F145" s="108" t="s">
        <v>129</v>
      </c>
      <c r="G145" s="108" t="s">
        <v>130</v>
      </c>
      <c r="H145" s="108" t="s">
        <v>131</v>
      </c>
      <c r="I145" s="108"/>
      <c r="J145" s="108" t="s">
        <v>132</v>
      </c>
      <c r="K145" s="108" t="s">
        <v>133</v>
      </c>
      <c r="L145" s="108" t="s">
        <v>134</v>
      </c>
    </row>
    <row r="146" spans="1:14" ht="14.1" customHeight="1">
      <c r="A146" s="89">
        <f t="shared" ref="A146:A157" si="18">$A$99</f>
        <v>46227</v>
      </c>
      <c r="B146" s="70">
        <f>'CHICLETS MASTER S2'!X28</f>
        <v>0.29166666666666669</v>
      </c>
      <c r="C146" s="71" t="s">
        <v>218</v>
      </c>
      <c r="D146" s="71" t="str">
        <f t="shared" ref="D146:D157" si="19">$D$144</f>
        <v>TUSTIN HS 1</v>
      </c>
      <c r="E146" s="71">
        <v>62</v>
      </c>
      <c r="F146" s="90" t="str">
        <f>D103</f>
        <v>ag_O2(W42)-ALAMEDA</v>
      </c>
      <c r="G146" s="90">
        <v>5</v>
      </c>
      <c r="H146" s="90" t="str">
        <f>D104</f>
        <v>ag_O3(W36)-KINGSBURG</v>
      </c>
      <c r="I146" s="90">
        <v>7</v>
      </c>
      <c r="J146" s="90"/>
      <c r="K146" s="90"/>
      <c r="L146" s="90" t="str">
        <f t="shared" ref="L146:L157" si="20">IF(E146="","",$L$15&amp;"-"&amp;TEXT(E146,"000"))</f>
        <v>14BX-062</v>
      </c>
      <c r="N146" s="62" t="str">
        <f t="shared" ref="N146:N157" si="21">$K$270&amp;C146</f>
        <v>ag_Group</v>
      </c>
    </row>
    <row r="147" spans="1:14" ht="14.1" customHeight="1">
      <c r="A147" s="89">
        <f t="shared" si="18"/>
        <v>46227</v>
      </c>
      <c r="B147" s="70">
        <f>'CHICLETS MASTER S2'!X29</f>
        <v>0.3263888888888889</v>
      </c>
      <c r="C147" s="71" t="s">
        <v>218</v>
      </c>
      <c r="D147" s="71" t="str">
        <f t="shared" si="19"/>
        <v>TUSTIN HS 1</v>
      </c>
      <c r="E147" s="71">
        <v>66</v>
      </c>
      <c r="F147" s="90" t="str">
        <f>E103</f>
        <v>ag_P2(W34)-SD DONS BLACK</v>
      </c>
      <c r="G147" s="90">
        <v>10</v>
      </c>
      <c r="H147" s="90" t="str">
        <f>E104</f>
        <v>ag_P3(W44)-SHARKS</v>
      </c>
      <c r="I147" s="90">
        <v>6</v>
      </c>
      <c r="J147" s="90"/>
      <c r="K147" s="90"/>
      <c r="L147" s="90" t="str">
        <f t="shared" si="20"/>
        <v>14BX-066</v>
      </c>
      <c r="N147" s="62" t="str">
        <f t="shared" si="21"/>
        <v>ag_Group</v>
      </c>
    </row>
    <row r="148" spans="1:14" ht="14.1" customHeight="1">
      <c r="A148" s="89">
        <f t="shared" si="18"/>
        <v>46227</v>
      </c>
      <c r="B148" s="70">
        <f>'CHICLETS MASTER S2'!X30</f>
        <v>0.36111111111111099</v>
      </c>
      <c r="C148" s="71" t="s">
        <v>218</v>
      </c>
      <c r="D148" s="71" t="str">
        <f t="shared" si="19"/>
        <v>TUSTIN HS 1</v>
      </c>
      <c r="E148" s="71">
        <v>70</v>
      </c>
      <c r="F148" s="90" t="str">
        <f>E107</f>
        <v>ag_U1(W52)-CT PREMIER</v>
      </c>
      <c r="G148" s="90">
        <v>4</v>
      </c>
      <c r="H148" s="90" t="str">
        <f>E108</f>
        <v>ag_U2(W55)-ORWP BLACK</v>
      </c>
      <c r="I148" s="90">
        <v>18</v>
      </c>
      <c r="J148" s="90"/>
      <c r="K148" s="90"/>
      <c r="L148" s="90" t="str">
        <f t="shared" si="20"/>
        <v>14BX-070</v>
      </c>
      <c r="N148" s="62" t="str">
        <f t="shared" si="21"/>
        <v>ag_Group</v>
      </c>
    </row>
    <row r="149" spans="1:14" ht="14.1" customHeight="1">
      <c r="A149" s="89">
        <f t="shared" si="18"/>
        <v>46227</v>
      </c>
      <c r="B149" s="70">
        <f>'CHICLETS MASTER S2'!X31</f>
        <v>0.39583333333333398</v>
      </c>
      <c r="C149" s="71" t="s">
        <v>218</v>
      </c>
      <c r="D149" s="71" t="str">
        <f t="shared" si="19"/>
        <v>TUSTIN HS 1</v>
      </c>
      <c r="E149" s="71">
        <v>74</v>
      </c>
      <c r="F149" s="90" t="str">
        <f>D107</f>
        <v>ag_T1(W51)-PATRIOT RED</v>
      </c>
      <c r="G149" s="90">
        <v>9.4</v>
      </c>
      <c r="H149" s="90" t="str">
        <f>D108</f>
        <v>ag_T2(W59)-LAMORINDA B</v>
      </c>
      <c r="I149" s="90">
        <v>9.1999999999999993</v>
      </c>
      <c r="J149" s="90"/>
      <c r="K149" s="90"/>
      <c r="L149" s="90" t="str">
        <f t="shared" si="20"/>
        <v>14BX-074</v>
      </c>
      <c r="N149" s="62" t="str">
        <f t="shared" si="21"/>
        <v>ag_Group</v>
      </c>
    </row>
    <row r="150" spans="1:14" ht="14.1" customHeight="1">
      <c r="A150" s="89">
        <f t="shared" si="18"/>
        <v>46227</v>
      </c>
      <c r="B150" s="70">
        <f>'CHICLETS MASTER S2'!X32</f>
        <v>0.43055555555555602</v>
      </c>
      <c r="C150" s="71" t="s">
        <v>218</v>
      </c>
      <c r="D150" s="71" t="str">
        <f t="shared" si="19"/>
        <v>TUSTIN HS 1</v>
      </c>
      <c r="E150" s="71">
        <v>78</v>
      </c>
      <c r="F150" s="90" t="str">
        <f>D102</f>
        <v>ag_O1(W25)-TSUNAMI</v>
      </c>
      <c r="G150" s="90">
        <v>11</v>
      </c>
      <c r="H150" s="90" t="str">
        <f>D104</f>
        <v>ag_O3(W36)-KINGSBURG</v>
      </c>
      <c r="I150" s="90">
        <v>4</v>
      </c>
      <c r="J150" s="90"/>
      <c r="K150" s="90"/>
      <c r="L150" s="90" t="str">
        <f t="shared" si="20"/>
        <v>14BX-078</v>
      </c>
      <c r="N150" s="62" t="str">
        <f t="shared" si="21"/>
        <v>ag_Group</v>
      </c>
    </row>
    <row r="151" spans="1:14" ht="14.1" customHeight="1">
      <c r="A151" s="89">
        <f t="shared" si="18"/>
        <v>46227</v>
      </c>
      <c r="B151" s="70">
        <f>'CHICLETS MASTER S2'!X33</f>
        <v>0.46527777777777801</v>
      </c>
      <c r="C151" s="71" t="s">
        <v>218</v>
      </c>
      <c r="D151" s="71" t="str">
        <f t="shared" si="19"/>
        <v>TUSTIN HS 1</v>
      </c>
      <c r="E151" s="71">
        <v>82</v>
      </c>
      <c r="F151" s="90" t="str">
        <f>E102</f>
        <v>ag_P1(W26)-TEMPLE CITY</v>
      </c>
      <c r="G151" s="90">
        <v>9</v>
      </c>
      <c r="H151" s="90" t="str">
        <f>E104</f>
        <v>ag_P3(W44)-SHARKS</v>
      </c>
      <c r="I151" s="90">
        <v>10</v>
      </c>
      <c r="J151" s="90"/>
      <c r="K151" s="90"/>
      <c r="L151" s="90" t="str">
        <f t="shared" si="20"/>
        <v>14BX-082</v>
      </c>
      <c r="N151" s="62" t="str">
        <f t="shared" si="21"/>
        <v>ag_Group</v>
      </c>
    </row>
    <row r="152" spans="1:14" ht="14.1" customHeight="1">
      <c r="A152" s="89">
        <f t="shared" si="18"/>
        <v>46227</v>
      </c>
      <c r="B152" s="70">
        <f>'CHICLETS MASTER S2'!X34</f>
        <v>0.5</v>
      </c>
      <c r="C152" s="71" t="s">
        <v>218</v>
      </c>
      <c r="D152" s="71" t="str">
        <f t="shared" si="19"/>
        <v>TUSTIN HS 1</v>
      </c>
      <c r="E152" s="71">
        <v>86</v>
      </c>
      <c r="F152" s="90" t="str">
        <f>E107</f>
        <v>ag_U1(W52)-CT PREMIER</v>
      </c>
      <c r="G152" s="90">
        <v>6</v>
      </c>
      <c r="H152" s="90" t="str">
        <f>E109</f>
        <v>ag_U3(W57)-FOOTHILL RED</v>
      </c>
      <c r="I152" s="90">
        <v>1</v>
      </c>
      <c r="J152" s="90"/>
      <c r="K152" s="90"/>
      <c r="L152" s="90" t="str">
        <f t="shared" si="20"/>
        <v>14BX-086</v>
      </c>
      <c r="N152" s="62" t="str">
        <f t="shared" si="21"/>
        <v>ag_Group</v>
      </c>
    </row>
    <row r="153" spans="1:14" ht="14.1" customHeight="1">
      <c r="A153" s="89">
        <f t="shared" si="18"/>
        <v>46227</v>
      </c>
      <c r="B153" s="70">
        <f>'CHICLETS MASTER S2'!X35</f>
        <v>0.53472222222222199</v>
      </c>
      <c r="C153" s="71" t="s">
        <v>218</v>
      </c>
      <c r="D153" s="71" t="str">
        <f t="shared" si="19"/>
        <v>TUSTIN HS 1</v>
      </c>
      <c r="E153" s="71">
        <v>90</v>
      </c>
      <c r="F153" s="90" t="str">
        <f>D107</f>
        <v>ag_T1(W51)-PATRIOT RED</v>
      </c>
      <c r="G153" s="90">
        <v>17</v>
      </c>
      <c r="H153" s="90" t="str">
        <f>D109</f>
        <v>ag_T3(W53)-HIELAND</v>
      </c>
      <c r="I153" s="90">
        <v>8</v>
      </c>
      <c r="J153" s="90"/>
      <c r="K153" s="90"/>
      <c r="L153" s="90" t="str">
        <f t="shared" si="20"/>
        <v>14BX-090</v>
      </c>
      <c r="N153" s="62" t="str">
        <f t="shared" si="21"/>
        <v>ag_Group</v>
      </c>
    </row>
    <row r="154" spans="1:14" ht="14.1" customHeight="1">
      <c r="A154" s="89">
        <f t="shared" si="18"/>
        <v>46227</v>
      </c>
      <c r="B154" s="70">
        <f>'CHICLETS MASTER S2'!X36</f>
        <v>0.56944444444444497</v>
      </c>
      <c r="C154" s="71" t="s">
        <v>218</v>
      </c>
      <c r="D154" s="71" t="str">
        <f t="shared" si="19"/>
        <v>TUSTIN HS 1</v>
      </c>
      <c r="E154" s="71">
        <v>94</v>
      </c>
      <c r="F154" s="90" t="str">
        <f>D102</f>
        <v>ag_O1(W25)-TSUNAMI</v>
      </c>
      <c r="G154" s="90">
        <v>15</v>
      </c>
      <c r="H154" s="90" t="str">
        <f>D103</f>
        <v>ag_O2(W42)-ALAMEDA</v>
      </c>
      <c r="I154" s="90">
        <v>4</v>
      </c>
      <c r="J154" s="90"/>
      <c r="K154" s="90"/>
      <c r="L154" s="90" t="str">
        <f t="shared" si="20"/>
        <v>14BX-094</v>
      </c>
      <c r="N154" s="62" t="str">
        <f t="shared" si="21"/>
        <v>ag_Group</v>
      </c>
    </row>
    <row r="155" spans="1:14" ht="14.1" customHeight="1">
      <c r="A155" s="89">
        <f t="shared" si="18"/>
        <v>46227</v>
      </c>
      <c r="B155" s="70">
        <f>'CHICLETS MASTER S2'!X37</f>
        <v>0.60416666666666696</v>
      </c>
      <c r="C155" s="71" t="s">
        <v>218</v>
      </c>
      <c r="D155" s="71" t="str">
        <f t="shared" si="19"/>
        <v>TUSTIN HS 1</v>
      </c>
      <c r="E155" s="71">
        <v>98</v>
      </c>
      <c r="F155" s="90" t="str">
        <f>E102</f>
        <v>ag_P1(W26)-TEMPLE CITY</v>
      </c>
      <c r="G155" s="90">
        <v>5.3</v>
      </c>
      <c r="H155" s="90" t="str">
        <f>E103</f>
        <v>ag_P2(W34)-SD DONS BLACK</v>
      </c>
      <c r="I155" s="90">
        <v>5.2</v>
      </c>
      <c r="J155" s="90"/>
      <c r="K155" s="90"/>
      <c r="L155" s="90" t="str">
        <f t="shared" si="20"/>
        <v>14BX-098</v>
      </c>
      <c r="N155" s="62" t="str">
        <f t="shared" si="21"/>
        <v>ag_Group</v>
      </c>
    </row>
    <row r="156" spans="1:14" ht="14.1" customHeight="1">
      <c r="A156" s="89">
        <f t="shared" si="18"/>
        <v>46227</v>
      </c>
      <c r="B156" s="70">
        <f>'CHICLETS MASTER S2'!X38</f>
        <v>0.63888888888888895</v>
      </c>
      <c r="C156" s="71" t="s">
        <v>218</v>
      </c>
      <c r="D156" s="71" t="str">
        <f t="shared" si="19"/>
        <v>TUSTIN HS 1</v>
      </c>
      <c r="E156" s="71">
        <v>102</v>
      </c>
      <c r="F156" s="90" t="str">
        <f>E108</f>
        <v>ag_U2(W55)-ORWP BLACK</v>
      </c>
      <c r="G156" s="90">
        <v>9</v>
      </c>
      <c r="H156" s="90" t="str">
        <f>E109</f>
        <v>ag_U3(W57)-FOOTHILL RED</v>
      </c>
      <c r="I156" s="90">
        <v>5</v>
      </c>
      <c r="J156" s="90"/>
      <c r="K156" s="90"/>
      <c r="L156" s="90" t="str">
        <f t="shared" si="20"/>
        <v>14BX-102</v>
      </c>
      <c r="N156" s="62" t="str">
        <f t="shared" si="21"/>
        <v>ag_Group</v>
      </c>
    </row>
    <row r="157" spans="1:14" ht="14.1" customHeight="1">
      <c r="A157" s="89">
        <f t="shared" si="18"/>
        <v>46227</v>
      </c>
      <c r="B157" s="70">
        <f>'CHICLETS MASTER S2'!X39</f>
        <v>0.67361111111111105</v>
      </c>
      <c r="C157" s="71" t="s">
        <v>218</v>
      </c>
      <c r="D157" s="71" t="str">
        <f t="shared" si="19"/>
        <v>TUSTIN HS 1</v>
      </c>
      <c r="E157" s="71">
        <v>106</v>
      </c>
      <c r="F157" s="90" t="str">
        <f>D108</f>
        <v>ag_T2(W59)-LAMORINDA B</v>
      </c>
      <c r="G157" s="90">
        <v>10</v>
      </c>
      <c r="H157" s="90" t="str">
        <f>D109</f>
        <v>ag_T3(W53)-HIELAND</v>
      </c>
      <c r="I157" s="90">
        <v>6</v>
      </c>
      <c r="J157" s="90"/>
      <c r="K157" s="90"/>
      <c r="L157" s="90" t="str">
        <f t="shared" si="20"/>
        <v>14BX-106</v>
      </c>
      <c r="N157" s="62" t="str">
        <f t="shared" si="21"/>
        <v>ag_Group</v>
      </c>
    </row>
    <row r="158" spans="1:14" ht="14.1" customHeight="1">
      <c r="A158" s="75"/>
      <c r="B158" s="60" t="s">
        <v>139</v>
      </c>
      <c r="C158" s="60"/>
      <c r="D158" s="60"/>
      <c r="E158" s="60"/>
      <c r="F158" s="60"/>
      <c r="G158" s="64"/>
      <c r="H158" s="60"/>
      <c r="I158" s="60"/>
      <c r="J158" s="60"/>
      <c r="K158" s="60"/>
      <c r="L158" s="60"/>
    </row>
    <row r="159" spans="1:14" ht="14.1" customHeight="1">
      <c r="A159" s="75"/>
      <c r="B159" s="60" t="s">
        <v>139</v>
      </c>
      <c r="C159" s="60"/>
      <c r="D159" s="60"/>
      <c r="E159" s="60"/>
      <c r="F159" s="60"/>
      <c r="G159" s="64"/>
      <c r="H159" s="60"/>
      <c r="I159" s="60"/>
      <c r="J159" s="60"/>
      <c r="K159" s="60"/>
      <c r="L159" s="60"/>
    </row>
    <row r="160" spans="1:14" ht="14.1" customHeight="1">
      <c r="A160" s="89">
        <f>$A$99</f>
        <v>46227</v>
      </c>
      <c r="B160" s="70">
        <f>'CHICLETS MASTER S2'!X42</f>
        <v>0.77777777777777801</v>
      </c>
      <c r="C160" s="71" t="s">
        <v>219</v>
      </c>
      <c r="D160" s="71" t="str">
        <f>$D$144</f>
        <v>TUSTIN HS 1</v>
      </c>
      <c r="E160" s="71">
        <v>110</v>
      </c>
      <c r="F160" s="90" t="s">
        <v>1289</v>
      </c>
      <c r="G160" s="90">
        <v>4</v>
      </c>
      <c r="H160" s="90" t="s">
        <v>1290</v>
      </c>
      <c r="I160" s="90">
        <v>17</v>
      </c>
      <c r="J160" s="90">
        <v>117</v>
      </c>
      <c r="K160" s="90">
        <v>138</v>
      </c>
      <c r="L160" s="90" t="str">
        <f>IF(E160="","",$L$15&amp;"-"&amp;TEXT(E160,"000"))</f>
        <v>14BX-110</v>
      </c>
      <c r="N160" s="62" t="str">
        <f>$K$270&amp;C160</f>
        <v>ag_Play-in</v>
      </c>
    </row>
    <row r="161" spans="1:14" ht="14.1" customHeight="1">
      <c r="A161" s="89">
        <f>$A$99</f>
        <v>46227</v>
      </c>
      <c r="B161" s="70">
        <f>'CHICLETS MASTER S2'!X43</f>
        <v>0.8125</v>
      </c>
      <c r="C161" s="71" t="s">
        <v>219</v>
      </c>
      <c r="D161" s="71" t="str">
        <f>$D$144</f>
        <v>TUSTIN HS 1</v>
      </c>
      <c r="E161" s="71">
        <v>114</v>
      </c>
      <c r="F161" s="90" t="s">
        <v>1291</v>
      </c>
      <c r="G161" s="90">
        <v>9</v>
      </c>
      <c r="H161" s="90" t="s">
        <v>1292</v>
      </c>
      <c r="I161" s="90">
        <v>13</v>
      </c>
      <c r="J161" s="90">
        <v>125</v>
      </c>
      <c r="K161" s="90">
        <v>130</v>
      </c>
      <c r="L161" s="90" t="str">
        <f>IF(E161="","",$L$15&amp;"-"&amp;TEXT(E161,"000"))</f>
        <v>14BX-114</v>
      </c>
      <c r="N161" s="62" t="str">
        <f>$K$270&amp;C161</f>
        <v>ag_Play-in</v>
      </c>
    </row>
    <row r="162" spans="1:14" ht="14.1" customHeight="1" thickBot="1">
      <c r="A162" s="78"/>
      <c r="B162" s="60"/>
      <c r="C162" s="60"/>
      <c r="D162" s="60"/>
      <c r="E162" s="60"/>
      <c r="F162" s="60" t="s">
        <v>418</v>
      </c>
      <c r="G162" s="64" t="s">
        <v>418</v>
      </c>
      <c r="H162" s="60" t="s">
        <v>418</v>
      </c>
      <c r="I162" s="60"/>
      <c r="J162" s="60"/>
      <c r="K162" s="60"/>
      <c r="L162" s="60"/>
    </row>
    <row r="163" spans="1:14" ht="14.1" customHeight="1" thickBot="1">
      <c r="B163" s="60"/>
      <c r="C163" s="60"/>
      <c r="D163" s="68" t="str">
        <f>'CHICLETS MASTER S2'!$AA$27</f>
        <v>BREA OLINDA HS</v>
      </c>
      <c r="F163" s="60"/>
      <c r="G163" s="64"/>
      <c r="H163" s="60"/>
      <c r="I163" s="60"/>
      <c r="J163" s="60"/>
      <c r="K163" s="60"/>
      <c r="L163" s="60"/>
    </row>
    <row r="164" spans="1:14" ht="14.1" customHeight="1">
      <c r="A164" s="108" t="s">
        <v>124</v>
      </c>
      <c r="B164" s="108" t="s">
        <v>125</v>
      </c>
      <c r="C164" s="108" t="s">
        <v>126</v>
      </c>
      <c r="D164" s="108" t="s">
        <v>127</v>
      </c>
      <c r="E164" s="108" t="s">
        <v>128</v>
      </c>
      <c r="F164" s="108" t="s">
        <v>129</v>
      </c>
      <c r="G164" s="108" t="s">
        <v>130</v>
      </c>
      <c r="H164" s="108" t="s">
        <v>131</v>
      </c>
      <c r="I164" s="108" t="s">
        <v>130</v>
      </c>
      <c r="J164" s="108" t="s">
        <v>132</v>
      </c>
      <c r="K164" s="108" t="s">
        <v>133</v>
      </c>
      <c r="L164" s="108" t="s">
        <v>134</v>
      </c>
    </row>
    <row r="165" spans="1:14" ht="14.1" customHeight="1">
      <c r="A165" s="89">
        <f t="shared" ref="A165:A176" si="22">$A$99</f>
        <v>46227</v>
      </c>
      <c r="B165" s="70">
        <f>'CHICLETS MASTER S2'!X28</f>
        <v>0.29166666666666669</v>
      </c>
      <c r="C165" s="71" t="s">
        <v>218</v>
      </c>
      <c r="D165" s="71" t="str">
        <f t="shared" ref="D165:D176" si="23">$D$163</f>
        <v>BREA OLINDA HS</v>
      </c>
      <c r="E165" s="71">
        <v>63</v>
      </c>
      <c r="F165" s="91" t="str">
        <f>C118</f>
        <v>bz_S1(L40)-NEWPORT BEACH WHITE</v>
      </c>
      <c r="G165" s="91">
        <v>15</v>
      </c>
      <c r="H165" s="91" t="str">
        <f>C119</f>
        <v>bz_S2(L46)-RAIN CITY</v>
      </c>
      <c r="I165" s="91">
        <v>9</v>
      </c>
      <c r="J165" s="91"/>
      <c r="K165" s="91"/>
      <c r="L165" s="91" t="str">
        <f t="shared" ref="L165:L176" si="24">IF(E165="","",$L$15&amp;"-"&amp;TEXT(E165,"000"))</f>
        <v>14BX-063</v>
      </c>
      <c r="N165" s="62" t="str">
        <f t="shared" ref="N165:N176" si="25">$L$270&amp;C165</f>
        <v>bz_Group</v>
      </c>
    </row>
    <row r="166" spans="1:14" ht="14.1" customHeight="1">
      <c r="A166" s="89">
        <f t="shared" si="22"/>
        <v>46227</v>
      </c>
      <c r="B166" s="70">
        <f>'CHICLETS MASTER S2'!X29</f>
        <v>0.3263888888888889</v>
      </c>
      <c r="C166" s="71" t="s">
        <v>218</v>
      </c>
      <c r="D166" s="71" t="str">
        <f t="shared" si="23"/>
        <v>BREA OLINDA HS</v>
      </c>
      <c r="E166" s="71">
        <v>67</v>
      </c>
      <c r="F166" s="91" t="str">
        <f>B118</f>
        <v>bz_R1(L48)-LOKAHI</v>
      </c>
      <c r="G166" s="91">
        <v>17</v>
      </c>
      <c r="H166" s="91" t="str">
        <f>B119</f>
        <v>bz_R2(L38)-T HILLS</v>
      </c>
      <c r="I166" s="91">
        <v>3</v>
      </c>
      <c r="J166" s="91"/>
      <c r="K166" s="91"/>
      <c r="L166" s="91" t="str">
        <f t="shared" si="24"/>
        <v>14BX-067</v>
      </c>
      <c r="N166" s="62" t="str">
        <f t="shared" si="25"/>
        <v>bz_Group</v>
      </c>
    </row>
    <row r="167" spans="1:14" ht="14.1" customHeight="1">
      <c r="A167" s="89">
        <f t="shared" si="22"/>
        <v>46227</v>
      </c>
      <c r="B167" s="70">
        <f>'CHICLETS MASTER S2'!X30</f>
        <v>0.36111111111111099</v>
      </c>
      <c r="C167" s="71" t="s">
        <v>218</v>
      </c>
      <c r="D167" s="71" t="str">
        <f t="shared" si="23"/>
        <v>BREA OLINDA HS</v>
      </c>
      <c r="E167" s="71">
        <v>71</v>
      </c>
      <c r="F167" s="91" t="str">
        <f>B114</f>
        <v>bz_M2(L59)-CENTRAL VALLEY UNITED</v>
      </c>
      <c r="G167" s="91">
        <v>8</v>
      </c>
      <c r="H167" s="91" t="str">
        <f>B115</f>
        <v>bz_M3(L51)-PRAETORIAN</v>
      </c>
      <c r="I167" s="91">
        <v>13</v>
      </c>
      <c r="J167" s="91"/>
      <c r="K167" s="91"/>
      <c r="L167" s="91" t="str">
        <f t="shared" si="24"/>
        <v>14BX-071</v>
      </c>
      <c r="N167" s="62" t="str">
        <f t="shared" si="25"/>
        <v>bz_Group</v>
      </c>
    </row>
    <row r="168" spans="1:14" ht="14.1" customHeight="1">
      <c r="A168" s="89">
        <f t="shared" si="22"/>
        <v>46227</v>
      </c>
      <c r="B168" s="70">
        <f>'CHICLETS MASTER S2'!X31</f>
        <v>0.39583333333333398</v>
      </c>
      <c r="C168" s="71" t="s">
        <v>218</v>
      </c>
      <c r="D168" s="71" t="str">
        <f t="shared" si="23"/>
        <v>BREA OLINDA HS</v>
      </c>
      <c r="E168" s="71">
        <v>75</v>
      </c>
      <c r="F168" s="91" t="str">
        <f>C114</f>
        <v>bz_N2(L55)-CARLSBAD</v>
      </c>
      <c r="G168" s="92">
        <v>3</v>
      </c>
      <c r="H168" s="91" t="str">
        <f>C115</f>
        <v>bz_N3(L52)-TEAM VEGAS RED</v>
      </c>
      <c r="I168" s="91">
        <v>5</v>
      </c>
      <c r="J168" s="91"/>
      <c r="K168" s="91"/>
      <c r="L168" s="91" t="str">
        <f t="shared" si="24"/>
        <v>14BX-075</v>
      </c>
      <c r="N168" s="62" t="str">
        <f t="shared" si="25"/>
        <v>bz_Group</v>
      </c>
    </row>
    <row r="169" spans="1:14" ht="14.1" customHeight="1">
      <c r="A169" s="89">
        <f t="shared" si="22"/>
        <v>46227</v>
      </c>
      <c r="B169" s="70">
        <f>'CHICLETS MASTER S2'!X32</f>
        <v>0.43055555555555602</v>
      </c>
      <c r="C169" s="71" t="s">
        <v>218</v>
      </c>
      <c r="D169" s="71" t="str">
        <f t="shared" si="23"/>
        <v>BREA OLINDA HS</v>
      </c>
      <c r="E169" s="71">
        <v>79</v>
      </c>
      <c r="F169" s="91" t="str">
        <f>C118</f>
        <v>bz_S1(L40)-NEWPORT BEACH WHITE</v>
      </c>
      <c r="G169" s="91">
        <v>16</v>
      </c>
      <c r="H169" s="91" t="str">
        <f>C120</f>
        <v>bz_S3(L29)-HONOLULU</v>
      </c>
      <c r="I169" s="91">
        <v>2</v>
      </c>
      <c r="J169" s="91"/>
      <c r="K169" s="91"/>
      <c r="L169" s="91" t="str">
        <f t="shared" si="24"/>
        <v>14BX-079</v>
      </c>
      <c r="N169" s="62" t="str">
        <f t="shared" si="25"/>
        <v>bz_Group</v>
      </c>
    </row>
    <row r="170" spans="1:14" ht="14.1" customHeight="1">
      <c r="A170" s="89">
        <f t="shared" si="22"/>
        <v>46227</v>
      </c>
      <c r="B170" s="70">
        <f>'CHICLETS MASTER S2'!X33</f>
        <v>0.46527777777777801</v>
      </c>
      <c r="C170" s="71" t="s">
        <v>218</v>
      </c>
      <c r="D170" s="71" t="str">
        <f t="shared" si="23"/>
        <v>BREA OLINDA HS</v>
      </c>
      <c r="E170" s="71">
        <v>83</v>
      </c>
      <c r="F170" s="91" t="str">
        <f>B118</f>
        <v>bz_R1(L48)-LOKAHI</v>
      </c>
      <c r="G170" s="91">
        <v>12</v>
      </c>
      <c r="H170" s="91" t="str">
        <f>B120</f>
        <v>bz_R3(L30)-SAN JOSE FOUNDATION BLACK</v>
      </c>
      <c r="I170" s="91">
        <v>10</v>
      </c>
      <c r="J170" s="91"/>
      <c r="K170" s="91"/>
      <c r="L170" s="91" t="str">
        <f t="shared" si="24"/>
        <v>14BX-083</v>
      </c>
      <c r="N170" s="62" t="str">
        <f t="shared" si="25"/>
        <v>bz_Group</v>
      </c>
    </row>
    <row r="171" spans="1:14" ht="14.1" customHeight="1">
      <c r="A171" s="89">
        <f t="shared" si="22"/>
        <v>46227</v>
      </c>
      <c r="B171" s="70">
        <f>'CHICLETS MASTER S2'!X34</f>
        <v>0.5</v>
      </c>
      <c r="C171" s="71" t="s">
        <v>218</v>
      </c>
      <c r="D171" s="71" t="str">
        <f t="shared" si="23"/>
        <v>BREA OLINDA HS</v>
      </c>
      <c r="E171" s="71">
        <v>87</v>
      </c>
      <c r="F171" s="91" t="str">
        <f>B113</f>
        <v>bz_M1(L53)-CAPITAL</v>
      </c>
      <c r="G171" s="91">
        <v>8</v>
      </c>
      <c r="H171" s="91" t="str">
        <f>B115</f>
        <v>bz_M3(L51)-PRAETORIAN</v>
      </c>
      <c r="I171" s="91">
        <v>10</v>
      </c>
      <c r="J171" s="91"/>
      <c r="K171" s="91"/>
      <c r="L171" s="91" t="str">
        <f t="shared" si="24"/>
        <v>14BX-087</v>
      </c>
      <c r="N171" s="62" t="str">
        <f t="shared" si="25"/>
        <v>bz_Group</v>
      </c>
    </row>
    <row r="172" spans="1:14" ht="14.1" customHeight="1">
      <c r="A172" s="89">
        <f t="shared" si="22"/>
        <v>46227</v>
      </c>
      <c r="B172" s="70">
        <f>'CHICLETS MASTER S2'!X35</f>
        <v>0.53472222222222199</v>
      </c>
      <c r="C172" s="71" t="s">
        <v>218</v>
      </c>
      <c r="D172" s="71" t="str">
        <f t="shared" si="23"/>
        <v>BREA OLINDA HS</v>
      </c>
      <c r="E172" s="71">
        <v>91</v>
      </c>
      <c r="F172" s="91" t="str">
        <f>C113</f>
        <v>bz_N1(L57)-DIABLO ALLIANCE B</v>
      </c>
      <c r="G172" s="91">
        <v>6</v>
      </c>
      <c r="H172" s="91" t="str">
        <f>C115</f>
        <v>bz_N3(L52)-TEAM VEGAS RED</v>
      </c>
      <c r="I172" s="91">
        <v>11</v>
      </c>
      <c r="J172" s="91"/>
      <c r="K172" s="91"/>
      <c r="L172" s="91" t="str">
        <f t="shared" si="24"/>
        <v>14BX-091</v>
      </c>
      <c r="N172" s="62" t="str">
        <f t="shared" si="25"/>
        <v>bz_Group</v>
      </c>
    </row>
    <row r="173" spans="1:14" ht="14.1" customHeight="1">
      <c r="A173" s="89">
        <f t="shared" si="22"/>
        <v>46227</v>
      </c>
      <c r="B173" s="70">
        <f>'CHICLETS MASTER S2'!X36</f>
        <v>0.56944444444444497</v>
      </c>
      <c r="C173" s="71" t="s">
        <v>218</v>
      </c>
      <c r="D173" s="71" t="str">
        <f t="shared" si="23"/>
        <v>BREA OLINDA HS</v>
      </c>
      <c r="E173" s="71">
        <v>95</v>
      </c>
      <c r="F173" s="91" t="str">
        <f>C119</f>
        <v>bz_S2(L46)-RAIN CITY</v>
      </c>
      <c r="G173" s="91">
        <v>11</v>
      </c>
      <c r="H173" s="91" t="str">
        <f>C120</f>
        <v>bz_S3(L29)-HONOLULU</v>
      </c>
      <c r="I173" s="91">
        <v>6</v>
      </c>
      <c r="J173" s="91"/>
      <c r="K173" s="91"/>
      <c r="L173" s="91" t="str">
        <f t="shared" si="24"/>
        <v>14BX-095</v>
      </c>
      <c r="N173" s="62" t="str">
        <f t="shared" si="25"/>
        <v>bz_Group</v>
      </c>
    </row>
    <row r="174" spans="1:14" ht="14.1" customHeight="1">
      <c r="A174" s="89">
        <f t="shared" si="22"/>
        <v>46227</v>
      </c>
      <c r="B174" s="70">
        <f>'CHICLETS MASTER S2'!X37</f>
        <v>0.60416666666666696</v>
      </c>
      <c r="C174" s="71" t="s">
        <v>218</v>
      </c>
      <c r="D174" s="71" t="str">
        <f t="shared" si="23"/>
        <v>BREA OLINDA HS</v>
      </c>
      <c r="E174" s="71">
        <v>99</v>
      </c>
      <c r="F174" s="91" t="str">
        <f>B119</f>
        <v>bz_R2(L38)-T HILLS</v>
      </c>
      <c r="G174" s="91">
        <v>4</v>
      </c>
      <c r="H174" s="91" t="str">
        <f>B120</f>
        <v>bz_R3(L30)-SAN JOSE FOUNDATION BLACK</v>
      </c>
      <c r="I174" s="91">
        <v>22</v>
      </c>
      <c r="J174" s="91"/>
      <c r="K174" s="91"/>
      <c r="L174" s="91" t="str">
        <f t="shared" si="24"/>
        <v>14BX-099</v>
      </c>
      <c r="N174" s="62" t="str">
        <f t="shared" si="25"/>
        <v>bz_Group</v>
      </c>
    </row>
    <row r="175" spans="1:14" ht="14.1" customHeight="1">
      <c r="A175" s="89">
        <f t="shared" si="22"/>
        <v>46227</v>
      </c>
      <c r="B175" s="70">
        <f>'CHICLETS MASTER S2'!X38</f>
        <v>0.63888888888888895</v>
      </c>
      <c r="C175" s="71" t="s">
        <v>218</v>
      </c>
      <c r="D175" s="71" t="str">
        <f t="shared" si="23"/>
        <v>BREA OLINDA HS</v>
      </c>
      <c r="E175" s="71">
        <v>103</v>
      </c>
      <c r="F175" s="91" t="str">
        <f>B113</f>
        <v>bz_M1(L53)-CAPITAL</v>
      </c>
      <c r="G175" s="91">
        <v>4</v>
      </c>
      <c r="H175" s="91" t="str">
        <f>B114</f>
        <v>bz_M2(L59)-CENTRAL VALLEY UNITED</v>
      </c>
      <c r="I175" s="91">
        <v>12</v>
      </c>
      <c r="J175" s="91"/>
      <c r="K175" s="91"/>
      <c r="L175" s="91" t="str">
        <f t="shared" si="24"/>
        <v>14BX-103</v>
      </c>
      <c r="N175" s="62" t="str">
        <f t="shared" si="25"/>
        <v>bz_Group</v>
      </c>
    </row>
    <row r="176" spans="1:14" ht="14.1" customHeight="1">
      <c r="A176" s="89">
        <f t="shared" si="22"/>
        <v>46227</v>
      </c>
      <c r="B176" s="70">
        <f>'CHICLETS MASTER S2'!X39</f>
        <v>0.67361111111111105</v>
      </c>
      <c r="C176" s="71" t="s">
        <v>218</v>
      </c>
      <c r="D176" s="71" t="str">
        <f t="shared" si="23"/>
        <v>BREA OLINDA HS</v>
      </c>
      <c r="E176" s="71">
        <v>107</v>
      </c>
      <c r="F176" s="91" t="str">
        <f>C113</f>
        <v>bz_N1(L57)-DIABLO ALLIANCE B</v>
      </c>
      <c r="G176" s="91">
        <v>9</v>
      </c>
      <c r="H176" s="91" t="str">
        <f>C114</f>
        <v>bz_N2(L55)-CARLSBAD</v>
      </c>
      <c r="I176" s="91">
        <v>12</v>
      </c>
      <c r="J176" s="91"/>
      <c r="K176" s="91"/>
      <c r="L176" s="91" t="str">
        <f t="shared" si="24"/>
        <v>14BX-107</v>
      </c>
      <c r="N176" s="62" t="str">
        <f t="shared" si="25"/>
        <v>bz_Group</v>
      </c>
    </row>
    <row r="177" spans="1:14" ht="14.1" customHeight="1">
      <c r="A177" s="75"/>
      <c r="B177" s="60" t="s">
        <v>139</v>
      </c>
      <c r="C177" s="60"/>
      <c r="D177" s="60"/>
      <c r="E177" s="60"/>
      <c r="F177" s="60"/>
      <c r="G177" s="64"/>
      <c r="H177" s="60"/>
      <c r="I177" s="60"/>
      <c r="J177" s="60"/>
      <c r="K177" s="60"/>
      <c r="L177" s="60"/>
    </row>
    <row r="178" spans="1:14" ht="14.1" customHeight="1">
      <c r="A178" s="75"/>
      <c r="B178" s="60" t="s">
        <v>139</v>
      </c>
      <c r="C178" s="60"/>
      <c r="D178" s="60"/>
      <c r="E178" s="60"/>
      <c r="F178" s="60"/>
      <c r="G178" s="64"/>
      <c r="H178" s="60"/>
      <c r="I178" s="60"/>
      <c r="J178" s="60"/>
      <c r="K178" s="60"/>
      <c r="L178" s="60"/>
    </row>
    <row r="179" spans="1:14" ht="14.1" customHeight="1">
      <c r="A179" s="89">
        <f>$A$99</f>
        <v>46227</v>
      </c>
      <c r="B179" s="70">
        <f>'CHICLETS MASTER S2'!X42</f>
        <v>0.77777777777777801</v>
      </c>
      <c r="C179" s="71" t="s">
        <v>219</v>
      </c>
      <c r="D179" s="71" t="str">
        <f>$D$163</f>
        <v>BREA OLINDA HS</v>
      </c>
      <c r="E179" s="71">
        <v>111</v>
      </c>
      <c r="F179" s="91" t="s">
        <v>1293</v>
      </c>
      <c r="G179" s="91">
        <v>8</v>
      </c>
      <c r="H179" s="91" t="s">
        <v>1294</v>
      </c>
      <c r="I179" s="91">
        <v>15</v>
      </c>
      <c r="J179" s="91">
        <v>131</v>
      </c>
      <c r="K179" s="91">
        <v>136</v>
      </c>
      <c r="L179" s="91" t="str">
        <f>IF(E179="","",$L$15&amp;"-"&amp;TEXT(E179,"000"))</f>
        <v>14BX-111</v>
      </c>
      <c r="N179" s="62" t="str">
        <f>$L$270&amp;C179</f>
        <v>bz_Play-in</v>
      </c>
    </row>
    <row r="180" spans="1:14" ht="14.1" customHeight="1">
      <c r="A180" s="89">
        <f>$A$99</f>
        <v>46227</v>
      </c>
      <c r="B180" s="70">
        <f>'CHICLETS MASTER S2'!X43</f>
        <v>0.8125</v>
      </c>
      <c r="C180" s="71" t="s">
        <v>219</v>
      </c>
      <c r="D180" s="71" t="str">
        <f>$D$163</f>
        <v>BREA OLINDA HS</v>
      </c>
      <c r="E180" s="71">
        <v>115</v>
      </c>
      <c r="F180" s="91" t="s">
        <v>1295</v>
      </c>
      <c r="G180" s="91">
        <v>12.5</v>
      </c>
      <c r="H180" s="91" t="s">
        <v>1296</v>
      </c>
      <c r="I180" s="91">
        <v>12.6</v>
      </c>
      <c r="J180" s="91">
        <v>123</v>
      </c>
      <c r="K180" s="91">
        <v>128</v>
      </c>
      <c r="L180" s="91" t="str">
        <f>IF(E180="","",$L$15&amp;"-"&amp;TEXT(E180,"000"))</f>
        <v>14BX-115</v>
      </c>
      <c r="N180" s="62" t="str">
        <f>$L$270&amp;C180</f>
        <v>bz_Play-in</v>
      </c>
    </row>
    <row r="181" spans="1:14" ht="14.1" customHeight="1" thickBot="1">
      <c r="A181" s="78"/>
      <c r="B181" s="79"/>
      <c r="C181" s="60"/>
      <c r="D181" s="60"/>
      <c r="E181" s="60"/>
      <c r="F181" s="60" t="s">
        <v>418</v>
      </c>
      <c r="G181" s="64"/>
      <c r="H181" s="60" t="s">
        <v>418</v>
      </c>
      <c r="I181" s="60"/>
      <c r="J181" s="60"/>
      <c r="K181" s="60"/>
      <c r="L181" s="60"/>
    </row>
    <row r="182" spans="1:14" ht="14.1" customHeight="1" thickBot="1">
      <c r="A182" s="60"/>
      <c r="B182" s="60"/>
      <c r="C182" s="60"/>
      <c r="D182" s="68" t="str">
        <f>'CHICLETS MASTER S2'!$AB$27</f>
        <v>ESPERANZA HS</v>
      </c>
      <c r="F182" s="60"/>
      <c r="G182" s="64"/>
      <c r="H182" s="60"/>
      <c r="I182" s="60"/>
    </row>
    <row r="183" spans="1:14" ht="14.1" customHeight="1">
      <c r="A183" s="108" t="s">
        <v>124</v>
      </c>
      <c r="B183" s="108" t="s">
        <v>125</v>
      </c>
      <c r="C183" s="108" t="s">
        <v>126</v>
      </c>
      <c r="D183" s="108" t="s">
        <v>127</v>
      </c>
      <c r="E183" s="108" t="s">
        <v>128</v>
      </c>
      <c r="F183" s="108" t="s">
        <v>129</v>
      </c>
      <c r="G183" s="108" t="s">
        <v>130</v>
      </c>
      <c r="H183" s="108" t="s">
        <v>131</v>
      </c>
      <c r="I183" s="108" t="s">
        <v>130</v>
      </c>
      <c r="J183" s="108" t="s">
        <v>132</v>
      </c>
      <c r="K183" s="108" t="s">
        <v>133</v>
      </c>
      <c r="L183" s="108" t="s">
        <v>134</v>
      </c>
    </row>
    <row r="184" spans="1:14" ht="14.1" customHeight="1">
      <c r="A184" s="89">
        <f t="shared" ref="A184:A198" si="26">$A$99</f>
        <v>46227</v>
      </c>
      <c r="B184" s="70">
        <v>0.29166666666666669</v>
      </c>
      <c r="C184" s="71" t="s">
        <v>218</v>
      </c>
      <c r="D184" s="71" t="str">
        <f t="shared" ref="D184:D193" si="27">$D$182</f>
        <v>ESPERANZA HS</v>
      </c>
      <c r="E184" s="71">
        <v>64</v>
      </c>
      <c r="F184" s="91" t="str">
        <f>E118</f>
        <v>bz_U1(L31)-680 WHITE</v>
      </c>
      <c r="G184" s="91">
        <v>16</v>
      </c>
      <c r="H184" s="91" t="str">
        <f>E119</f>
        <v>bz_U2(L47)-INNIS ARDEN</v>
      </c>
      <c r="I184" s="91">
        <v>7</v>
      </c>
      <c r="J184" s="91"/>
      <c r="K184" s="91"/>
      <c r="L184" s="91" t="str">
        <f t="shared" ref="L184:L198" si="28">IF(E184="","",$L$15&amp;"-"&amp;TEXT(E184,"000"))</f>
        <v>14BX-064</v>
      </c>
      <c r="N184" s="62" t="str">
        <f t="shared" ref="N184:N193" si="29">$L$270&amp;C184</f>
        <v>bz_Group</v>
      </c>
    </row>
    <row r="185" spans="1:14" ht="14.1" customHeight="1">
      <c r="A185" s="89">
        <f t="shared" si="26"/>
        <v>46227</v>
      </c>
      <c r="B185" s="70">
        <v>0.3263888888888889</v>
      </c>
      <c r="C185" s="71" t="s">
        <v>218</v>
      </c>
      <c r="D185" s="71" t="str">
        <f t="shared" si="27"/>
        <v>ESPERANZA HS</v>
      </c>
      <c r="E185" s="71">
        <v>68</v>
      </c>
      <c r="F185" s="91" t="str">
        <f>D118</f>
        <v>bz_T1(L32)-BROOKLYN HUSTLE</v>
      </c>
      <c r="G185" s="91">
        <v>16</v>
      </c>
      <c r="H185" s="91" t="str">
        <f>D119</f>
        <v>bz_T2(L39)-THIRD COAST</v>
      </c>
      <c r="I185" s="91">
        <v>6</v>
      </c>
      <c r="J185" s="91"/>
      <c r="K185" s="91"/>
      <c r="L185" s="91" t="str">
        <f t="shared" si="28"/>
        <v>14BX-068</v>
      </c>
      <c r="N185" s="62" t="str">
        <f t="shared" si="29"/>
        <v>bz_Group</v>
      </c>
    </row>
    <row r="186" spans="1:14" ht="14.1" customHeight="1">
      <c r="A186" s="89">
        <f t="shared" si="26"/>
        <v>46227</v>
      </c>
      <c r="B186" s="70">
        <v>0.36111111111111099</v>
      </c>
      <c r="C186" s="71" t="s">
        <v>218</v>
      </c>
      <c r="D186" s="71" t="str">
        <f t="shared" si="27"/>
        <v>ESPERANZA HS</v>
      </c>
      <c r="E186" s="71">
        <v>72</v>
      </c>
      <c r="F186" s="91" t="str">
        <f>D114</f>
        <v>bz_O2(L58)-SAN JOSE EXPRESS BLUE</v>
      </c>
      <c r="G186" s="92">
        <v>9</v>
      </c>
      <c r="H186" s="91" t="str">
        <f>D115</f>
        <v>bz_O3(L56)-680 BLUE</v>
      </c>
      <c r="I186" s="91">
        <v>8</v>
      </c>
      <c r="J186" s="91"/>
      <c r="K186" s="91"/>
      <c r="L186" s="91" t="str">
        <f t="shared" si="28"/>
        <v>14BX-072</v>
      </c>
      <c r="N186" s="62" t="str">
        <f t="shared" si="29"/>
        <v>bz_Group</v>
      </c>
    </row>
    <row r="187" spans="1:14" ht="14.1" customHeight="1">
      <c r="A187" s="89">
        <f t="shared" si="26"/>
        <v>46227</v>
      </c>
      <c r="B187" s="70">
        <v>0.39583333333333398</v>
      </c>
      <c r="C187" s="71" t="s">
        <v>218</v>
      </c>
      <c r="D187" s="71" t="str">
        <f t="shared" si="27"/>
        <v>ESPERANZA HS</v>
      </c>
      <c r="E187" s="71">
        <v>76</v>
      </c>
      <c r="F187" s="91" t="str">
        <f>E114</f>
        <v>bz_P2(L54)-SD SHORES GOLD</v>
      </c>
      <c r="G187" s="91">
        <v>6.4</v>
      </c>
      <c r="H187" s="91" t="str">
        <f>E115</f>
        <v>bz_P3(L60)-CLOVIS RED</v>
      </c>
      <c r="I187" s="91">
        <v>6.2</v>
      </c>
      <c r="J187" s="91"/>
      <c r="K187" s="91"/>
      <c r="L187" s="91" t="str">
        <f t="shared" si="28"/>
        <v>14BX-076</v>
      </c>
      <c r="N187" s="62" t="str">
        <f t="shared" si="29"/>
        <v>bz_Group</v>
      </c>
    </row>
    <row r="188" spans="1:14" ht="14.1" customHeight="1">
      <c r="A188" s="89">
        <f t="shared" si="26"/>
        <v>46227</v>
      </c>
      <c r="B188" s="70">
        <v>0.43055555555555602</v>
      </c>
      <c r="C188" s="71" t="s">
        <v>218</v>
      </c>
      <c r="D188" s="71" t="str">
        <f t="shared" si="27"/>
        <v>ESPERANZA HS</v>
      </c>
      <c r="E188" s="71">
        <v>80</v>
      </c>
      <c r="F188" s="91" t="str">
        <f>E118</f>
        <v>bz_U1(L31)-680 WHITE</v>
      </c>
      <c r="G188" s="91">
        <v>10</v>
      </c>
      <c r="H188" s="91" t="str">
        <f>E120</f>
        <v>bz_U3(L37)-WCAC UNITED</v>
      </c>
      <c r="I188" s="91">
        <v>6</v>
      </c>
      <c r="J188" s="91"/>
      <c r="K188" s="91"/>
      <c r="L188" s="91" t="str">
        <f t="shared" si="28"/>
        <v>14BX-080</v>
      </c>
      <c r="N188" s="62" t="str">
        <f t="shared" si="29"/>
        <v>bz_Group</v>
      </c>
    </row>
    <row r="189" spans="1:14" ht="14.1" customHeight="1">
      <c r="A189" s="89">
        <f t="shared" si="26"/>
        <v>46227</v>
      </c>
      <c r="B189" s="70">
        <v>0.46527777777777801</v>
      </c>
      <c r="C189" s="71" t="s">
        <v>218</v>
      </c>
      <c r="D189" s="71" t="str">
        <f t="shared" si="27"/>
        <v>ESPERANZA HS</v>
      </c>
      <c r="E189" s="71">
        <v>84</v>
      </c>
      <c r="F189" s="91" t="str">
        <f>D118</f>
        <v>bz_T1(L32)-BROOKLYN HUSTLE</v>
      </c>
      <c r="G189" s="91">
        <v>18</v>
      </c>
      <c r="H189" s="91" t="str">
        <f>D120</f>
        <v>bz_T3(L45)-BAINBRIDGE</v>
      </c>
      <c r="I189" s="91">
        <v>6</v>
      </c>
      <c r="J189" s="91"/>
      <c r="K189" s="91"/>
      <c r="L189" s="91" t="str">
        <f t="shared" si="28"/>
        <v>14BX-084</v>
      </c>
      <c r="N189" s="62" t="str">
        <f t="shared" si="29"/>
        <v>bz_Group</v>
      </c>
    </row>
    <row r="190" spans="1:14" ht="14.1" customHeight="1">
      <c r="A190" s="89">
        <f t="shared" si="26"/>
        <v>46227</v>
      </c>
      <c r="B190" s="70">
        <v>0.5</v>
      </c>
      <c r="C190" s="71" t="s">
        <v>218</v>
      </c>
      <c r="D190" s="71" t="str">
        <f t="shared" si="27"/>
        <v>ESPERANZA HS</v>
      </c>
      <c r="E190" s="71">
        <v>88</v>
      </c>
      <c r="F190" s="91" t="str">
        <f>D113</f>
        <v>bz_O1(L49)-VEGAS RENEGADES</v>
      </c>
      <c r="G190" s="91">
        <v>12</v>
      </c>
      <c r="H190" s="91" t="str">
        <f>D115</f>
        <v>bz_O3(L56)-680 BLUE</v>
      </c>
      <c r="I190" s="91">
        <v>9</v>
      </c>
      <c r="J190" s="91"/>
      <c r="K190" s="91"/>
      <c r="L190" s="91" t="str">
        <f t="shared" si="28"/>
        <v>14BX-088</v>
      </c>
      <c r="N190" s="62" t="str">
        <f t="shared" si="29"/>
        <v>bz_Group</v>
      </c>
    </row>
    <row r="191" spans="1:14" ht="14.1" customHeight="1">
      <c r="A191" s="89">
        <f t="shared" si="26"/>
        <v>46227</v>
      </c>
      <c r="B191" s="70">
        <v>0.53472222222222199</v>
      </c>
      <c r="C191" s="71" t="s">
        <v>218</v>
      </c>
      <c r="D191" s="71" t="str">
        <f t="shared" si="27"/>
        <v>ESPERANZA HS</v>
      </c>
      <c r="E191" s="71">
        <v>92</v>
      </c>
      <c r="F191" s="91" t="str">
        <f>E113</f>
        <v>bz_P1(L50)-TROJAN CARDINAL</v>
      </c>
      <c r="G191" s="91">
        <v>11</v>
      </c>
      <c r="H191" s="91" t="str">
        <f>E115</f>
        <v>bz_P3(L60)-CLOVIS RED</v>
      </c>
      <c r="I191" s="91">
        <v>5</v>
      </c>
      <c r="J191" s="91"/>
      <c r="K191" s="91"/>
      <c r="L191" s="91" t="str">
        <f t="shared" si="28"/>
        <v>14BX-092</v>
      </c>
      <c r="N191" s="62" t="str">
        <f t="shared" si="29"/>
        <v>bz_Group</v>
      </c>
    </row>
    <row r="192" spans="1:14" ht="14.1" customHeight="1">
      <c r="A192" s="89">
        <f t="shared" si="26"/>
        <v>46227</v>
      </c>
      <c r="B192" s="70">
        <v>0.56944444444444497</v>
      </c>
      <c r="C192" s="71" t="s">
        <v>218</v>
      </c>
      <c r="D192" s="71" t="str">
        <f t="shared" si="27"/>
        <v>ESPERANZA HS</v>
      </c>
      <c r="E192" s="71">
        <v>96</v>
      </c>
      <c r="F192" s="91" t="str">
        <f>E119</f>
        <v>bz_U2(L47)-INNIS ARDEN</v>
      </c>
      <c r="G192" s="91">
        <v>9</v>
      </c>
      <c r="H192" s="91" t="str">
        <f>E120</f>
        <v>bz_U3(L37)-WCAC UNITED</v>
      </c>
      <c r="I192" s="91">
        <v>14</v>
      </c>
      <c r="J192" s="91"/>
      <c r="K192" s="91"/>
      <c r="L192" s="91" t="str">
        <f t="shared" si="28"/>
        <v>14BX-096</v>
      </c>
      <c r="N192" s="62" t="str">
        <f t="shared" si="29"/>
        <v>bz_Group</v>
      </c>
    </row>
    <row r="193" spans="1:14" ht="14.1" customHeight="1">
      <c r="A193" s="89">
        <f t="shared" si="26"/>
        <v>46227</v>
      </c>
      <c r="B193" s="70">
        <v>0.60416666666666696</v>
      </c>
      <c r="C193" s="71" t="s">
        <v>218</v>
      </c>
      <c r="D193" s="71" t="str">
        <f t="shared" si="27"/>
        <v>ESPERANZA HS</v>
      </c>
      <c r="E193" s="71">
        <v>100</v>
      </c>
      <c r="F193" s="91" t="str">
        <f>D119</f>
        <v>bz_T2(L39)-THIRD COAST</v>
      </c>
      <c r="G193" s="91">
        <v>17</v>
      </c>
      <c r="H193" s="91" t="str">
        <f>D120</f>
        <v>bz_T3(L45)-BAINBRIDGE</v>
      </c>
      <c r="I193" s="91">
        <v>4</v>
      </c>
      <c r="J193" s="91"/>
      <c r="K193" s="91"/>
      <c r="L193" s="91" t="str">
        <f t="shared" si="28"/>
        <v>14BX-100</v>
      </c>
      <c r="N193" s="62" t="str">
        <f t="shared" si="29"/>
        <v>bz_Group</v>
      </c>
    </row>
    <row r="194" spans="1:14" ht="14.1" customHeight="1" thickBot="1">
      <c r="A194" s="78"/>
      <c r="B194" s="79"/>
      <c r="C194" s="60"/>
      <c r="D194" s="60"/>
      <c r="E194" s="60"/>
      <c r="F194" s="60" t="s">
        <v>418</v>
      </c>
      <c r="G194" s="64"/>
      <c r="H194" s="60" t="s">
        <v>418</v>
      </c>
      <c r="I194" s="60"/>
      <c r="J194" s="60"/>
      <c r="K194" s="60"/>
      <c r="L194" s="60"/>
    </row>
    <row r="195" spans="1:14" ht="14.1" customHeight="1" thickBot="1">
      <c r="A195" s="60"/>
      <c r="B195" s="60"/>
      <c r="C195" s="60"/>
      <c r="D195" s="68" t="str">
        <f>'CHICLETS MASTER S2'!$Y$27</f>
        <v>SADDLEBACK COLLEGE 2</v>
      </c>
      <c r="F195" s="60"/>
      <c r="G195" s="64"/>
      <c r="H195" s="60"/>
      <c r="I195" s="60"/>
    </row>
    <row r="196" spans="1:14" ht="14.1" customHeight="1">
      <c r="A196" s="108" t="s">
        <v>124</v>
      </c>
      <c r="B196" s="108" t="s">
        <v>125</v>
      </c>
      <c r="C196" s="108" t="s">
        <v>126</v>
      </c>
      <c r="D196" s="108" t="s">
        <v>127</v>
      </c>
      <c r="E196" s="108" t="s">
        <v>128</v>
      </c>
      <c r="F196" s="108" t="s">
        <v>129</v>
      </c>
      <c r="G196" s="108" t="s">
        <v>130</v>
      </c>
      <c r="H196" s="108" t="s">
        <v>131</v>
      </c>
      <c r="I196" s="108" t="s">
        <v>130</v>
      </c>
      <c r="J196" s="108" t="s">
        <v>132</v>
      </c>
      <c r="K196" s="108" t="s">
        <v>133</v>
      </c>
      <c r="L196" s="108" t="s">
        <v>134</v>
      </c>
    </row>
    <row r="197" spans="1:14" ht="14.1" customHeight="1">
      <c r="A197" s="89">
        <f t="shared" si="26"/>
        <v>46227</v>
      </c>
      <c r="B197" s="70">
        <v>0.63888888888888895</v>
      </c>
      <c r="C197" s="71" t="s">
        <v>218</v>
      </c>
      <c r="D197" s="71" t="str">
        <f>$D$195</f>
        <v>SADDLEBACK COLLEGE 2</v>
      </c>
      <c r="E197" s="71">
        <v>104</v>
      </c>
      <c r="F197" s="91" t="str">
        <f>D113</f>
        <v>bz_O1(L49)-VEGAS RENEGADES</v>
      </c>
      <c r="G197" s="91">
        <v>9</v>
      </c>
      <c r="H197" s="91" t="str">
        <f>D114</f>
        <v>bz_O2(L58)-SAN JOSE EXPRESS BLUE</v>
      </c>
      <c r="I197" s="91">
        <v>7</v>
      </c>
      <c r="J197" s="91"/>
      <c r="K197" s="91"/>
      <c r="L197" s="91" t="str">
        <f t="shared" si="28"/>
        <v>14BX-104</v>
      </c>
      <c r="N197" s="62" t="str">
        <f>$L$270&amp;C197</f>
        <v>bz_Group</v>
      </c>
    </row>
    <row r="198" spans="1:14" ht="14.1" customHeight="1">
      <c r="A198" s="89">
        <f t="shared" si="26"/>
        <v>46227</v>
      </c>
      <c r="B198" s="70">
        <v>0.67361111111111105</v>
      </c>
      <c r="C198" s="71" t="s">
        <v>218</v>
      </c>
      <c r="D198" s="71" t="str">
        <f>$D$195</f>
        <v>SADDLEBACK COLLEGE 2</v>
      </c>
      <c r="E198" s="71">
        <v>108</v>
      </c>
      <c r="F198" s="91" t="str">
        <f>E113</f>
        <v>bz_P1(L50)-TROJAN CARDINAL</v>
      </c>
      <c r="G198" s="91">
        <v>7</v>
      </c>
      <c r="H198" s="91" t="str">
        <f>E114</f>
        <v>bz_P2(L54)-SD SHORES GOLD</v>
      </c>
      <c r="I198" s="91">
        <v>6</v>
      </c>
      <c r="J198" s="91"/>
      <c r="K198" s="91"/>
      <c r="L198" s="91" t="str">
        <f t="shared" si="28"/>
        <v>14BX-108</v>
      </c>
      <c r="N198" s="62" t="str">
        <f>$L$270&amp;C198</f>
        <v>bz_Group</v>
      </c>
    </row>
    <row r="199" spans="1:14" ht="14.1" customHeight="1">
      <c r="A199" s="75"/>
      <c r="B199" s="60" t="s">
        <v>139</v>
      </c>
      <c r="C199" s="60"/>
      <c r="D199" s="60"/>
      <c r="E199" s="60"/>
      <c r="F199" s="60"/>
      <c r="G199" s="64"/>
      <c r="H199" s="60"/>
      <c r="I199" s="60"/>
      <c r="J199" s="60"/>
      <c r="K199" s="60"/>
      <c r="L199" s="60"/>
    </row>
    <row r="200" spans="1:14" ht="14.1" customHeight="1">
      <c r="A200" s="75"/>
      <c r="B200" s="60" t="s">
        <v>139</v>
      </c>
      <c r="C200" s="60"/>
      <c r="D200" s="60"/>
      <c r="E200" s="60"/>
      <c r="F200" s="60"/>
      <c r="G200" s="64"/>
      <c r="H200" s="60"/>
      <c r="I200" s="60"/>
      <c r="J200" s="60"/>
      <c r="K200" s="60"/>
      <c r="L200" s="60"/>
    </row>
    <row r="201" spans="1:14" ht="14.1" customHeight="1">
      <c r="A201" s="89">
        <f>$A$99</f>
        <v>46227</v>
      </c>
      <c r="B201" s="70">
        <v>0.77777777777777801</v>
      </c>
      <c r="C201" s="71" t="s">
        <v>219</v>
      </c>
      <c r="D201" s="71" t="str">
        <f>$D$195</f>
        <v>SADDLEBACK COLLEGE 2</v>
      </c>
      <c r="E201" s="71">
        <v>112</v>
      </c>
      <c r="F201" s="91" t="s">
        <v>1297</v>
      </c>
      <c r="G201" s="91">
        <v>10</v>
      </c>
      <c r="H201" s="91" t="s">
        <v>1298</v>
      </c>
      <c r="I201" s="91">
        <v>4</v>
      </c>
      <c r="J201" s="91">
        <v>119</v>
      </c>
      <c r="K201" s="91">
        <v>140</v>
      </c>
      <c r="L201" s="91" t="str">
        <f>IF(E201="","",$L$15&amp;"-"&amp;TEXT(E201,"000"))</f>
        <v>14BX-112</v>
      </c>
      <c r="N201" s="62" t="str">
        <f>$L$270&amp;C201</f>
        <v>bz_Play-in</v>
      </c>
    </row>
    <row r="202" spans="1:14" ht="14.1" customHeight="1">
      <c r="A202" s="89">
        <f>$A$99</f>
        <v>46227</v>
      </c>
      <c r="B202" s="70">
        <v>0.8125</v>
      </c>
      <c r="C202" s="71" t="s">
        <v>219</v>
      </c>
      <c r="D202" s="71" t="str">
        <f>$D$195</f>
        <v>SADDLEBACK COLLEGE 2</v>
      </c>
      <c r="E202" s="71">
        <v>116</v>
      </c>
      <c r="F202" s="91" t="s">
        <v>1299</v>
      </c>
      <c r="G202" s="91">
        <v>14</v>
      </c>
      <c r="H202" s="91" t="s">
        <v>1300</v>
      </c>
      <c r="I202" s="91">
        <v>7</v>
      </c>
      <c r="J202" s="91">
        <v>127</v>
      </c>
      <c r="K202" s="91">
        <v>132</v>
      </c>
      <c r="L202" s="91" t="str">
        <f>IF(E202="","",$L$15&amp;"-"&amp;TEXT(E202,"000"))</f>
        <v>14BX-116</v>
      </c>
      <c r="N202" s="62" t="str">
        <f>$L$270&amp;C202</f>
        <v>bz_Play-in</v>
      </c>
    </row>
    <row r="203" spans="1:14" ht="14.1" customHeight="1" thickBot="1">
      <c r="F203" s="62" t="s">
        <v>418</v>
      </c>
      <c r="H203" s="62" t="s">
        <v>418</v>
      </c>
    </row>
    <row r="204" spans="1:14" ht="14.1" customHeight="1" thickTop="1" thickBot="1">
      <c r="A204" s="68" t="s">
        <v>236</v>
      </c>
      <c r="B204" s="82"/>
      <c r="C204" s="82"/>
      <c r="D204" s="82"/>
      <c r="E204" s="82"/>
      <c r="F204" s="82"/>
      <c r="G204" s="83"/>
      <c r="H204" s="82"/>
      <c r="I204" s="82"/>
      <c r="J204" s="82"/>
      <c r="K204" s="82"/>
      <c r="L204" s="82"/>
    </row>
    <row r="205" spans="1:14" ht="14.1" customHeight="1" thickBot="1">
      <c r="A205" s="61">
        <v>46228</v>
      </c>
      <c r="G205" s="62"/>
    </row>
    <row r="206" spans="1:14" ht="14.1" customHeight="1" thickBot="1">
      <c r="D206" s="68" t="str">
        <f>'CHICLETS MASTER S2'!$BB$51</f>
        <v>NORTHWOOD HS</v>
      </c>
      <c r="G206" s="62"/>
    </row>
    <row r="207" spans="1:14" ht="14.1" customHeight="1">
      <c r="A207" s="108" t="s">
        <v>124</v>
      </c>
      <c r="B207" s="108" t="s">
        <v>125</v>
      </c>
      <c r="C207" s="108" t="s">
        <v>126</v>
      </c>
      <c r="D207" s="108" t="s">
        <v>127</v>
      </c>
      <c r="E207" s="108" t="s">
        <v>128</v>
      </c>
      <c r="F207" s="108" t="s">
        <v>129</v>
      </c>
      <c r="G207" s="108" t="s">
        <v>130</v>
      </c>
      <c r="H207" s="108" t="s">
        <v>131</v>
      </c>
      <c r="I207" s="108"/>
      <c r="J207" s="108" t="s">
        <v>132</v>
      </c>
      <c r="K207" s="108" t="s">
        <v>133</v>
      </c>
      <c r="L207" s="108" t="s">
        <v>134</v>
      </c>
    </row>
    <row r="208" spans="1:14" ht="14.1" customHeight="1">
      <c r="A208" s="69">
        <f t="shared" ref="A208:A219" si="30">$A$205</f>
        <v>46228</v>
      </c>
      <c r="B208" s="70">
        <f>'CHICLETS MASTER S2'!X53</f>
        <v>0.33333333333333331</v>
      </c>
      <c r="C208" s="71" t="s">
        <v>237</v>
      </c>
      <c r="D208" s="71" t="str">
        <f t="shared" ref="D208:D219" si="31">$D$206</f>
        <v>NORTHWOOD HS</v>
      </c>
      <c r="E208" s="71">
        <v>117</v>
      </c>
      <c r="F208" s="90" t="s">
        <v>1301</v>
      </c>
      <c r="G208" s="90">
        <v>8</v>
      </c>
      <c r="H208" s="90" t="str">
        <f>IF(G160="","W110",IF(G160&gt;I160,_xlfn.CONCAT("W110-",RIGHT(F160,LEN(F160) - FIND("-",F160))), _xlfn.CONCAT("W110-",RIGHT(H160,LEN(H160) - FIND("-",H160)))))</f>
        <v>W110-ORWP BLACK</v>
      </c>
      <c r="I208" s="90">
        <v>15</v>
      </c>
      <c r="J208" s="90">
        <v>141</v>
      </c>
      <c r="K208" s="90">
        <v>149</v>
      </c>
      <c r="L208" s="90" t="str">
        <f t="shared" ref="L208:L219" si="32">IF(E208="","",$L$15&amp;"-"&amp;TEXT(E208,"000"))</f>
        <v>14BX-117</v>
      </c>
      <c r="N208" s="62" t="str">
        <f t="shared" ref="N208:N219" si="33">$K$270&amp;C208</f>
        <v>ag_5-8 v 9-12</v>
      </c>
    </row>
    <row r="209" spans="1:14" ht="14.1" customHeight="1">
      <c r="A209" s="69">
        <f t="shared" si="30"/>
        <v>46228</v>
      </c>
      <c r="B209" s="70">
        <f>'CHICLETS MASTER S2'!X54</f>
        <v>0.375</v>
      </c>
      <c r="C209" s="71" t="s">
        <v>237</v>
      </c>
      <c r="D209" s="71" t="str">
        <f t="shared" si="31"/>
        <v>NORTHWOOD HS</v>
      </c>
      <c r="E209" s="71">
        <v>121</v>
      </c>
      <c r="F209" s="90" t="s">
        <v>1302</v>
      </c>
      <c r="G209" s="93">
        <v>8</v>
      </c>
      <c r="H209" s="90" t="str">
        <f>IF(G142="","W113",IF(G142&gt;I142,_xlfn.CONCAT("W113-",RIGHT(F142,LEN(F142) - FIND("-",F142))), _xlfn.CONCAT("W113-",RIGHT(H142,LEN(H142) - FIND("-",H142)))))</f>
        <v>W113-PRIDE BLACK</v>
      </c>
      <c r="I209" s="93">
        <v>5</v>
      </c>
      <c r="J209" s="90">
        <v>141</v>
      </c>
      <c r="K209" s="90">
        <v>149</v>
      </c>
      <c r="L209" s="90" t="str">
        <f t="shared" si="32"/>
        <v>14BX-121</v>
      </c>
      <c r="N209" s="62" t="str">
        <f t="shared" si="33"/>
        <v>ag_5-8 v 9-12</v>
      </c>
    </row>
    <row r="210" spans="1:14" ht="14.1" customHeight="1">
      <c r="A210" s="69">
        <f t="shared" si="30"/>
        <v>46228</v>
      </c>
      <c r="B210" s="70">
        <f>'CHICLETS MASTER S2'!X55</f>
        <v>0.41666666666666702</v>
      </c>
      <c r="C210" s="71" t="s">
        <v>237</v>
      </c>
      <c r="D210" s="71" t="str">
        <f t="shared" si="31"/>
        <v>NORTHWOOD HS</v>
      </c>
      <c r="E210" s="71">
        <v>125</v>
      </c>
      <c r="F210" s="90" t="s">
        <v>1303</v>
      </c>
      <c r="G210" s="90">
        <v>8</v>
      </c>
      <c r="H210" s="90" t="str">
        <f>IF(G161="","W114",IF(G161&gt;I161,_xlfn.CONCAT("W114-",RIGHT(F161,LEN(F161) - FIND("-",F161))), _xlfn.CONCAT("W114-",RIGHT(H161,LEN(H161) - FIND("-",H161)))))</f>
        <v>W114-PATRIOT RED</v>
      </c>
      <c r="I210" s="90">
        <v>12</v>
      </c>
      <c r="J210" s="90">
        <v>145</v>
      </c>
      <c r="K210" s="90">
        <v>153</v>
      </c>
      <c r="L210" s="90" t="str">
        <f t="shared" si="32"/>
        <v>14BX-125</v>
      </c>
      <c r="N210" s="62" t="str">
        <f t="shared" si="33"/>
        <v>ag_5-8 v 9-12</v>
      </c>
    </row>
    <row r="211" spans="1:14" ht="14.1" customHeight="1">
      <c r="A211" s="69">
        <f t="shared" si="30"/>
        <v>46228</v>
      </c>
      <c r="B211" s="70">
        <f>'CHICLETS MASTER S2'!X56</f>
        <v>0.45833333333333298</v>
      </c>
      <c r="C211" s="71" t="s">
        <v>237</v>
      </c>
      <c r="D211" s="71" t="str">
        <f t="shared" si="31"/>
        <v>NORTHWOOD HS</v>
      </c>
      <c r="E211" s="71">
        <v>129</v>
      </c>
      <c r="F211" s="90" t="s">
        <v>1304</v>
      </c>
      <c r="G211" s="90">
        <v>9</v>
      </c>
      <c r="H211" s="90" t="str">
        <f>IF(G141="","W109",IF(G141&gt;I141,_xlfn.CONCAT("W109-",RIGHT(F141,LEN(F141) - FIND("-",F141))), _xlfn.CONCAT("W109-",RIGHT(H141,LEN(H141) - FIND("-",H141)))))</f>
        <v>W109-LA JOLLA UNITED B</v>
      </c>
      <c r="I211" s="90">
        <v>8</v>
      </c>
      <c r="J211" s="90">
        <v>145</v>
      </c>
      <c r="K211" s="90">
        <v>153</v>
      </c>
      <c r="L211" s="90" t="str">
        <f t="shared" si="32"/>
        <v>14BX-129</v>
      </c>
      <c r="N211" s="62" t="str">
        <f t="shared" si="33"/>
        <v>ag_5-8 v 9-12</v>
      </c>
    </row>
    <row r="212" spans="1:14" ht="14.1" customHeight="1">
      <c r="A212" s="69">
        <f t="shared" si="30"/>
        <v>46228</v>
      </c>
      <c r="B212" s="70">
        <f>'CHICLETS MASTER S2'!X57</f>
        <v>0.5</v>
      </c>
      <c r="C212" s="71" t="s">
        <v>242</v>
      </c>
      <c r="D212" s="71" t="str">
        <f t="shared" si="31"/>
        <v>NORTHWOOD HS</v>
      </c>
      <c r="E212" s="71">
        <v>133</v>
      </c>
      <c r="F212" s="90" t="s">
        <v>1305</v>
      </c>
      <c r="G212" s="90">
        <v>9</v>
      </c>
      <c r="H212" s="90" t="s">
        <v>1306</v>
      </c>
      <c r="I212" s="90">
        <v>10</v>
      </c>
      <c r="J212" s="90">
        <v>174</v>
      </c>
      <c r="K212" s="90">
        <v>157</v>
      </c>
      <c r="L212" s="90" t="str">
        <f t="shared" si="32"/>
        <v>14BX-133</v>
      </c>
      <c r="N212" s="62" t="str">
        <f t="shared" si="33"/>
        <v>ag_1-2 v 3-4</v>
      </c>
    </row>
    <row r="213" spans="1:14" ht="14.1" customHeight="1">
      <c r="A213" s="69">
        <f t="shared" si="30"/>
        <v>46228</v>
      </c>
      <c r="B213" s="70">
        <f>'CHICLETS MASTER S2'!X58</f>
        <v>0.54166666666666696</v>
      </c>
      <c r="C213" s="71" t="s">
        <v>242</v>
      </c>
      <c r="D213" s="71" t="str">
        <f t="shared" si="31"/>
        <v>NORTHWOOD HS</v>
      </c>
      <c r="E213" s="71">
        <v>137</v>
      </c>
      <c r="F213" s="90" t="s">
        <v>1307</v>
      </c>
      <c r="G213" s="90">
        <v>9</v>
      </c>
      <c r="H213" s="90" t="s">
        <v>1308</v>
      </c>
      <c r="I213" s="90">
        <v>7</v>
      </c>
      <c r="J213" s="90">
        <v>173</v>
      </c>
      <c r="K213" s="90">
        <v>161</v>
      </c>
      <c r="L213" s="90" t="str">
        <f t="shared" si="32"/>
        <v>14BX-137</v>
      </c>
      <c r="N213" s="62" t="str">
        <f t="shared" si="33"/>
        <v>ag_1-2 v 3-4</v>
      </c>
    </row>
    <row r="214" spans="1:14" ht="14.1" customHeight="1">
      <c r="A214" s="69">
        <f t="shared" si="30"/>
        <v>46228</v>
      </c>
      <c r="B214" s="70">
        <f>'CHICLETS MASTER S2'!X59</f>
        <v>0.58333333333333304</v>
      </c>
      <c r="C214" s="71" t="s">
        <v>247</v>
      </c>
      <c r="D214" s="71" t="str">
        <f t="shared" si="31"/>
        <v>NORTHWOOD HS</v>
      </c>
      <c r="E214" s="71">
        <v>141</v>
      </c>
      <c r="F214" s="90" t="str">
        <f>IF(G208="","W117",IF(G208&gt;I208,_xlfn.CONCAT("W117-",RIGHT(F208,LEN(F208) - FIND("-",F208))), _xlfn.CONCAT("W117-",RIGHT(H208,LEN(H208) - FIND("-",H208)))))</f>
        <v>W117-ORWP BLACK</v>
      </c>
      <c r="G214" s="90">
        <v>8.5</v>
      </c>
      <c r="H214" s="90" t="str">
        <f>IF(G209="","W121",IF(G209&gt;I209,_xlfn.CONCAT("W121-",RIGHT(F209,LEN(F209) - FIND("-",F209))), _xlfn.CONCAT("W121-",RIGHT(H209,LEN(H209) - FIND("-",H209)))))</f>
        <v>W121-LB SHORE RED</v>
      </c>
      <c r="I214" s="90">
        <v>8.4</v>
      </c>
      <c r="J214" s="90">
        <v>157</v>
      </c>
      <c r="K214" s="90">
        <v>185</v>
      </c>
      <c r="L214" s="90" t="str">
        <f t="shared" si="32"/>
        <v>14BX-141</v>
      </c>
      <c r="N214" s="62" t="str">
        <f t="shared" si="33"/>
        <v>ag_5-6 v 7-8</v>
      </c>
    </row>
    <row r="215" spans="1:14" ht="14.1" customHeight="1">
      <c r="A215" s="69">
        <f t="shared" si="30"/>
        <v>46228</v>
      </c>
      <c r="B215" s="70">
        <f>'CHICLETS MASTER S2'!X60</f>
        <v>0.625</v>
      </c>
      <c r="C215" s="71" t="s">
        <v>247</v>
      </c>
      <c r="D215" s="71" t="str">
        <f t="shared" si="31"/>
        <v>NORTHWOOD HS</v>
      </c>
      <c r="E215" s="71">
        <v>145</v>
      </c>
      <c r="F215" s="90" t="str">
        <f>IF(G210="","W125",IF(G210&gt;I210,_xlfn.CONCAT("W125-",RIGHT(F210,LEN(F210) - FIND("-",F210))), _xlfn.CONCAT("W125-",RIGHT(H210,LEN(H210) - FIND("-",H210)))))</f>
        <v>W125-PATRIOT RED</v>
      </c>
      <c r="G215" s="90">
        <v>11.2</v>
      </c>
      <c r="H215" s="90" t="str">
        <f>IF(G211="","W129",IF(G211&gt;I211,_xlfn.CONCAT("W129-",RIGHT(F211,LEN(F211) - FIND("-",F211))), _xlfn.CONCAT("W129-",RIGHT(H211,LEN(H211) - FIND("-",H211)))))</f>
        <v>W129-ROUTE 66</v>
      </c>
      <c r="I215" s="97">
        <v>11.4</v>
      </c>
      <c r="J215" s="90">
        <v>161</v>
      </c>
      <c r="K215" s="90">
        <v>185</v>
      </c>
      <c r="L215" s="90" t="str">
        <f t="shared" si="32"/>
        <v>14BX-145</v>
      </c>
      <c r="N215" s="62" t="str">
        <f t="shared" si="33"/>
        <v>ag_5-6 v 7-8</v>
      </c>
    </row>
    <row r="216" spans="1:14" ht="14.1" customHeight="1">
      <c r="A216" s="69">
        <f t="shared" si="30"/>
        <v>46228</v>
      </c>
      <c r="B216" s="70">
        <f>'CHICLETS MASTER S2'!X61</f>
        <v>0.66666666666666696</v>
      </c>
      <c r="C216" s="71" t="s">
        <v>248</v>
      </c>
      <c r="D216" s="71" t="str">
        <f t="shared" si="31"/>
        <v>NORTHWOOD HS</v>
      </c>
      <c r="E216" s="71">
        <v>149</v>
      </c>
      <c r="F216" s="90" t="str">
        <f>IF(G209="","L121",IF(G209&lt;I209,_xlfn.CONCAT("L121-",RIGHT(F209,LEN(F209) - FIND("-",F209))), _xlfn.CONCAT("L121-",RIGHT(H209,LEN(H209) - FIND("-",H209)))))</f>
        <v>L121-PRIDE BLACK</v>
      </c>
      <c r="G216" s="90">
        <v>7</v>
      </c>
      <c r="H216" s="90" t="str">
        <f>IF(G208="","L117",IF(G208&lt;I208,_xlfn.CONCAT("L117-",RIGHT(F208,LEN(F208) - FIND("-",F208))), _xlfn.CONCAT("L117-",RIGHT(H208,LEN(H208) - FIND("-",H208)))))</f>
        <v>L117-SHARKS</v>
      </c>
      <c r="I216" s="90">
        <v>11</v>
      </c>
      <c r="J216" s="90">
        <v>182</v>
      </c>
      <c r="K216" s="90">
        <v>181</v>
      </c>
      <c r="L216" s="90" t="str">
        <f t="shared" si="32"/>
        <v>14BX-149</v>
      </c>
      <c r="N216" s="62" t="str">
        <f t="shared" si="33"/>
        <v>ag_9-12 semi</v>
      </c>
    </row>
    <row r="217" spans="1:14" ht="14.1" customHeight="1">
      <c r="A217" s="69">
        <f t="shared" si="30"/>
        <v>46228</v>
      </c>
      <c r="B217" s="70">
        <f>'CHICLETS MASTER S2'!X62</f>
        <v>0.70833333333333304</v>
      </c>
      <c r="C217" s="71" t="s">
        <v>248</v>
      </c>
      <c r="D217" s="71" t="str">
        <f t="shared" si="31"/>
        <v>NORTHWOOD HS</v>
      </c>
      <c r="E217" s="71">
        <v>153</v>
      </c>
      <c r="F217" s="90" t="str">
        <f>IF(G211="","L129",IF(G211&lt;I211,_xlfn.CONCAT("L129-",RIGHT(F211,LEN(F211) - FIND("-",F211))), _xlfn.CONCAT("L129-",RIGHT(H211,LEN(H211) - FIND("-",H211)))))</f>
        <v>L129-LA JOLLA UNITED B</v>
      </c>
      <c r="G217" s="90">
        <v>9</v>
      </c>
      <c r="H217" s="90" t="str">
        <f>IF(G210="","L125",IF(G210&lt;I210,_xlfn.CONCAT("L125-",RIGHT(F210,LEN(F210) - FIND("-",F210))), _xlfn.CONCAT("L125-",RIGHT(H210,LEN(H210) - FIND("-",H210)))))</f>
        <v>L125-KINGSBURG</v>
      </c>
      <c r="I217" s="90">
        <v>11</v>
      </c>
      <c r="J217" s="90">
        <v>182</v>
      </c>
      <c r="K217" s="90">
        <v>181</v>
      </c>
      <c r="L217" s="90" t="str">
        <f t="shared" si="32"/>
        <v>14BX-153</v>
      </c>
      <c r="N217" s="62" t="str">
        <f t="shared" si="33"/>
        <v>ag_9-12 semi</v>
      </c>
    </row>
    <row r="218" spans="1:14" ht="14.1" customHeight="1">
      <c r="A218" s="69">
        <f t="shared" si="30"/>
        <v>46228</v>
      </c>
      <c r="B218" s="70">
        <f>'CHICLETS MASTER S2'!X63</f>
        <v>0.75</v>
      </c>
      <c r="C218" s="71" t="s">
        <v>439</v>
      </c>
      <c r="D218" s="71" t="str">
        <f t="shared" si="31"/>
        <v>NORTHWOOD HS</v>
      </c>
      <c r="E218" s="71">
        <v>157</v>
      </c>
      <c r="F218" s="90" t="str">
        <f>IF(G212="","L133",IF(G212&lt;I212,_xlfn.CONCAT("L133-",RIGHT(F212,LEN(F212) - FIND("-",F212))), _xlfn.CONCAT("L133-",RIGHT(H212,LEN(H212) - FIND("-",H212)))))</f>
        <v>L133-MISSION B</v>
      </c>
      <c r="G218" s="90">
        <v>19</v>
      </c>
      <c r="H218" s="90" t="str">
        <f>IF(G214="","W141",IF(G214&gt;I214,_xlfn.CONCAT("W141-",RIGHT(F214,LEN(F214) - FIND("-",F214))), _xlfn.CONCAT("W141-",RIGHT(H214,LEN(H214) - FIND("-",H214)))))</f>
        <v>W141-ORWP BLACK</v>
      </c>
      <c r="I218" s="90">
        <v>15</v>
      </c>
      <c r="J218" s="90">
        <v>173</v>
      </c>
      <c r="K218" s="90">
        <v>186</v>
      </c>
      <c r="L218" s="90" t="str">
        <f t="shared" si="32"/>
        <v>14BX-157</v>
      </c>
      <c r="N218" s="62" t="str">
        <f t="shared" si="33"/>
        <v>ag_play to semi</v>
      </c>
    </row>
    <row r="219" spans="1:14" ht="14.1" customHeight="1">
      <c r="A219" s="69">
        <f t="shared" si="30"/>
        <v>46228</v>
      </c>
      <c r="B219" s="70">
        <f>'CHICLETS MASTER S2'!X64</f>
        <v>0.79166666666666696</v>
      </c>
      <c r="C219" s="71" t="s">
        <v>439</v>
      </c>
      <c r="D219" s="71" t="str">
        <f t="shared" si="31"/>
        <v>NORTHWOOD HS</v>
      </c>
      <c r="E219" s="71">
        <v>161</v>
      </c>
      <c r="F219" s="90" t="str">
        <f>IF(G213="","L137",IF(G213&lt;I213,_xlfn.CONCAT("L137-",RIGHT(F213,LEN(F213) - FIND("-",F213))), _xlfn.CONCAT("L137-",RIGHT(H213,LEN(H213) - FIND("-",H213)))))</f>
        <v>L137-SD DONS BLACK</v>
      </c>
      <c r="G219" s="90">
        <v>7.4</v>
      </c>
      <c r="H219" s="90" t="str">
        <f>IF(G215="","W145",IF(G215&gt;I215,_xlfn.CONCAT("W145-",RIGHT(F215,LEN(F215) - FIND("-",F215))), _xlfn.CONCAT("W145-",RIGHT(H215,LEN(H215) - FIND("-",H215)))))</f>
        <v>W145-ROUTE 66</v>
      </c>
      <c r="I219" s="90">
        <v>7.5</v>
      </c>
      <c r="J219" s="90">
        <v>174</v>
      </c>
      <c r="K219" s="90">
        <v>186</v>
      </c>
      <c r="L219" s="90" t="str">
        <f t="shared" si="32"/>
        <v>14BX-161</v>
      </c>
      <c r="N219" s="62" t="str">
        <f t="shared" si="33"/>
        <v>ag_play to semi</v>
      </c>
    </row>
    <row r="220" spans="1:14" ht="14.1" customHeight="1" thickBot="1">
      <c r="G220" s="62"/>
    </row>
    <row r="221" spans="1:14" ht="14.1" customHeight="1" thickBot="1">
      <c r="A221" s="78"/>
      <c r="B221" s="333" t="s">
        <v>1309</v>
      </c>
      <c r="D221" s="68" t="str">
        <f>'CHICLETS MASTER S2'!$AC$51</f>
        <v>OCEAN VIEW HS 1</v>
      </c>
      <c r="F221" s="62" t="s">
        <v>418</v>
      </c>
      <c r="G221" s="80" t="s">
        <v>418</v>
      </c>
      <c r="H221" s="62" t="s">
        <v>418</v>
      </c>
      <c r="I221" s="60"/>
      <c r="J221" s="60"/>
      <c r="K221" s="60"/>
      <c r="L221" s="60"/>
    </row>
    <row r="222" spans="1:14" ht="14.1" customHeight="1">
      <c r="A222" s="108" t="s">
        <v>124</v>
      </c>
      <c r="B222" s="108" t="s">
        <v>125</v>
      </c>
      <c r="C222" s="108" t="s">
        <v>126</v>
      </c>
      <c r="D222" s="108" t="s">
        <v>127</v>
      </c>
      <c r="E222" s="108" t="s">
        <v>128</v>
      </c>
      <c r="F222" s="108" t="s">
        <v>129</v>
      </c>
      <c r="G222" s="108" t="s">
        <v>130</v>
      </c>
      <c r="H222" s="108" t="s">
        <v>131</v>
      </c>
      <c r="I222" s="108" t="s">
        <v>130</v>
      </c>
      <c r="J222" s="108" t="s">
        <v>132</v>
      </c>
      <c r="K222" s="108" t="s">
        <v>133</v>
      </c>
      <c r="L222" s="108" t="s">
        <v>134</v>
      </c>
    </row>
    <row r="223" spans="1:14" ht="14.1" customHeight="1">
      <c r="A223" s="69">
        <f t="shared" ref="A223:A234" si="34">$A$205</f>
        <v>46228</v>
      </c>
      <c r="B223" s="334">
        <v>0.35416666666666669</v>
      </c>
      <c r="C223" s="71" t="s">
        <v>249</v>
      </c>
      <c r="D223" s="71" t="str">
        <f t="shared" ref="D223:D234" si="35">$D$221</f>
        <v>OCEAN VIEW HS 1</v>
      </c>
      <c r="E223" s="71">
        <v>118</v>
      </c>
      <c r="F223" s="90" t="s">
        <v>1310</v>
      </c>
      <c r="G223" s="93">
        <v>3</v>
      </c>
      <c r="H223" s="90" t="s">
        <v>1311</v>
      </c>
      <c r="I223" s="93">
        <v>10</v>
      </c>
      <c r="J223" s="90"/>
      <c r="K223" s="90"/>
      <c r="L223" s="90" t="str">
        <f t="shared" ref="L223:L234" si="36">IF(E223="","",$L$15&amp;"-"&amp;TEXT(E223,"000"))</f>
        <v>14BX-118</v>
      </c>
      <c r="N223" s="62" t="str">
        <f t="shared" ref="N223:N234" si="37">$K$270&amp;C223</f>
        <v>ag_21-24 RR</v>
      </c>
    </row>
    <row r="224" spans="1:14" ht="14.1" customHeight="1">
      <c r="A224" s="69">
        <f t="shared" si="34"/>
        <v>46228</v>
      </c>
      <c r="B224" s="334">
        <v>0.39583333333333298</v>
      </c>
      <c r="C224" s="71" t="s">
        <v>249</v>
      </c>
      <c r="D224" s="71" t="str">
        <f t="shared" si="35"/>
        <v>OCEAN VIEW HS 1</v>
      </c>
      <c r="E224" s="71">
        <v>122</v>
      </c>
      <c r="F224" s="90" t="s">
        <v>1312</v>
      </c>
      <c r="G224" s="90">
        <v>9</v>
      </c>
      <c r="H224" s="90" t="s">
        <v>1313</v>
      </c>
      <c r="I224" s="90">
        <v>15</v>
      </c>
      <c r="J224" s="90"/>
      <c r="K224" s="90"/>
      <c r="L224" s="90" t="str">
        <f t="shared" si="36"/>
        <v>14BX-122</v>
      </c>
      <c r="N224" s="62" t="str">
        <f t="shared" si="37"/>
        <v>ag_21-24 RR</v>
      </c>
    </row>
    <row r="225" spans="1:14" ht="14.1" customHeight="1">
      <c r="A225" s="69">
        <f t="shared" si="34"/>
        <v>46228</v>
      </c>
      <c r="B225" s="334">
        <v>0.4375</v>
      </c>
      <c r="C225" s="71" t="s">
        <v>254</v>
      </c>
      <c r="D225" s="71" t="str">
        <f t="shared" si="35"/>
        <v>OCEAN VIEW HS 1</v>
      </c>
      <c r="E225" s="71">
        <v>126</v>
      </c>
      <c r="F225" s="90" t="str">
        <f>IF(G142="","L113",IF(G142&lt;I142,_xlfn.CONCAT("L113-",RIGHT(F142,LEN(F142) - FIND("-",F142))), _xlfn.CONCAT("L113-",RIGHT(H142,LEN(H142) - FIND("-",H142)))))</f>
        <v>L113-STANFORD BLACK</v>
      </c>
      <c r="G225" s="90">
        <v>9</v>
      </c>
      <c r="H225" s="90" t="s">
        <v>1314</v>
      </c>
      <c r="I225" s="90">
        <v>8</v>
      </c>
      <c r="J225" s="90">
        <v>150</v>
      </c>
      <c r="K225" s="90">
        <v>154</v>
      </c>
      <c r="L225" s="90" t="str">
        <f t="shared" si="36"/>
        <v>14BX-126</v>
      </c>
      <c r="N225" s="62" t="str">
        <f t="shared" si="37"/>
        <v>ag_13-20 qtr</v>
      </c>
    </row>
    <row r="226" spans="1:14" ht="14.1" customHeight="1">
      <c r="A226" s="69">
        <f t="shared" si="34"/>
        <v>46228</v>
      </c>
      <c r="B226" s="334">
        <v>0.47916666666666702</v>
      </c>
      <c r="C226" s="71" t="s">
        <v>254</v>
      </c>
      <c r="D226" s="71" t="str">
        <f t="shared" si="35"/>
        <v>OCEAN VIEW HS 1</v>
      </c>
      <c r="E226" s="71">
        <v>130</v>
      </c>
      <c r="F226" s="90" t="str">
        <f>IF(G161="","L114",IF(G161&lt;I161,_xlfn.CONCAT("L114-",RIGHT(F161,LEN(F161) - FIND("-",F161))), _xlfn.CONCAT("L114-",RIGHT(H161,LEN(H161) - FIND("-",H161)))))</f>
        <v>L114-TEMPLE CITY</v>
      </c>
      <c r="G226" s="90">
        <v>12</v>
      </c>
      <c r="H226" s="90" t="s">
        <v>1315</v>
      </c>
      <c r="I226" s="90">
        <v>10</v>
      </c>
      <c r="J226" s="90">
        <v>150</v>
      </c>
      <c r="K226" s="90">
        <v>154</v>
      </c>
      <c r="L226" s="90" t="str">
        <f t="shared" si="36"/>
        <v>14BX-130</v>
      </c>
      <c r="N226" s="62" t="str">
        <f t="shared" si="37"/>
        <v>ag_13-20 qtr</v>
      </c>
    </row>
    <row r="227" spans="1:14" ht="14.1" customHeight="1">
      <c r="A227" s="69">
        <f t="shared" si="34"/>
        <v>46228</v>
      </c>
      <c r="B227" s="334">
        <v>0.52083333333333304</v>
      </c>
      <c r="C227" s="71" t="s">
        <v>254</v>
      </c>
      <c r="D227" s="71" t="str">
        <f t="shared" si="35"/>
        <v>OCEAN VIEW HS 1</v>
      </c>
      <c r="E227" s="71">
        <v>134</v>
      </c>
      <c r="F227" s="90" t="str">
        <f>IF(G141="","L109",IF(G141&lt;I141,_xlfn.CONCAT("L109-",RIGHT(F141,LEN(F141) - FIND("-",F141))), _xlfn.CONCAT("L109-",RIGHT(H141,LEN(H141) - FIND("-",H141)))))</f>
        <v>L109-KERN PREMIER</v>
      </c>
      <c r="G227" s="90">
        <v>12</v>
      </c>
      <c r="H227" s="90" t="s">
        <v>1316</v>
      </c>
      <c r="I227" s="90">
        <v>8</v>
      </c>
      <c r="J227" s="90">
        <v>158</v>
      </c>
      <c r="K227" s="90">
        <v>162</v>
      </c>
      <c r="L227" s="90" t="str">
        <f t="shared" si="36"/>
        <v>14BX-134</v>
      </c>
      <c r="N227" s="62" t="str">
        <f t="shared" si="37"/>
        <v>ag_13-20 qtr</v>
      </c>
    </row>
    <row r="228" spans="1:14" ht="14.1" customHeight="1">
      <c r="A228" s="69">
        <f t="shared" si="34"/>
        <v>46228</v>
      </c>
      <c r="B228" s="334">
        <v>0.5625</v>
      </c>
      <c r="C228" s="71" t="s">
        <v>254</v>
      </c>
      <c r="D228" s="71" t="str">
        <f t="shared" si="35"/>
        <v>OCEAN VIEW HS 1</v>
      </c>
      <c r="E228" s="71">
        <v>138</v>
      </c>
      <c r="F228" s="90" t="str">
        <f>IF(G160="","L110",IF(G160&lt;I160,_xlfn.CONCAT("L110-",RIGHT(F160,LEN(F160) - FIND("-",F160))), _xlfn.CONCAT("L110-",RIGHT(H160,LEN(H160) - FIND("-",H160)))))</f>
        <v>L110-ALAMEDA</v>
      </c>
      <c r="G228" s="90">
        <v>6</v>
      </c>
      <c r="H228" s="90" t="s">
        <v>1317</v>
      </c>
      <c r="I228" s="90">
        <v>11</v>
      </c>
      <c r="J228" s="90">
        <v>158</v>
      </c>
      <c r="K228" s="90">
        <v>162</v>
      </c>
      <c r="L228" s="90" t="str">
        <f t="shared" si="36"/>
        <v>14BX-138</v>
      </c>
      <c r="N228" s="62" t="str">
        <f t="shared" si="37"/>
        <v>ag_13-20 qtr</v>
      </c>
    </row>
    <row r="229" spans="1:14" ht="14.1" customHeight="1">
      <c r="A229" s="69">
        <f t="shared" si="34"/>
        <v>46228</v>
      </c>
      <c r="B229" s="334">
        <v>0.60416666666666696</v>
      </c>
      <c r="C229" s="71" t="s">
        <v>249</v>
      </c>
      <c r="D229" s="71" t="str">
        <f t="shared" si="35"/>
        <v>OCEAN VIEW HS 1</v>
      </c>
      <c r="E229" s="71">
        <v>142</v>
      </c>
      <c r="F229" s="90" t="s">
        <v>1310</v>
      </c>
      <c r="G229" s="90">
        <v>5</v>
      </c>
      <c r="H229" s="90" t="s">
        <v>1313</v>
      </c>
      <c r="I229" s="90">
        <v>4</v>
      </c>
      <c r="J229" s="90"/>
      <c r="K229" s="90"/>
      <c r="L229" s="90" t="str">
        <f t="shared" si="36"/>
        <v>14BX-142</v>
      </c>
      <c r="N229" s="62" t="str">
        <f t="shared" si="37"/>
        <v>ag_21-24 RR</v>
      </c>
    </row>
    <row r="230" spans="1:14" ht="14.1" customHeight="1">
      <c r="A230" s="69">
        <f t="shared" si="34"/>
        <v>46228</v>
      </c>
      <c r="B230" s="334">
        <v>0.64583333333333304</v>
      </c>
      <c r="C230" s="71" t="s">
        <v>249</v>
      </c>
      <c r="D230" s="71" t="str">
        <f t="shared" si="35"/>
        <v>OCEAN VIEW HS 1</v>
      </c>
      <c r="E230" s="71">
        <v>146</v>
      </c>
      <c r="F230" s="90" t="s">
        <v>1312</v>
      </c>
      <c r="G230" s="90">
        <v>6</v>
      </c>
      <c r="H230" s="90" t="s">
        <v>1311</v>
      </c>
      <c r="I230" s="90">
        <v>10</v>
      </c>
      <c r="J230" s="90"/>
      <c r="K230" s="90"/>
      <c r="L230" s="90" t="str">
        <f t="shared" si="36"/>
        <v>14BX-146</v>
      </c>
      <c r="N230" s="62" t="str">
        <f t="shared" si="37"/>
        <v>ag_21-24 RR</v>
      </c>
    </row>
    <row r="231" spans="1:14" ht="14.1" customHeight="1">
      <c r="A231" s="69">
        <f t="shared" si="34"/>
        <v>46228</v>
      </c>
      <c r="B231" s="334">
        <v>0.6875</v>
      </c>
      <c r="C231" s="71" t="s">
        <v>259</v>
      </c>
      <c r="D231" s="71" t="str">
        <f t="shared" si="35"/>
        <v>OCEAN VIEW HS 1</v>
      </c>
      <c r="E231" s="71">
        <v>150</v>
      </c>
      <c r="F231" s="90" t="str">
        <f>IF(G225="","W126",IF(G225&gt;I225,_xlfn.CONCAT("W126-",RIGHT(F225,LEN(F225) - FIND("-",F225))), _xlfn.CONCAT("W126-",RIGHT(H225,LEN(H225) - FIND("-",H225)))))</f>
        <v>W126-STANFORD BLACK</v>
      </c>
      <c r="G231" s="97">
        <v>10</v>
      </c>
      <c r="H231" s="90" t="str">
        <f>IF(G226="","W130",IF(G226&gt;I226,_xlfn.CONCAT("W130-",RIGHT(F226,LEN(F226) - FIND("-",F226))), _xlfn.CONCAT("W130-",RIGHT(H226,LEN(H226) - FIND("-",H226)))))</f>
        <v>W130-TEMPLE CITY</v>
      </c>
      <c r="I231" s="90">
        <v>10.3</v>
      </c>
      <c r="J231" s="90">
        <v>178</v>
      </c>
      <c r="K231" s="90">
        <v>177</v>
      </c>
      <c r="L231" s="90" t="str">
        <f t="shared" si="36"/>
        <v>14BX-150</v>
      </c>
      <c r="N231" s="62" t="str">
        <f t="shared" si="37"/>
        <v>ag_13-16 semi</v>
      </c>
    </row>
    <row r="232" spans="1:14" ht="14.1" customHeight="1">
      <c r="A232" s="69">
        <f t="shared" si="34"/>
        <v>46228</v>
      </c>
      <c r="B232" s="334">
        <v>0.72916666666666696</v>
      </c>
      <c r="C232" s="71" t="s">
        <v>260</v>
      </c>
      <c r="D232" s="71" t="str">
        <f t="shared" si="35"/>
        <v>OCEAN VIEW HS 1</v>
      </c>
      <c r="E232" s="71">
        <v>154</v>
      </c>
      <c r="F232" s="90" t="str">
        <f>IF(G226="","L130",IF(G226&lt;I226,_xlfn.CONCAT("L130-",RIGHT(F226,LEN(F226) - FIND("-",F226))), _xlfn.CONCAT("L130-",RIGHT(H226,LEN(H226) - FIND("-",H226)))))</f>
        <v>L130-ROSE BOWL RED</v>
      </c>
      <c r="G232" s="90">
        <v>6</v>
      </c>
      <c r="H232" s="90" t="str">
        <f>IF(G225="","L126",IF(G225&lt;I225,_xlfn.CONCAT("L126-",RIGHT(F225,LEN(F225) - FIND("-",F225))), _xlfn.CONCAT("L126-",RIGHT(H225,LEN(H225) - FIND("-",H225)))))</f>
        <v xml:space="preserve">L126-CT PREMIER	</v>
      </c>
      <c r="I232" s="90">
        <v>7</v>
      </c>
      <c r="J232" s="90">
        <v>170</v>
      </c>
      <c r="K232" s="90">
        <v>169</v>
      </c>
      <c r="L232" s="90" t="str">
        <f t="shared" si="36"/>
        <v>14BX-154</v>
      </c>
      <c r="N232" s="62" t="str">
        <f t="shared" si="37"/>
        <v>ag_17-20 semi</v>
      </c>
    </row>
    <row r="233" spans="1:14" ht="14.1" customHeight="1">
      <c r="A233" s="69">
        <f t="shared" si="34"/>
        <v>46228</v>
      </c>
      <c r="B233" s="334">
        <v>0.77083333333333304</v>
      </c>
      <c r="C233" s="71" t="s">
        <v>259</v>
      </c>
      <c r="D233" s="71" t="str">
        <f t="shared" si="35"/>
        <v>OCEAN VIEW HS 1</v>
      </c>
      <c r="E233" s="71">
        <v>158</v>
      </c>
      <c r="F233" s="90" t="str">
        <f>IF(G227="","W134",IF(G227&gt;I227,_xlfn.CONCAT("W134-",RIGHT(F227,LEN(F227) - FIND("-",F227))), _xlfn.CONCAT("W134-",RIGHT(H227,LEN(H227) - FIND("-",H227)))))</f>
        <v>W134-KERN PREMIER</v>
      </c>
      <c r="G233" s="90">
        <v>8</v>
      </c>
      <c r="H233" s="90" t="str">
        <f>IF(G228="","W138",IF(G228&gt;I228,_xlfn.CONCAT("W138-",RIGHT(F228,LEN(F228) - FIND("-",F228))), _xlfn.CONCAT("W138-",RIGHT(H228,LEN(H228) - FIND("-",H228)))))</f>
        <v>W138-ECA</v>
      </c>
      <c r="I233" s="90">
        <v>10</v>
      </c>
      <c r="J233" s="90">
        <v>178</v>
      </c>
      <c r="K233" s="90">
        <v>177</v>
      </c>
      <c r="L233" s="90" t="str">
        <f t="shared" si="36"/>
        <v>14BX-158</v>
      </c>
      <c r="N233" s="62" t="str">
        <f t="shared" si="37"/>
        <v>ag_13-16 semi</v>
      </c>
    </row>
    <row r="234" spans="1:14" ht="14.1" customHeight="1">
      <c r="A234" s="69">
        <f t="shared" si="34"/>
        <v>46228</v>
      </c>
      <c r="B234" s="334">
        <v>0.8125</v>
      </c>
      <c r="C234" s="71" t="s">
        <v>260</v>
      </c>
      <c r="D234" s="71" t="str">
        <f t="shared" si="35"/>
        <v>OCEAN VIEW HS 1</v>
      </c>
      <c r="E234" s="71">
        <v>162</v>
      </c>
      <c r="F234" s="90" t="str">
        <f>IF(G228="","L138",IF(G228&lt;I228,_xlfn.CONCAT("L138-",RIGHT(F228,LEN(F228) - FIND("-",F228))), _xlfn.CONCAT("L138-",RIGHT(H228,LEN(H228) - FIND("-",H228)))))</f>
        <v>L138-ALAMEDA</v>
      </c>
      <c r="G234" s="90">
        <v>20</v>
      </c>
      <c r="H234" s="90" t="str">
        <f>IF(G227="","L134",IF(G227&lt;I227,_xlfn.CONCAT("L134-",RIGHT(F227,LEN(F227) - FIND("-",F227))), _xlfn.CONCAT("L134-",RIGHT(H227,LEN(H227) - FIND("-",H227)))))</f>
        <v>L134-LAMORINDA B</v>
      </c>
      <c r="I234" s="90">
        <v>9</v>
      </c>
      <c r="J234" s="90">
        <v>170</v>
      </c>
      <c r="K234" s="90">
        <v>169</v>
      </c>
      <c r="L234" s="90" t="str">
        <f t="shared" si="36"/>
        <v>14BX-162</v>
      </c>
      <c r="N234" s="62" t="str">
        <f t="shared" si="37"/>
        <v>ag_17-20 semi</v>
      </c>
    </row>
    <row r="235" spans="1:14" ht="14.1" customHeight="1" thickBot="1">
      <c r="A235" s="78"/>
      <c r="B235" s="78"/>
      <c r="C235" s="60"/>
      <c r="D235" s="60"/>
      <c r="E235" s="60"/>
      <c r="F235" s="60"/>
      <c r="G235" s="64"/>
      <c r="H235" s="60"/>
      <c r="I235" s="60"/>
      <c r="J235" s="60"/>
      <c r="K235" s="60"/>
      <c r="L235" s="60"/>
    </row>
    <row r="236" spans="1:14" ht="14.1" customHeight="1" thickBot="1">
      <c r="B236" s="60"/>
      <c r="C236" s="60"/>
      <c r="D236" s="68" t="str">
        <f>'CHICLETS MASTER S2'!$AA$51</f>
        <v>BREA OLINDA HS</v>
      </c>
      <c r="E236" s="60"/>
      <c r="F236" s="60"/>
      <c r="G236" s="64"/>
      <c r="H236" s="60"/>
      <c r="I236" s="60"/>
      <c r="J236" s="60"/>
      <c r="K236" s="60"/>
      <c r="L236" s="60"/>
    </row>
    <row r="237" spans="1:14" ht="14.1" customHeight="1">
      <c r="A237" s="108" t="s">
        <v>124</v>
      </c>
      <c r="B237" s="108" t="s">
        <v>125</v>
      </c>
      <c r="C237" s="108" t="s">
        <v>126</v>
      </c>
      <c r="D237" s="108" t="s">
        <v>127</v>
      </c>
      <c r="E237" s="108" t="s">
        <v>128</v>
      </c>
      <c r="F237" s="108" t="s">
        <v>129</v>
      </c>
      <c r="G237" s="108" t="s">
        <v>130</v>
      </c>
      <c r="H237" s="108" t="s">
        <v>131</v>
      </c>
      <c r="I237" s="108" t="s">
        <v>130</v>
      </c>
      <c r="J237" s="108" t="s">
        <v>132</v>
      </c>
      <c r="K237" s="108" t="s">
        <v>133</v>
      </c>
      <c r="L237" s="108" t="s">
        <v>134</v>
      </c>
    </row>
    <row r="238" spans="1:14" ht="14.1" customHeight="1">
      <c r="A238" s="69">
        <f t="shared" ref="A238:A249" si="38">$A$205</f>
        <v>46228</v>
      </c>
      <c r="B238" s="70">
        <f>'CHICLETS MASTER S2'!X53</f>
        <v>0.33333333333333331</v>
      </c>
      <c r="C238" s="71" t="s">
        <v>237</v>
      </c>
      <c r="D238" s="71" t="str">
        <f t="shared" ref="D238:D249" si="39">$D$236</f>
        <v>BREA OLINDA HS</v>
      </c>
      <c r="E238" s="71">
        <v>119</v>
      </c>
      <c r="F238" s="91" t="s">
        <v>1318</v>
      </c>
      <c r="G238" s="91">
        <v>4</v>
      </c>
      <c r="H238" s="91" t="str">
        <f>IF(G201="","W112",IF(G201&gt;I201,_xlfn.CONCAT("W112-",RIGHT(F201,LEN(F201) - FIND("-",F201))), _xlfn.CONCAT("W112-",RIGHT(H201,LEN(H201) - FIND("-",H201)))))</f>
        <v>W112-680 BLUE</v>
      </c>
      <c r="I238" s="91">
        <v>10</v>
      </c>
      <c r="J238" s="91">
        <v>143</v>
      </c>
      <c r="K238" s="91">
        <v>151</v>
      </c>
      <c r="L238" s="91" t="str">
        <f t="shared" ref="L238:L249" si="40">IF(E238="","",$L$15&amp;"-"&amp;TEXT(E238,"000"))</f>
        <v>14BX-119</v>
      </c>
      <c r="N238" s="62" t="str">
        <f t="shared" ref="N238:N249" si="41">$L$270&amp;C238</f>
        <v>bz_5-8 v 9-12</v>
      </c>
    </row>
    <row r="239" spans="1:14" ht="14.1" customHeight="1">
      <c r="A239" s="69">
        <f t="shared" si="38"/>
        <v>46228</v>
      </c>
      <c r="B239" s="70">
        <f>'CHICLETS MASTER S2'!X54</f>
        <v>0.375</v>
      </c>
      <c r="C239" s="71" t="s">
        <v>237</v>
      </c>
      <c r="D239" s="71" t="str">
        <f t="shared" si="39"/>
        <v>BREA OLINDA HS</v>
      </c>
      <c r="E239" s="71">
        <v>123</v>
      </c>
      <c r="F239" s="91" t="s">
        <v>1319</v>
      </c>
      <c r="G239" s="91">
        <v>10</v>
      </c>
      <c r="H239" s="91" t="str">
        <f>IF(G180="","W115",IF(G180&gt;I180,_xlfn.CONCAT("W115-",RIGHT(F180,LEN(F180) - FIND("-",F180))), _xlfn.CONCAT("W115-",RIGHT(H180,LEN(H180) - FIND("-",H180)))))</f>
        <v>W115-LOKAHI</v>
      </c>
      <c r="I239" s="91">
        <v>8</v>
      </c>
      <c r="J239" s="91">
        <v>143</v>
      </c>
      <c r="K239" s="91">
        <v>151</v>
      </c>
      <c r="L239" s="91" t="str">
        <f t="shared" si="40"/>
        <v>14BX-123</v>
      </c>
      <c r="N239" s="62" t="str">
        <f t="shared" si="41"/>
        <v>bz_5-8 v 9-12</v>
      </c>
    </row>
    <row r="240" spans="1:14" ht="14.1" customHeight="1">
      <c r="A240" s="69">
        <f t="shared" si="38"/>
        <v>46228</v>
      </c>
      <c r="B240" s="70">
        <f>'CHICLETS MASTER S2'!X55</f>
        <v>0.41666666666666702</v>
      </c>
      <c r="C240" s="71" t="s">
        <v>237</v>
      </c>
      <c r="D240" s="71" t="str">
        <f t="shared" si="39"/>
        <v>BREA OLINDA HS</v>
      </c>
      <c r="E240" s="71">
        <v>127</v>
      </c>
      <c r="F240" s="91" t="s">
        <v>1320</v>
      </c>
      <c r="G240" s="91">
        <v>11</v>
      </c>
      <c r="H240" s="91" t="str">
        <f>IF(G202="","W116",IF(G202&gt;I202,_xlfn.CONCAT("W116-",RIGHT(F202,LEN(F202) - FIND("-",F202))), _xlfn.CONCAT("W116-",RIGHT(H202,LEN(H202) - FIND("-",H202)))))</f>
        <v>W116-CLOVIS RED</v>
      </c>
      <c r="I240" s="91">
        <v>4</v>
      </c>
      <c r="J240" s="91">
        <v>147</v>
      </c>
      <c r="K240" s="91">
        <v>155</v>
      </c>
      <c r="L240" s="91" t="str">
        <f t="shared" si="40"/>
        <v>14BX-127</v>
      </c>
      <c r="N240" s="62" t="str">
        <f t="shared" si="41"/>
        <v>bz_5-8 v 9-12</v>
      </c>
    </row>
    <row r="241" spans="1:14" ht="14.1" customHeight="1">
      <c r="A241" s="69">
        <f t="shared" si="38"/>
        <v>46228</v>
      </c>
      <c r="B241" s="70">
        <f>'CHICLETS MASTER S2'!X56</f>
        <v>0.45833333333333298</v>
      </c>
      <c r="C241" s="71" t="s">
        <v>237</v>
      </c>
      <c r="D241" s="71" t="str">
        <f t="shared" si="39"/>
        <v>BREA OLINDA HS</v>
      </c>
      <c r="E241" s="71">
        <v>131</v>
      </c>
      <c r="F241" s="91" t="s">
        <v>1321</v>
      </c>
      <c r="G241" s="91">
        <v>11</v>
      </c>
      <c r="H241" s="91" t="str">
        <f>IF(G179="","W111",IF(G179&gt;I179,_xlfn.CONCAT("W111-",RIGHT(F179,LEN(F179) - FIND("-",F179))), _xlfn.CONCAT("W111-",RIGHT(H179,LEN(H179) - FIND("-",H179)))))</f>
        <v>W111-NEWPORT BEACH WHITE</v>
      </c>
      <c r="I241" s="91">
        <v>18</v>
      </c>
      <c r="J241" s="91">
        <v>147</v>
      </c>
      <c r="K241" s="91">
        <v>155</v>
      </c>
      <c r="L241" s="91" t="str">
        <f t="shared" si="40"/>
        <v>14BX-131</v>
      </c>
      <c r="N241" s="62" t="str">
        <f t="shared" si="41"/>
        <v>bz_5-8 v 9-12</v>
      </c>
    </row>
    <row r="242" spans="1:14" ht="14.1" customHeight="1">
      <c r="A242" s="69">
        <f t="shared" si="38"/>
        <v>46228</v>
      </c>
      <c r="B242" s="70">
        <f>'CHICLETS MASTER S2'!X57</f>
        <v>0.5</v>
      </c>
      <c r="C242" s="71" t="s">
        <v>242</v>
      </c>
      <c r="D242" s="71" t="str">
        <f t="shared" si="39"/>
        <v>BREA OLINDA HS</v>
      </c>
      <c r="E242" s="71">
        <v>135</v>
      </c>
      <c r="F242" s="91" t="s">
        <v>1322</v>
      </c>
      <c r="G242" s="91">
        <v>6</v>
      </c>
      <c r="H242" s="91" t="s">
        <v>1323</v>
      </c>
      <c r="I242" s="91">
        <v>5</v>
      </c>
      <c r="J242" s="91">
        <v>172</v>
      </c>
      <c r="K242" s="91">
        <v>159</v>
      </c>
      <c r="L242" s="91" t="str">
        <f t="shared" si="40"/>
        <v>14BX-135</v>
      </c>
      <c r="N242" s="62" t="str">
        <f t="shared" si="41"/>
        <v>bz_1-2 v 3-4</v>
      </c>
    </row>
    <row r="243" spans="1:14" ht="14.1" customHeight="1">
      <c r="A243" s="69">
        <f t="shared" si="38"/>
        <v>46228</v>
      </c>
      <c r="B243" s="70">
        <f>'CHICLETS MASTER S2'!X58</f>
        <v>0.54166666666666696</v>
      </c>
      <c r="C243" s="71" t="s">
        <v>242</v>
      </c>
      <c r="D243" s="71" t="str">
        <f t="shared" si="39"/>
        <v>BREA OLINDA HS</v>
      </c>
      <c r="E243" s="71">
        <v>139</v>
      </c>
      <c r="F243" s="91" t="s">
        <v>1324</v>
      </c>
      <c r="G243" s="91">
        <v>11</v>
      </c>
      <c r="H243" s="91" t="s">
        <v>1325</v>
      </c>
      <c r="I243" s="91">
        <v>13</v>
      </c>
      <c r="J243" s="91">
        <v>171</v>
      </c>
      <c r="K243" s="91">
        <v>163</v>
      </c>
      <c r="L243" s="91" t="str">
        <f t="shared" si="40"/>
        <v>14BX-139</v>
      </c>
      <c r="N243" s="62" t="str">
        <f t="shared" si="41"/>
        <v>bz_1-2 v 3-4</v>
      </c>
    </row>
    <row r="244" spans="1:14" ht="14.1" customHeight="1">
      <c r="A244" s="69">
        <f t="shared" si="38"/>
        <v>46228</v>
      </c>
      <c r="B244" s="70">
        <f>'CHICLETS MASTER S2'!X59</f>
        <v>0.58333333333333304</v>
      </c>
      <c r="C244" s="71" t="s">
        <v>247</v>
      </c>
      <c r="D244" s="71" t="str">
        <f t="shared" si="39"/>
        <v>BREA OLINDA HS</v>
      </c>
      <c r="E244" s="71">
        <v>143</v>
      </c>
      <c r="F244" s="91" t="str">
        <f>IF(G238="","W119",IF(G238&gt;I238,_xlfn.CONCAT("W119-",RIGHT(F238,LEN(F238) - FIND("-",F238))), _xlfn.CONCAT("W119-",RIGHT(H238,LEN(H238) - FIND("-",H238)))))</f>
        <v>W119-680 BLUE</v>
      </c>
      <c r="G244" s="91">
        <v>9</v>
      </c>
      <c r="H244" s="91" t="str">
        <f>IF(G239="","W123",IF(G239&gt;I239,_xlfn.CONCAT("W123-",RIGHT(F239,LEN(F239) - FIND("-",F239))), _xlfn.CONCAT("W123-",RIGHT(H239,LEN(H239) - FIND("-",H239)))))</f>
        <v>W123-CENTRAL VALLEY UNITED</v>
      </c>
      <c r="I244" s="91">
        <v>10</v>
      </c>
      <c r="J244" s="91">
        <v>159</v>
      </c>
      <c r="K244" s="91">
        <v>188</v>
      </c>
      <c r="L244" s="91" t="str">
        <f t="shared" si="40"/>
        <v>14BX-143</v>
      </c>
      <c r="N244" s="62" t="str">
        <f t="shared" si="41"/>
        <v>bz_5-6 v 7-8</v>
      </c>
    </row>
    <row r="245" spans="1:14" ht="14.1" customHeight="1">
      <c r="A245" s="69">
        <f t="shared" si="38"/>
        <v>46228</v>
      </c>
      <c r="B245" s="70">
        <f>'CHICLETS MASTER S2'!X60</f>
        <v>0.625</v>
      </c>
      <c r="C245" s="71" t="s">
        <v>247</v>
      </c>
      <c r="D245" s="71" t="str">
        <f t="shared" si="39"/>
        <v>BREA OLINDA HS</v>
      </c>
      <c r="E245" s="71">
        <v>147</v>
      </c>
      <c r="F245" s="91" t="str">
        <f>IF(G240="","W127",IF(G240&gt;I240,_xlfn.CONCAT("W127-",RIGHT(F240,LEN(F240) - FIND("-",F240))), _xlfn.CONCAT("W127-",RIGHT(H240,LEN(H240) - FIND("-",H240)))))</f>
        <v>W127-SAN JOSE EXPRESS BLUE</v>
      </c>
      <c r="G245" s="91">
        <v>5</v>
      </c>
      <c r="H245" s="91" t="str">
        <f>IF(G241="","W131",IF(G241&gt;I241,_xlfn.CONCAT("W131-",RIGHT(F241,LEN(F241) - FIND("-",F241))), _xlfn.CONCAT("W131-",RIGHT(H241,LEN(H241) - FIND("-",H241)))))</f>
        <v>W131-NEWPORT BEACH WHITE</v>
      </c>
      <c r="I245" s="91">
        <v>8</v>
      </c>
      <c r="J245" s="91">
        <v>163</v>
      </c>
      <c r="K245" s="91">
        <v>188</v>
      </c>
      <c r="L245" s="91" t="str">
        <f t="shared" si="40"/>
        <v>14BX-147</v>
      </c>
      <c r="N245" s="62" t="str">
        <f t="shared" si="41"/>
        <v>bz_5-6 v 7-8</v>
      </c>
    </row>
    <row r="246" spans="1:14" ht="14.1" customHeight="1">
      <c r="A246" s="69">
        <f t="shared" si="38"/>
        <v>46228</v>
      </c>
      <c r="B246" s="70">
        <f>'CHICLETS MASTER S2'!X61</f>
        <v>0.66666666666666696</v>
      </c>
      <c r="C246" s="71" t="s">
        <v>248</v>
      </c>
      <c r="D246" s="71" t="str">
        <f t="shared" si="39"/>
        <v>BREA OLINDA HS</v>
      </c>
      <c r="E246" s="71">
        <v>151</v>
      </c>
      <c r="F246" s="91" t="str">
        <f>IF(G239="","L123",IF(G239&lt;I239,_xlfn.CONCAT("L123-",RIGHT(F239,LEN(F239) - FIND("-",F239))), _xlfn.CONCAT("L123-",RIGHT(H239,LEN(H239) - FIND("-",H239)))))</f>
        <v>L123-LOKAHI</v>
      </c>
      <c r="G246" s="91">
        <v>11</v>
      </c>
      <c r="H246" s="91" t="str">
        <f>IF(G238="","L119",IF(G238&lt;I238,_xlfn.CONCAT("L119-",RIGHT(F238,LEN(F238) - FIND("-",F238))), _xlfn.CONCAT("L119-",RIGHT(H238,LEN(H238) - FIND("-",H238)))))</f>
        <v>L119-SD SHORES GOLD</v>
      </c>
      <c r="I246" s="91">
        <v>10</v>
      </c>
      <c r="J246" s="91">
        <v>183</v>
      </c>
      <c r="K246" s="91">
        <v>184</v>
      </c>
      <c r="L246" s="91" t="str">
        <f t="shared" si="40"/>
        <v>14BX-151</v>
      </c>
      <c r="N246" s="62" t="str">
        <f t="shared" si="41"/>
        <v>bz_9-12 semi</v>
      </c>
    </row>
    <row r="247" spans="1:14" ht="14.1" customHeight="1">
      <c r="A247" s="69">
        <f t="shared" si="38"/>
        <v>46228</v>
      </c>
      <c r="B247" s="70">
        <f>'CHICLETS MASTER S2'!X62</f>
        <v>0.70833333333333304</v>
      </c>
      <c r="C247" s="71" t="s">
        <v>248</v>
      </c>
      <c r="D247" s="71" t="str">
        <f t="shared" si="39"/>
        <v>BREA OLINDA HS</v>
      </c>
      <c r="E247" s="71">
        <v>155</v>
      </c>
      <c r="F247" s="91" t="str">
        <f>IF(G241="","L131",IF(G241&lt;I241,_xlfn.CONCAT("L131-",RIGHT(F241,LEN(F241) - FIND("-",F241))), _xlfn.CONCAT("L131-",RIGHT(H241,LEN(H241) - FIND("-",H241)))))</f>
        <v>L131-CARLSBAD</v>
      </c>
      <c r="G247" s="91">
        <v>11.4</v>
      </c>
      <c r="H247" s="91" t="str">
        <f>IF(G240="","L127",IF(G240&lt;I240,_xlfn.CONCAT("L127-",RIGHT(F240,LEN(F240) - FIND("-",F240))), _xlfn.CONCAT("L127-",RIGHT(H240,LEN(H240) - FIND("-",H240)))))</f>
        <v>L127-CLOVIS RED</v>
      </c>
      <c r="I247" s="91">
        <v>11.5</v>
      </c>
      <c r="J247" s="91">
        <v>183</v>
      </c>
      <c r="K247" s="91">
        <v>184</v>
      </c>
      <c r="L247" s="91" t="str">
        <f t="shared" si="40"/>
        <v>14BX-155</v>
      </c>
      <c r="N247" s="62" t="str">
        <f t="shared" si="41"/>
        <v>bz_9-12 semi</v>
      </c>
    </row>
    <row r="248" spans="1:14" ht="14.1" customHeight="1">
      <c r="A248" s="69">
        <f t="shared" si="38"/>
        <v>46228</v>
      </c>
      <c r="B248" s="70">
        <f>'CHICLETS MASTER S2'!X63</f>
        <v>0.75</v>
      </c>
      <c r="C248" s="71" t="s">
        <v>439</v>
      </c>
      <c r="D248" s="71" t="str">
        <f t="shared" si="39"/>
        <v>BREA OLINDA HS</v>
      </c>
      <c r="E248" s="71">
        <v>159</v>
      </c>
      <c r="F248" s="91" t="str">
        <f>IF(G242="","L135",IF(G242&lt;I242,_xlfn.CONCAT("L135-",RIGHT(F242,LEN(F242) - FIND("-",F242))), _xlfn.CONCAT("L135-",RIGHT(H242,LEN(H242) - FIND("-",H242)))))</f>
        <v>L135-VEGAS RENEGADES</v>
      </c>
      <c r="G248" s="91">
        <v>18</v>
      </c>
      <c r="H248" s="91" t="str">
        <f>IF(G244="","W143",IF(G244&gt;I244,_xlfn.CONCAT("W143-",RIGHT(F244,LEN(F244) - FIND("-",F244))), _xlfn.CONCAT("W143-",RIGHT(H244,LEN(H244) - FIND("-",H244)))))</f>
        <v>W143-CENTRAL VALLEY UNITED</v>
      </c>
      <c r="I248" s="91">
        <v>9</v>
      </c>
      <c r="J248" s="91">
        <v>171</v>
      </c>
      <c r="K248" s="91">
        <v>187</v>
      </c>
      <c r="L248" s="91" t="str">
        <f t="shared" si="40"/>
        <v>14BX-159</v>
      </c>
      <c r="N248" s="62" t="str">
        <f t="shared" si="41"/>
        <v>bz_play to semi</v>
      </c>
    </row>
    <row r="249" spans="1:14" ht="14.1" customHeight="1">
      <c r="A249" s="69">
        <f t="shared" si="38"/>
        <v>46228</v>
      </c>
      <c r="B249" s="70">
        <f>'CHICLETS MASTER S2'!X64</f>
        <v>0.79166666666666696</v>
      </c>
      <c r="C249" s="71" t="s">
        <v>439</v>
      </c>
      <c r="D249" s="71" t="str">
        <f t="shared" si="39"/>
        <v>BREA OLINDA HS</v>
      </c>
      <c r="E249" s="71">
        <v>163</v>
      </c>
      <c r="F249" s="91" t="str">
        <f>IF(G243="","L139",IF(G243&lt;I243,_xlfn.CONCAT("L139-",RIGHT(F243,LEN(F243) - FIND("-",F243))), _xlfn.CONCAT("L139-",RIGHT(H243,LEN(H243) - FIND("-",H243)))))</f>
        <v>L139-PRAETORIAN</v>
      </c>
      <c r="G249" s="91">
        <v>12</v>
      </c>
      <c r="H249" s="91" t="str">
        <f>IF(G245="","W147",IF(G245&gt;I245,_xlfn.CONCAT("W147-",RIGHT(F245,LEN(F245) - FIND("-",F245))), _xlfn.CONCAT("W147-",RIGHT(H245,LEN(H245) - FIND("-",H245)))))</f>
        <v>W147-NEWPORT BEACH WHITE</v>
      </c>
      <c r="I249" s="91">
        <v>17</v>
      </c>
      <c r="J249" s="91">
        <v>172</v>
      </c>
      <c r="K249" s="91">
        <v>187</v>
      </c>
      <c r="L249" s="91" t="str">
        <f t="shared" si="40"/>
        <v>14BX-163</v>
      </c>
      <c r="N249" s="62" t="str">
        <f t="shared" si="41"/>
        <v>bz_play to semi</v>
      </c>
    </row>
    <row r="250" spans="1:14" ht="14.1" customHeight="1" thickBot="1">
      <c r="G250" s="62"/>
    </row>
    <row r="251" spans="1:14" ht="14.1" customHeight="1" thickBot="1">
      <c r="A251" s="78"/>
      <c r="B251" s="79"/>
      <c r="C251" s="60"/>
      <c r="D251" s="68" t="str">
        <f>'CHICLETS MASTER S2'!$AB$51</f>
        <v>ESPERANZA HS</v>
      </c>
      <c r="E251" s="60"/>
      <c r="F251" s="60"/>
      <c r="G251" s="64"/>
      <c r="H251" s="60"/>
      <c r="I251" s="60"/>
      <c r="J251" s="60"/>
      <c r="K251" s="60"/>
      <c r="L251" s="60"/>
    </row>
    <row r="252" spans="1:14" ht="14.1" customHeight="1">
      <c r="A252" s="108" t="s">
        <v>124</v>
      </c>
      <c r="B252" s="108" t="s">
        <v>125</v>
      </c>
      <c r="C252" s="108" t="s">
        <v>126</v>
      </c>
      <c r="D252" s="108" t="s">
        <v>127</v>
      </c>
      <c r="E252" s="108" t="s">
        <v>128</v>
      </c>
      <c r="F252" s="108" t="s">
        <v>129</v>
      </c>
      <c r="G252" s="108" t="s">
        <v>130</v>
      </c>
      <c r="H252" s="108" t="s">
        <v>131</v>
      </c>
      <c r="I252" s="108" t="s">
        <v>130</v>
      </c>
      <c r="J252" s="108" t="s">
        <v>132</v>
      </c>
      <c r="K252" s="108" t="s">
        <v>133</v>
      </c>
      <c r="L252" s="108" t="s">
        <v>134</v>
      </c>
    </row>
    <row r="253" spans="1:14" ht="14.1" customHeight="1">
      <c r="A253" s="69">
        <f t="shared" ref="A253:A267" si="42">$A$205</f>
        <v>46228</v>
      </c>
      <c r="B253" s="70">
        <f>'CHICLETS MASTER S2'!P53</f>
        <v>0.33333333333333331</v>
      </c>
      <c r="C253" s="71" t="s">
        <v>249</v>
      </c>
      <c r="D253" s="71" t="str">
        <f t="shared" ref="D253:D258" si="43">$D$251</f>
        <v>ESPERANZA HS</v>
      </c>
      <c r="E253" s="71">
        <v>120</v>
      </c>
      <c r="F253" s="91" t="s">
        <v>1326</v>
      </c>
      <c r="G253" s="91">
        <v>15</v>
      </c>
      <c r="H253" s="91" t="s">
        <v>1327</v>
      </c>
      <c r="I253" s="91">
        <v>12</v>
      </c>
      <c r="J253" s="91"/>
      <c r="K253" s="91"/>
      <c r="L253" s="91" t="str">
        <f t="shared" ref="L253:L267" si="44">IF(E253="","",$L$15&amp;"-"&amp;TEXT(E253,"000"))</f>
        <v>14BX-120</v>
      </c>
      <c r="N253" s="62" t="str">
        <f t="shared" ref="N253:N267" si="45">$L$270&amp;C253</f>
        <v>bz_21-24 RR</v>
      </c>
    </row>
    <row r="254" spans="1:14" ht="14.1" customHeight="1">
      <c r="A254" s="69">
        <f t="shared" si="42"/>
        <v>46228</v>
      </c>
      <c r="B254" s="70">
        <f>'CHICLETS MASTER S2'!P54</f>
        <v>0.375</v>
      </c>
      <c r="C254" s="71" t="s">
        <v>249</v>
      </c>
      <c r="D254" s="71" t="str">
        <f t="shared" si="43"/>
        <v>ESPERANZA HS</v>
      </c>
      <c r="E254" s="71">
        <v>124</v>
      </c>
      <c r="F254" s="91" t="s">
        <v>1328</v>
      </c>
      <c r="G254" s="91">
        <v>8</v>
      </c>
      <c r="H254" s="91" t="s">
        <v>1329</v>
      </c>
      <c r="I254" s="91">
        <v>20</v>
      </c>
      <c r="J254" s="91"/>
      <c r="K254" s="91"/>
      <c r="L254" s="91" t="str">
        <f t="shared" si="44"/>
        <v>14BX-124</v>
      </c>
      <c r="N254" s="62" t="str">
        <f t="shared" si="45"/>
        <v>bz_21-24 RR</v>
      </c>
    </row>
    <row r="255" spans="1:14" ht="14.1" customHeight="1">
      <c r="A255" s="69">
        <f t="shared" si="42"/>
        <v>46228</v>
      </c>
      <c r="B255" s="70">
        <f>'CHICLETS MASTER S2'!P55</f>
        <v>0.41666666666666702</v>
      </c>
      <c r="C255" s="71" t="s">
        <v>254</v>
      </c>
      <c r="D255" s="71" t="str">
        <f t="shared" si="43"/>
        <v>ESPERANZA HS</v>
      </c>
      <c r="E255" s="71">
        <v>128</v>
      </c>
      <c r="F255" s="91" t="str">
        <f>IF(G180="","L115",IF(G180&lt;I180,_xlfn.CONCAT("L115-",RIGHT(F180,LEN(F180) - FIND("-",F180))), _xlfn.CONCAT("L115-",RIGHT(H180,LEN(H180) - FIND("-",H180)))))</f>
        <v>L115-DIABLO ALLIANCE B</v>
      </c>
      <c r="G255" s="91">
        <v>10</v>
      </c>
      <c r="H255" s="91" t="s">
        <v>1330</v>
      </c>
      <c r="I255" s="91">
        <v>9</v>
      </c>
      <c r="J255" s="91">
        <v>152</v>
      </c>
      <c r="K255" s="91">
        <v>156</v>
      </c>
      <c r="L255" s="91" t="str">
        <f t="shared" si="44"/>
        <v>14BX-128</v>
      </c>
      <c r="N255" s="62" t="str">
        <f t="shared" si="45"/>
        <v>bz_13-20 qtr</v>
      </c>
    </row>
    <row r="256" spans="1:14" ht="14.1" customHeight="1">
      <c r="A256" s="69">
        <f t="shared" si="42"/>
        <v>46228</v>
      </c>
      <c r="B256" s="70">
        <f>'CHICLETS MASTER S2'!P56</f>
        <v>0.45833333333333298</v>
      </c>
      <c r="C256" s="71" t="s">
        <v>254</v>
      </c>
      <c r="D256" s="71" t="str">
        <f t="shared" si="43"/>
        <v>ESPERANZA HS</v>
      </c>
      <c r="E256" s="71">
        <v>132</v>
      </c>
      <c r="F256" s="91" t="str">
        <f>IF(G202="","L116",IF(G202&lt;I202,_xlfn.CONCAT("L116-",RIGHT(F202,LEN(F202) - FIND("-",F202))), _xlfn.CONCAT("L116-",RIGHT(H202,LEN(H202) - FIND("-",H202)))))</f>
        <v>L116-BROOKLYN HUSTLE</v>
      </c>
      <c r="G256" s="91">
        <v>6.4</v>
      </c>
      <c r="H256" s="91" t="s">
        <v>1331</v>
      </c>
      <c r="I256" s="91">
        <v>6.5</v>
      </c>
      <c r="J256" s="91">
        <v>152</v>
      </c>
      <c r="K256" s="91">
        <v>156</v>
      </c>
      <c r="L256" s="91" t="str">
        <f t="shared" si="44"/>
        <v>14BX-132</v>
      </c>
      <c r="N256" s="62" t="str">
        <f t="shared" si="45"/>
        <v>bz_13-20 qtr</v>
      </c>
    </row>
    <row r="257" spans="1:14" ht="14.1" customHeight="1">
      <c r="A257" s="69">
        <f t="shared" si="42"/>
        <v>46228</v>
      </c>
      <c r="B257" s="70">
        <f>'CHICLETS MASTER S2'!P57</f>
        <v>0.5</v>
      </c>
      <c r="C257" s="71" t="s">
        <v>254</v>
      </c>
      <c r="D257" s="71" t="str">
        <f t="shared" si="43"/>
        <v>ESPERANZA HS</v>
      </c>
      <c r="E257" s="71">
        <v>136</v>
      </c>
      <c r="F257" s="91" t="str">
        <f>IF(G179="","L111",IF(G179&lt;I179,_xlfn.CONCAT("L111-",RIGHT(F179,LEN(F179) - FIND("-",F179))), _xlfn.CONCAT("L111-",RIGHT(H179,LEN(H179) - FIND("-",H179)))))</f>
        <v>L111-CAPITAL</v>
      </c>
      <c r="G257" s="91">
        <v>15</v>
      </c>
      <c r="H257" s="91" t="s">
        <v>1332</v>
      </c>
      <c r="I257" s="91">
        <v>11</v>
      </c>
      <c r="J257" s="91">
        <v>160</v>
      </c>
      <c r="K257" s="91">
        <v>164</v>
      </c>
      <c r="L257" s="91" t="str">
        <f t="shared" si="44"/>
        <v>14BX-136</v>
      </c>
      <c r="N257" s="62" t="str">
        <f t="shared" si="45"/>
        <v>bz_13-20 qtr</v>
      </c>
    </row>
    <row r="258" spans="1:14" ht="14.1" customHeight="1">
      <c r="A258" s="69">
        <f t="shared" si="42"/>
        <v>46228</v>
      </c>
      <c r="B258" s="70">
        <f>'CHICLETS MASTER S2'!P58</f>
        <v>0.54166666666666696</v>
      </c>
      <c r="C258" s="71" t="s">
        <v>254</v>
      </c>
      <c r="D258" s="71" t="str">
        <f t="shared" si="43"/>
        <v>ESPERANZA HS</v>
      </c>
      <c r="E258" s="71">
        <v>140</v>
      </c>
      <c r="F258" s="91" t="str">
        <f>IF(G201="","L112",IF(G201&lt;I201,_xlfn.CONCAT("L112-",RIGHT(F201,LEN(F201) - FIND("-",F201))), _xlfn.CONCAT("L112-",RIGHT(H201,LEN(H201) - FIND("-",H201)))))</f>
        <v>L112-680 WHITE</v>
      </c>
      <c r="G258" s="91">
        <v>8.4</v>
      </c>
      <c r="H258" s="91" t="s">
        <v>1333</v>
      </c>
      <c r="I258" s="91">
        <v>8.3000000000000007</v>
      </c>
      <c r="J258" s="91">
        <v>160</v>
      </c>
      <c r="K258" s="91">
        <v>164</v>
      </c>
      <c r="L258" s="91" t="str">
        <f t="shared" si="44"/>
        <v>14BX-140</v>
      </c>
      <c r="N258" s="62" t="str">
        <f t="shared" si="45"/>
        <v>bz_13-20 qtr</v>
      </c>
    </row>
    <row r="259" spans="1:14" ht="14.1" customHeight="1" thickBot="1">
      <c r="G259" s="62"/>
    </row>
    <row r="260" spans="1:14" ht="14.1" customHeight="1" thickBot="1">
      <c r="A260" s="78"/>
      <c r="B260" s="79"/>
      <c r="C260" s="60"/>
      <c r="D260" s="68" t="str">
        <f>'CHICLETS MASTER S2'!$T$51</f>
        <v>GARDEN GROVE HS</v>
      </c>
      <c r="E260" s="60"/>
      <c r="F260" s="60"/>
      <c r="G260" s="64"/>
      <c r="H260" s="60"/>
      <c r="I260" s="60"/>
      <c r="J260" s="60"/>
      <c r="K260" s="60"/>
      <c r="L260" s="60"/>
    </row>
    <row r="261" spans="1:14" ht="14.1" customHeight="1">
      <c r="A261" s="108" t="s">
        <v>124</v>
      </c>
      <c r="B261" s="108" t="s">
        <v>125</v>
      </c>
      <c r="C261" s="108" t="s">
        <v>126</v>
      </c>
      <c r="D261" s="108" t="s">
        <v>127</v>
      </c>
      <c r="E261" s="108" t="s">
        <v>128</v>
      </c>
      <c r="F261" s="108" t="s">
        <v>129</v>
      </c>
      <c r="G261" s="108" t="s">
        <v>130</v>
      </c>
      <c r="H261" s="108" t="s">
        <v>131</v>
      </c>
      <c r="I261" s="108" t="s">
        <v>130</v>
      </c>
      <c r="J261" s="108" t="s">
        <v>132</v>
      </c>
      <c r="K261" s="108" t="s">
        <v>133</v>
      </c>
      <c r="L261" s="108" t="s">
        <v>134</v>
      </c>
    </row>
    <row r="262" spans="1:14" ht="14.1" customHeight="1">
      <c r="A262" s="69">
        <f t="shared" si="42"/>
        <v>46228</v>
      </c>
      <c r="B262" s="70">
        <f>'CHICLETS MASTER S2'!P59</f>
        <v>0.58333333333333304</v>
      </c>
      <c r="C262" s="71" t="s">
        <v>260</v>
      </c>
      <c r="D262" s="71" t="str">
        <f>$D$260</f>
        <v>GARDEN GROVE HS</v>
      </c>
      <c r="E262" s="71">
        <v>156</v>
      </c>
      <c r="F262" s="91" t="str">
        <f>IF(G256="","L132",IF(G256&lt;I256,_xlfn.CONCAT("L132-",RIGHT(F256,LEN(F256) - FIND("-",F256))), _xlfn.CONCAT("L132-",RIGHT(H256,LEN(H256) - FIND("-",H256)))))</f>
        <v>L132-BROOKLYN HUSTLE</v>
      </c>
      <c r="G262" s="91">
        <v>9</v>
      </c>
      <c r="H262" s="91" t="str">
        <f>IF(G255="","L128",IF(G255&lt;I255,_xlfn.CONCAT("L128-",RIGHT(F255,LEN(F255) - FIND("-",F255))), _xlfn.CONCAT("L128-",RIGHT(H255,LEN(H255) - FIND("-",H255)))))</f>
        <v>L128-WCAC UNITED</v>
      </c>
      <c r="I262" s="91">
        <v>14</v>
      </c>
      <c r="J262" s="91">
        <v>175</v>
      </c>
      <c r="K262" s="91">
        <v>176</v>
      </c>
      <c r="L262" s="91" t="str">
        <f t="shared" si="44"/>
        <v>14BX-156</v>
      </c>
      <c r="N262" s="62" t="str">
        <f t="shared" si="45"/>
        <v>bz_17-20 semi</v>
      </c>
    </row>
    <row r="263" spans="1:14" ht="14.1" customHeight="1">
      <c r="A263" s="69">
        <f t="shared" si="42"/>
        <v>46228</v>
      </c>
      <c r="B263" s="70">
        <f>'CHICLETS MASTER S2'!P60</f>
        <v>0.625</v>
      </c>
      <c r="C263" s="71" t="s">
        <v>260</v>
      </c>
      <c r="D263" s="71" t="str">
        <f t="shared" ref="D263:D267" si="46">$D$260</f>
        <v>GARDEN GROVE HS</v>
      </c>
      <c r="E263" s="71">
        <v>164</v>
      </c>
      <c r="F263" s="91" t="str">
        <f>IF(G258="","L140",IF(G258&lt;I258,_xlfn.CONCAT("L140-",RIGHT(F258,LEN(F258) - FIND("-",F258))), _xlfn.CONCAT("L140-",RIGHT(H258,LEN(H258) - FIND("-",H258)))))</f>
        <v>L140-SAN JOSE FOUNDATION BLACK</v>
      </c>
      <c r="G263" s="91">
        <v>19</v>
      </c>
      <c r="H263" s="91" t="str">
        <f>IF(G257="","L136",IF(G257&lt;I257,_xlfn.CONCAT("L136-",RIGHT(F257,LEN(F257) - FIND("-",F257))), _xlfn.CONCAT("L136-",RIGHT(H257,LEN(H257) - FIND("-",H257)))))</f>
        <v>L136-THIRD COAST</v>
      </c>
      <c r="I263" s="91">
        <v>12</v>
      </c>
      <c r="J263" s="91">
        <v>175</v>
      </c>
      <c r="K263" s="91">
        <v>176</v>
      </c>
      <c r="L263" s="91" t="str">
        <f t="shared" si="44"/>
        <v>14BX-164</v>
      </c>
      <c r="N263" s="62" t="str">
        <f t="shared" si="45"/>
        <v>bz_17-20 semi</v>
      </c>
    </row>
    <row r="264" spans="1:14" ht="14.1" customHeight="1">
      <c r="A264" s="69">
        <f t="shared" si="42"/>
        <v>46228</v>
      </c>
      <c r="B264" s="70">
        <f>'CHICLETS MASTER S2'!P61</f>
        <v>0.66666666666666696</v>
      </c>
      <c r="C264" s="71" t="s">
        <v>249</v>
      </c>
      <c r="D264" s="71" t="str">
        <f t="shared" si="46"/>
        <v>GARDEN GROVE HS</v>
      </c>
      <c r="E264" s="71">
        <v>144</v>
      </c>
      <c r="F264" s="91" t="s">
        <v>1326</v>
      </c>
      <c r="G264" s="91">
        <v>11</v>
      </c>
      <c r="H264" s="91" t="s">
        <v>1329</v>
      </c>
      <c r="I264" s="91">
        <v>19</v>
      </c>
      <c r="J264" s="91"/>
      <c r="K264" s="91"/>
      <c r="L264" s="91" t="str">
        <f t="shared" si="44"/>
        <v>14BX-144</v>
      </c>
      <c r="N264" s="62" t="str">
        <f t="shared" si="45"/>
        <v>bz_21-24 RR</v>
      </c>
    </row>
    <row r="265" spans="1:14" ht="14.1" customHeight="1">
      <c r="A265" s="69">
        <f t="shared" si="42"/>
        <v>46228</v>
      </c>
      <c r="B265" s="70">
        <f>'CHICLETS MASTER S2'!P62</f>
        <v>0.70833333333333304</v>
      </c>
      <c r="C265" s="71" t="s">
        <v>249</v>
      </c>
      <c r="D265" s="71" t="str">
        <f t="shared" si="46"/>
        <v>GARDEN GROVE HS</v>
      </c>
      <c r="E265" s="71">
        <v>148</v>
      </c>
      <c r="F265" s="91" t="s">
        <v>1328</v>
      </c>
      <c r="G265" s="91">
        <v>7</v>
      </c>
      <c r="H265" s="91" t="s">
        <v>1327</v>
      </c>
      <c r="I265" s="91">
        <v>14</v>
      </c>
      <c r="J265" s="91"/>
      <c r="K265" s="91"/>
      <c r="L265" s="91" t="str">
        <f t="shared" si="44"/>
        <v>14BX-148</v>
      </c>
      <c r="N265" s="62" t="str">
        <f t="shared" si="45"/>
        <v>bz_21-24 RR</v>
      </c>
    </row>
    <row r="266" spans="1:14" ht="14.1" customHeight="1">
      <c r="A266" s="69">
        <f t="shared" si="42"/>
        <v>46228</v>
      </c>
      <c r="B266" s="70">
        <f>'CHICLETS MASTER S2'!P63</f>
        <v>0.75</v>
      </c>
      <c r="C266" s="71" t="s">
        <v>259</v>
      </c>
      <c r="D266" s="71" t="str">
        <f t="shared" si="46"/>
        <v>GARDEN GROVE HS</v>
      </c>
      <c r="E266" s="94">
        <v>152</v>
      </c>
      <c r="F266" s="91" t="str">
        <f>IF(G255="","W128",IF(G255&gt;I255,_xlfn.CONCAT("W128-",RIGHT(F255,LEN(F255) - FIND("-",F255))), _xlfn.CONCAT("W128-",RIGHT(H255,LEN(H255) - FIND("-",H255)))))</f>
        <v>W128-DIABLO ALLIANCE B</v>
      </c>
      <c r="G266" s="91">
        <v>14</v>
      </c>
      <c r="H266" s="91" t="str">
        <f>IF(G256="","W132",IF(G256&gt;I256,_xlfn.CONCAT("W132-",RIGHT(F256,LEN(F256) - FIND("-",F256))), _xlfn.CONCAT("W132-",RIGHT(H256,LEN(H256) - FIND("-",H256)))))</f>
        <v>W132-RAIN CITY</v>
      </c>
      <c r="I266" s="91">
        <v>10</v>
      </c>
      <c r="J266" s="91">
        <v>179</v>
      </c>
      <c r="K266" s="91">
        <v>180</v>
      </c>
      <c r="L266" s="91" t="str">
        <f t="shared" si="44"/>
        <v>14BX-152</v>
      </c>
      <c r="N266" s="62" t="str">
        <f t="shared" si="45"/>
        <v>bz_13-16 semi</v>
      </c>
    </row>
    <row r="267" spans="1:14" ht="14.1" customHeight="1">
      <c r="A267" s="69">
        <f t="shared" si="42"/>
        <v>46228</v>
      </c>
      <c r="B267" s="70">
        <f>'CHICLETS MASTER S2'!P64</f>
        <v>0.79166666666666696</v>
      </c>
      <c r="C267" s="71" t="s">
        <v>259</v>
      </c>
      <c r="D267" s="71" t="str">
        <f t="shared" si="46"/>
        <v>GARDEN GROVE HS</v>
      </c>
      <c r="E267" s="71">
        <v>160</v>
      </c>
      <c r="F267" s="91" t="str">
        <f>IF(G257="","W136",IF(G257&gt;I257,_xlfn.CONCAT("W136-",RIGHT(F257,LEN(F257) - FIND("-",F257))), _xlfn.CONCAT("W136-",RIGHT(H257,LEN(H257) - FIND("-",H257)))))</f>
        <v>W136-CAPITAL</v>
      </c>
      <c r="G267" s="121">
        <v>7</v>
      </c>
      <c r="H267" s="91" t="str">
        <f>IF(G258="","W140",IF(G258&gt;I258,_xlfn.CONCAT("W140-",RIGHT(F258,LEN(F258) - FIND("-",F258))), _xlfn.CONCAT("W140-",RIGHT(H258,LEN(H258) - FIND("-",H258)))))</f>
        <v>W140-680 WHITE</v>
      </c>
      <c r="I267" s="91">
        <v>7.3</v>
      </c>
      <c r="J267" s="91">
        <v>179</v>
      </c>
      <c r="K267" s="91">
        <v>180</v>
      </c>
      <c r="L267" s="91" t="str">
        <f t="shared" si="44"/>
        <v>14BX-160</v>
      </c>
      <c r="N267" s="62" t="str">
        <f t="shared" si="45"/>
        <v>bz_13-16 semi</v>
      </c>
    </row>
    <row r="268" spans="1:14" ht="14.1" customHeight="1" thickBot="1">
      <c r="A268" s="78"/>
      <c r="B268" s="79"/>
      <c r="C268" s="60"/>
      <c r="D268" s="60"/>
      <c r="E268" s="60"/>
      <c r="F268" s="60"/>
      <c r="G268" s="64"/>
      <c r="H268" s="60"/>
      <c r="I268" s="60"/>
      <c r="J268" s="60"/>
      <c r="K268" s="60"/>
      <c r="L268" s="60"/>
    </row>
    <row r="269" spans="1:14" ht="14.1" customHeight="1" thickTop="1" thickBot="1">
      <c r="A269" s="68" t="s">
        <v>267</v>
      </c>
      <c r="B269" s="82"/>
      <c r="C269" s="82"/>
      <c r="D269" s="82"/>
      <c r="E269" s="82"/>
      <c r="F269" s="82"/>
      <c r="G269" s="83"/>
      <c r="H269" s="82"/>
      <c r="I269" s="82"/>
      <c r="J269" s="82"/>
      <c r="K269" s="82"/>
      <c r="L269" s="82"/>
    </row>
    <row r="270" spans="1:14" ht="14.1" customHeight="1" thickBot="1">
      <c r="A270" s="61">
        <v>46229</v>
      </c>
      <c r="D270" s="95"/>
      <c r="G270" s="62"/>
      <c r="K270" s="62" t="s">
        <v>1034</v>
      </c>
      <c r="L270" s="62" t="s">
        <v>1035</v>
      </c>
    </row>
    <row r="271" spans="1:14" ht="14.1" customHeight="1" thickBot="1">
      <c r="A271" s="60"/>
      <c r="B271" s="95"/>
      <c r="C271" s="60"/>
      <c r="D271" s="65" t="str">
        <f>'CHICLETS MASTER S2'!$AC$72</f>
        <v>OCEAN VIEW HS 1</v>
      </c>
      <c r="E271" s="60"/>
      <c r="F271" s="60"/>
      <c r="G271" s="64"/>
      <c r="H271" s="60"/>
      <c r="I271" s="64"/>
      <c r="J271" s="60"/>
      <c r="K271" s="60"/>
      <c r="L271" s="60"/>
    </row>
    <row r="272" spans="1:14" ht="14.1" customHeight="1">
      <c r="A272" s="108" t="s">
        <v>124</v>
      </c>
      <c r="B272" s="108" t="s">
        <v>125</v>
      </c>
      <c r="C272" s="108" t="s">
        <v>126</v>
      </c>
      <c r="D272" s="108" t="s">
        <v>127</v>
      </c>
      <c r="E272" s="108" t="s">
        <v>128</v>
      </c>
      <c r="F272" s="108" t="s">
        <v>129</v>
      </c>
      <c r="G272" s="108" t="s">
        <v>130</v>
      </c>
      <c r="H272" s="108" t="s">
        <v>131</v>
      </c>
      <c r="I272" s="108" t="s">
        <v>130</v>
      </c>
      <c r="J272" s="108" t="s">
        <v>132</v>
      </c>
      <c r="K272" s="108" t="s">
        <v>133</v>
      </c>
      <c r="L272" s="108" t="s">
        <v>134</v>
      </c>
    </row>
    <row r="273" spans="1:14" ht="14.1" customHeight="1">
      <c r="A273" s="69">
        <f t="shared" ref="A273:A309" si="47">$A$270</f>
        <v>46229</v>
      </c>
      <c r="B273" s="96">
        <f>'CHICLETS MASTER S2'!P73</f>
        <v>0.29166666666666669</v>
      </c>
      <c r="C273" s="71" t="s">
        <v>272</v>
      </c>
      <c r="D273" s="71" t="str">
        <f t="shared" ref="D273:D279" si="48">$D$271</f>
        <v>OCEAN VIEW HS 1</v>
      </c>
      <c r="E273" s="71">
        <v>186</v>
      </c>
      <c r="F273" s="90" t="str">
        <f>IF(G218="","L157",IF(G218&lt;I218,_xlfn.CONCAT("L157-",RIGHT(F218,LEN(F218) - FIND("-",F218))), _xlfn.CONCAT("L157-",RIGHT(H218,LEN(H218) - FIND("-",H218)))))</f>
        <v>L157-ORWP BLACK</v>
      </c>
      <c r="G273" s="93">
        <v>15</v>
      </c>
      <c r="H273" s="90" t="str">
        <f>IF(G219="","L161",IF(G219&lt;I219,_xlfn.CONCAT("L161-",RIGHT(F219,LEN(F219) - FIND("-",F219))), _xlfn.CONCAT("L161-",RIGHT(H219,LEN(H219) - FIND("-",H219)))))</f>
        <v>L161-SD DONS BLACK</v>
      </c>
      <c r="I273" s="93">
        <v>8</v>
      </c>
      <c r="J273" s="90" t="s">
        <v>1149</v>
      </c>
      <c r="K273" s="90" t="s">
        <v>1150</v>
      </c>
      <c r="L273" s="90" t="str">
        <f>$L$15&amp;"-"&amp;TEXT(E273,"000")</f>
        <v>14BX-186</v>
      </c>
      <c r="N273" s="62" t="str">
        <f>$K$270&amp;C273</f>
        <v>ag_5th</v>
      </c>
    </row>
    <row r="274" spans="1:14" ht="14.1" customHeight="1">
      <c r="A274" s="69">
        <f t="shared" si="47"/>
        <v>46229</v>
      </c>
      <c r="B274" s="96">
        <f>'CHICLETS MASTER S2'!P74</f>
        <v>0.33333333333333298</v>
      </c>
      <c r="C274" s="71" t="s">
        <v>281</v>
      </c>
      <c r="D274" s="71" t="str">
        <f t="shared" si="48"/>
        <v>OCEAN VIEW HS 1</v>
      </c>
      <c r="E274" s="71">
        <v>182</v>
      </c>
      <c r="F274" s="90" t="str">
        <f>IF(G216="","W149",IF(G216&gt;I216,_xlfn.CONCAT("W149-",RIGHT(F216,LEN(F216) - FIND("-",F216))), _xlfn.CONCAT("W149-",RIGHT(H216,LEN(H216) - FIND("-",H216)))))</f>
        <v>W149-SHARKS</v>
      </c>
      <c r="G274" s="93">
        <v>7</v>
      </c>
      <c r="H274" s="90" t="str">
        <f>IF(G217="","W153",IF(G217&gt;I217,_xlfn.CONCAT("W153-",RIGHT(F217,LEN(F217) - FIND("-",F217))), _xlfn.CONCAT("W153-",RIGHT(H217,LEN(H217) - FIND("-",H217)))))</f>
        <v>W153-KINGSBURG</v>
      </c>
      <c r="I274" s="93">
        <v>4</v>
      </c>
      <c r="J274" s="90" t="s">
        <v>1169</v>
      </c>
      <c r="K274" s="90" t="s">
        <v>1170</v>
      </c>
      <c r="L274" s="90" t="str">
        <f t="shared" ref="L274:L279" si="49">$L$15&amp;"-"&amp;TEXT(E274,"000")</f>
        <v>14BX-182</v>
      </c>
      <c r="N274" s="62" t="str">
        <f t="shared" ref="N274:N279" si="50">$K$270&amp;C274</f>
        <v>ag_9th</v>
      </c>
    </row>
    <row r="275" spans="1:14" ht="14.1" customHeight="1">
      <c r="A275" s="69">
        <f t="shared" si="47"/>
        <v>46229</v>
      </c>
      <c r="B275" s="96">
        <f>'CHICLETS MASTER S2'!P75</f>
        <v>0.375</v>
      </c>
      <c r="C275" s="71" t="s">
        <v>269</v>
      </c>
      <c r="D275" s="71" t="str">
        <f t="shared" si="48"/>
        <v>OCEAN VIEW HS 1</v>
      </c>
      <c r="E275" s="71">
        <v>185</v>
      </c>
      <c r="F275" s="90" t="str">
        <f>IF(G214="","L141",IF(G214&lt;I214,_xlfn.CONCAT("L141-",RIGHT(F214,LEN(F214) - FIND("-",F214))), _xlfn.CONCAT("L141-",RIGHT(H214,LEN(H214) - FIND("-",H214)))))</f>
        <v>L141-LB SHORE RED</v>
      </c>
      <c r="G275" s="93">
        <v>14</v>
      </c>
      <c r="H275" s="90" t="str">
        <f>IF(G215="","L145",IF(G215&lt;I215,_xlfn.CONCAT("L145-",RIGHT(F215,LEN(F215) - FIND("-",F215))), _xlfn.CONCAT("L145-",RIGHT(H215,LEN(H215) - FIND("-",H215)))))</f>
        <v>L145-PATRIOT RED</v>
      </c>
      <c r="I275" s="93">
        <v>7</v>
      </c>
      <c r="J275" s="90" t="s">
        <v>1151</v>
      </c>
      <c r="K275" s="90" t="s">
        <v>1152</v>
      </c>
      <c r="L275" s="90" t="str">
        <f t="shared" si="49"/>
        <v>14BX-185</v>
      </c>
      <c r="N275" s="62" t="str">
        <f t="shared" si="50"/>
        <v>ag_7th</v>
      </c>
    </row>
    <row r="276" spans="1:14" ht="14.1" customHeight="1">
      <c r="A276" s="69">
        <f t="shared" si="47"/>
        <v>46229</v>
      </c>
      <c r="B276" s="96">
        <f>'CHICLETS MASTER S2'!P76</f>
        <v>0.41666666666666702</v>
      </c>
      <c r="C276" s="71" t="s">
        <v>284</v>
      </c>
      <c r="D276" s="71" t="str">
        <f t="shared" si="48"/>
        <v>OCEAN VIEW HS 1</v>
      </c>
      <c r="E276" s="71">
        <v>181</v>
      </c>
      <c r="F276" s="90" t="str">
        <f>IF(G216="","L149",IF(G216&lt;I216,_xlfn.CONCAT("L149-",RIGHT(F216,LEN(F216) - FIND("-",F216))), _xlfn.CONCAT("L149-",RIGHT(H216,LEN(H216) - FIND("-",H216)))))</f>
        <v>L149-PRIDE BLACK</v>
      </c>
      <c r="G276" s="93">
        <v>10</v>
      </c>
      <c r="H276" s="90" t="str">
        <f>IF(G217="","L153",IF(G217&lt;I217,_xlfn.CONCAT("L153-",RIGHT(F217,LEN(F217) - FIND("-",F217))), _xlfn.CONCAT("L153-",RIGHT(H217,LEN(H217) - FIND("-",H217)))))</f>
        <v>L153-LA JOLLA UNITED B</v>
      </c>
      <c r="I276" s="93">
        <v>9</v>
      </c>
      <c r="J276" s="90" t="s">
        <v>1171</v>
      </c>
      <c r="K276" s="90" t="s">
        <v>1172</v>
      </c>
      <c r="L276" s="90" t="str">
        <f t="shared" si="49"/>
        <v>14BX-181</v>
      </c>
      <c r="N276" s="62" t="str">
        <f t="shared" si="50"/>
        <v>ag_11th</v>
      </c>
    </row>
    <row r="277" spans="1:14" ht="14.1" customHeight="1">
      <c r="A277" s="69">
        <f t="shared" si="47"/>
        <v>46229</v>
      </c>
      <c r="B277" s="96">
        <f>'CHICLETS MASTER S2'!P77</f>
        <v>0.45833333333333298</v>
      </c>
      <c r="C277" s="71" t="s">
        <v>287</v>
      </c>
      <c r="D277" s="71" t="str">
        <f t="shared" si="48"/>
        <v>OCEAN VIEW HS 1</v>
      </c>
      <c r="E277" s="71">
        <v>178</v>
      </c>
      <c r="F277" s="90" t="str">
        <f>IF(G231="","W150",IF(G231&gt;I231,_xlfn.CONCAT("W150-",RIGHT(F231,LEN(F231) - FIND("-",F231))), _xlfn.CONCAT("W150-",RIGHT(H231,LEN(H231) - FIND("-",H231)))))</f>
        <v>W150-TEMPLE CITY</v>
      </c>
      <c r="G277" s="93">
        <v>7</v>
      </c>
      <c r="H277" s="90" t="str">
        <f>IF(G233="","W158",IF(G233&gt;I233,_xlfn.CONCAT("W158-",RIGHT(F233,LEN(F233) - FIND("-",F233))), _xlfn.CONCAT("W158-",RIGHT(H233,LEN(H233) - FIND("-",H233)))))</f>
        <v>W158-ECA</v>
      </c>
      <c r="I277" s="93">
        <v>6</v>
      </c>
      <c r="J277" s="90" t="s">
        <v>1173</v>
      </c>
      <c r="K277" s="90" t="s">
        <v>1174</v>
      </c>
      <c r="L277" s="90" t="str">
        <f t="shared" si="49"/>
        <v>14BX-178</v>
      </c>
      <c r="N277" s="62" t="str">
        <f t="shared" si="50"/>
        <v>ag_13th</v>
      </c>
    </row>
    <row r="278" spans="1:14" ht="14.1" customHeight="1">
      <c r="A278" s="69">
        <f t="shared" si="47"/>
        <v>46229</v>
      </c>
      <c r="B278" s="96">
        <f>'CHICLETS MASTER S2'!P78</f>
        <v>0.5</v>
      </c>
      <c r="C278" s="71" t="s">
        <v>290</v>
      </c>
      <c r="D278" s="71" t="str">
        <f t="shared" si="48"/>
        <v>OCEAN VIEW HS 1</v>
      </c>
      <c r="E278" s="71">
        <v>177</v>
      </c>
      <c r="F278" s="90" t="str">
        <f>IF(G231="","L150",IF(G231&lt;I231,_xlfn.CONCAT("L150-",RIGHT(F231,LEN(F231) - FIND("-",F231))), _xlfn.CONCAT("L150-",RIGHT(H231,LEN(H231) - FIND("-",H231)))))</f>
        <v>L150-STANFORD BLACK</v>
      </c>
      <c r="G278" s="93">
        <v>16</v>
      </c>
      <c r="H278" s="90" t="str">
        <f>IF(G233="","L158",IF(G233&lt;I233,_xlfn.CONCAT("L158-",RIGHT(F233,LEN(F233) - FIND("-",F233))), _xlfn.CONCAT("L158-",RIGHT(H233,LEN(H233) - FIND("-",H233)))))</f>
        <v>L158-KERN PREMIER</v>
      </c>
      <c r="I278" s="93">
        <v>12</v>
      </c>
      <c r="J278" s="90" t="s">
        <v>1175</v>
      </c>
      <c r="K278" s="90" t="s">
        <v>1176</v>
      </c>
      <c r="L278" s="90" t="str">
        <f t="shared" si="49"/>
        <v>14BX-177</v>
      </c>
      <c r="N278" s="62" t="str">
        <f t="shared" si="50"/>
        <v>ag_15th</v>
      </c>
    </row>
    <row r="279" spans="1:14" ht="14.1" customHeight="1">
      <c r="A279" s="69">
        <f t="shared" si="47"/>
        <v>46229</v>
      </c>
      <c r="B279" s="96">
        <f>'CHICLETS MASTER S2'!P79</f>
        <v>0.54166666666666696</v>
      </c>
      <c r="C279" s="71" t="s">
        <v>293</v>
      </c>
      <c r="D279" s="71" t="str">
        <f t="shared" si="48"/>
        <v>OCEAN VIEW HS 1</v>
      </c>
      <c r="E279" s="71">
        <v>170</v>
      </c>
      <c r="F279" s="90" t="str">
        <f>IF(G232="","W154",IF(G232&gt;I232,_xlfn.CONCAT("W154-",RIGHT(F232,LEN(F232) - FIND("-",F232))), _xlfn.CONCAT("W154-",RIGHT(H232,LEN(H232) - FIND("-",H232)))))</f>
        <v xml:space="preserve">W154-CT PREMIER	</v>
      </c>
      <c r="G279" s="93">
        <v>7</v>
      </c>
      <c r="H279" s="90" t="str">
        <f>IF(G234="","W162",IF(G234&gt;I234,_xlfn.CONCAT("W162-",RIGHT(F234,LEN(F234) - FIND("-",F234))), _xlfn.CONCAT("W162-",RIGHT(H234,LEN(H234) - FIND("-",H234)))))</f>
        <v>W162-ALAMEDA</v>
      </c>
      <c r="I279" s="93">
        <v>11</v>
      </c>
      <c r="J279" s="90" t="s">
        <v>1177</v>
      </c>
      <c r="K279" s="90" t="s">
        <v>1178</v>
      </c>
      <c r="L279" s="90" t="str">
        <f t="shared" si="49"/>
        <v>14BX-170</v>
      </c>
      <c r="N279" s="62" t="str">
        <f t="shared" si="50"/>
        <v>ag_17th</v>
      </c>
    </row>
    <row r="280" spans="1:14" ht="14.1" customHeight="1" thickBot="1">
      <c r="A280" s="98"/>
      <c r="B280" s="79"/>
      <c r="C280" s="60"/>
      <c r="D280" s="60"/>
      <c r="G280" s="62"/>
    </row>
    <row r="281" spans="1:14" ht="14.1" customHeight="1" thickBot="1">
      <c r="A281" s="60"/>
      <c r="B281" s="60"/>
      <c r="C281" s="60"/>
      <c r="D281" s="65" t="str">
        <f>'CHICLETS MASTER S2'!$AA$72</f>
        <v>BREA OLINDA HS</v>
      </c>
      <c r="E281" s="60"/>
      <c r="F281" s="60"/>
      <c r="G281" s="64"/>
      <c r="H281" s="60"/>
      <c r="I281" s="64"/>
      <c r="J281" s="60"/>
      <c r="K281" s="60"/>
      <c r="L281" s="60"/>
    </row>
    <row r="282" spans="1:14" ht="14.1" customHeight="1">
      <c r="A282" s="108" t="s">
        <v>124</v>
      </c>
      <c r="B282" s="108" t="s">
        <v>125</v>
      </c>
      <c r="C282" s="108" t="s">
        <v>126</v>
      </c>
      <c r="D282" s="108" t="s">
        <v>127</v>
      </c>
      <c r="E282" s="108" t="s">
        <v>128</v>
      </c>
      <c r="F282" s="108" t="s">
        <v>129</v>
      </c>
      <c r="G282" s="108" t="s">
        <v>130</v>
      </c>
      <c r="H282" s="108" t="s">
        <v>131</v>
      </c>
      <c r="I282" s="108" t="s">
        <v>130</v>
      </c>
      <c r="J282" s="108" t="s">
        <v>132</v>
      </c>
      <c r="K282" s="108" t="s">
        <v>133</v>
      </c>
      <c r="L282" s="108" t="s">
        <v>134</v>
      </c>
    </row>
    <row r="283" spans="1:14" ht="14.1" customHeight="1">
      <c r="A283" s="69">
        <f>$A$270</f>
        <v>46229</v>
      </c>
      <c r="B283" s="96">
        <f>'CHICLETS MASTER S2'!P73</f>
        <v>0.29166666666666669</v>
      </c>
      <c r="C283" s="71" t="s">
        <v>296</v>
      </c>
      <c r="D283" s="71" t="str">
        <f t="shared" ref="D283:D284" si="51">$D$281</f>
        <v>BREA OLINDA HS</v>
      </c>
      <c r="E283" s="71">
        <v>176</v>
      </c>
      <c r="F283" s="91" t="str">
        <f>IF(G262="","L156",IF(G262&lt;I262,_xlfn.CONCAT("L156-",RIGHT(F262,LEN(F262) - FIND("-",F262))), _xlfn.CONCAT("L156-",RIGHT(H262,LEN(H262) - FIND("-",H262)))))</f>
        <v>L156-BROOKLYN HUSTLE</v>
      </c>
      <c r="G283" s="91">
        <v>9</v>
      </c>
      <c r="H283" s="91" t="str">
        <f>IF(G263="","L164",IF(G263&lt;I263,_xlfn.CONCAT("L164-",RIGHT(F263,LEN(F263) - FIND("-",F263))), _xlfn.CONCAT("L164-",RIGHT(H263,LEN(H263) - FIND("-",H263)))))</f>
        <v>L164-THIRD COAST</v>
      </c>
      <c r="I283" s="91">
        <v>8</v>
      </c>
      <c r="J283" s="91" t="s">
        <v>1155</v>
      </c>
      <c r="K283" s="91" t="s">
        <v>1156</v>
      </c>
      <c r="L283" s="91" t="str">
        <f t="shared" ref="L283:L289" si="52">$L$15&amp;"-"&amp;TEXT(E283,"000")</f>
        <v>14BX-176</v>
      </c>
      <c r="N283" s="62" t="str">
        <f>$L$270&amp;C283</f>
        <v>bz_19th</v>
      </c>
    </row>
    <row r="284" spans="1:14" ht="14.1" customHeight="1">
      <c r="A284" s="69">
        <f t="shared" ref="A284:A298" si="53">$A$270</f>
        <v>46229</v>
      </c>
      <c r="B284" s="96">
        <f>'CHICLETS MASTER S2'!P74</f>
        <v>0.33333333333333298</v>
      </c>
      <c r="C284" s="71" t="s">
        <v>272</v>
      </c>
      <c r="D284" s="71" t="str">
        <f t="shared" si="51"/>
        <v>BREA OLINDA HS</v>
      </c>
      <c r="E284" s="71">
        <v>187</v>
      </c>
      <c r="F284" s="91" t="str">
        <f>IF(G248="","L159",IF(G248&lt;I248,_xlfn.CONCAT("L159-",RIGHT(F248,LEN(F248) - FIND("-",F248))), _xlfn.CONCAT("L159-",RIGHT(H248,LEN(H248) - FIND("-",H248)))))</f>
        <v>L159-CENTRAL VALLEY UNITED</v>
      </c>
      <c r="G284" s="91">
        <v>10</v>
      </c>
      <c r="H284" s="91" t="str">
        <f>IF(G249="","L163",IF(G249&lt;I249,_xlfn.CONCAT("L163-",RIGHT(F249,LEN(F249) - FIND("-",F249))), _xlfn.CONCAT("L163-",RIGHT(H249,LEN(H249) - FIND("-",H249)))))</f>
        <v>L163-PRAETORIAN</v>
      </c>
      <c r="I284" s="91">
        <v>12</v>
      </c>
      <c r="J284" s="91" t="s">
        <v>1163</v>
      </c>
      <c r="K284" s="91" t="s">
        <v>1164</v>
      </c>
      <c r="L284" s="91" t="str">
        <f t="shared" si="52"/>
        <v>14BX-187</v>
      </c>
      <c r="N284" s="62" t="str">
        <f>$L$270&amp;C284</f>
        <v>bz_5th</v>
      </c>
    </row>
    <row r="285" spans="1:14" ht="14.1" customHeight="1">
      <c r="A285" s="69">
        <f t="shared" si="53"/>
        <v>46229</v>
      </c>
      <c r="B285" s="96">
        <f>'CHICLETS MASTER S2'!P75</f>
        <v>0.375</v>
      </c>
      <c r="C285" s="71" t="s">
        <v>249</v>
      </c>
      <c r="D285" s="71" t="str">
        <f>$D$281</f>
        <v>BREA OLINDA HS</v>
      </c>
      <c r="E285" s="71">
        <v>165</v>
      </c>
      <c r="F285" s="90" t="s">
        <v>1312</v>
      </c>
      <c r="G285" s="93">
        <v>5</v>
      </c>
      <c r="H285" s="90" t="s">
        <v>1310</v>
      </c>
      <c r="I285" s="93">
        <v>11</v>
      </c>
      <c r="J285" s="90"/>
      <c r="K285" s="90"/>
      <c r="L285" s="90" t="str">
        <f t="shared" si="52"/>
        <v>14BX-165</v>
      </c>
      <c r="N285" s="62" t="str">
        <f>$K$270&amp;C285</f>
        <v>ag_21-24 RR</v>
      </c>
    </row>
    <row r="286" spans="1:14" ht="14.1" customHeight="1">
      <c r="A286" s="69">
        <f t="shared" si="47"/>
        <v>46229</v>
      </c>
      <c r="B286" s="96">
        <f>'CHICLETS MASTER S2'!P76</f>
        <v>0.41666666666666702</v>
      </c>
      <c r="C286" s="71" t="s">
        <v>249</v>
      </c>
      <c r="D286" s="71" t="str">
        <f>$D$281</f>
        <v>BREA OLINDA HS</v>
      </c>
      <c r="E286" s="71">
        <v>166</v>
      </c>
      <c r="F286" s="90" t="s">
        <v>1311</v>
      </c>
      <c r="G286" s="93">
        <v>8</v>
      </c>
      <c r="H286" s="90" t="s">
        <v>1313</v>
      </c>
      <c r="I286" s="93">
        <v>10</v>
      </c>
      <c r="J286" s="90"/>
      <c r="K286" s="90"/>
      <c r="L286" s="90" t="str">
        <f t="shared" si="52"/>
        <v>14BX-166</v>
      </c>
      <c r="N286" s="62" t="str">
        <f>$K$270&amp;C286</f>
        <v>ag_21-24 RR</v>
      </c>
    </row>
    <row r="287" spans="1:14" ht="14.1" customHeight="1">
      <c r="A287" s="69">
        <f t="shared" si="47"/>
        <v>46229</v>
      </c>
      <c r="B287" s="96">
        <f>'CHICLETS MASTER S2'!P77</f>
        <v>0.45833333333333298</v>
      </c>
      <c r="C287" s="71" t="s">
        <v>296</v>
      </c>
      <c r="D287" s="71" t="str">
        <f t="shared" ref="D287" si="54">$D$281</f>
        <v>BREA OLINDA HS</v>
      </c>
      <c r="E287" s="71">
        <v>169</v>
      </c>
      <c r="F287" s="90" t="str">
        <f>IF(G232="","L154",IF(G232&lt;I232,_xlfn.CONCAT("L154-",RIGHT(F232,LEN(F232) - FIND("-",F232))), _xlfn.CONCAT("L154-",RIGHT(H232,LEN(H232) - FIND("-",H232)))))</f>
        <v>L154-ROSE BOWL RED</v>
      </c>
      <c r="G287" s="97">
        <v>17.399999999999999</v>
      </c>
      <c r="H287" s="90" t="str">
        <f>IF(G234="","L162",IF(G234&lt;I234,_xlfn.CONCAT("L162-",RIGHT(F234,LEN(F234) - FIND("-",F234))), _xlfn.CONCAT("L162-",RIGHT(H234,LEN(H234) - FIND("-",H234)))))</f>
        <v>L162-LAMORINDA B</v>
      </c>
      <c r="I287" s="97">
        <v>17.100000000000001</v>
      </c>
      <c r="J287" s="90" t="s">
        <v>1179</v>
      </c>
      <c r="K287" s="90" t="s">
        <v>1180</v>
      </c>
      <c r="L287" s="90" t="str">
        <f>$L$15&amp;"-"&amp;TEXT(E287,"000")</f>
        <v>14BX-169</v>
      </c>
      <c r="N287" s="62" t="str">
        <f>$K$270&amp;C287</f>
        <v>ag_19th</v>
      </c>
    </row>
    <row r="288" spans="1:14" ht="14.1" customHeight="1">
      <c r="A288" s="69">
        <f t="shared" si="53"/>
        <v>46229</v>
      </c>
      <c r="B288" s="96">
        <f>'CHICLETS MASTER S2'!P78</f>
        <v>0.5</v>
      </c>
      <c r="C288" s="71" t="s">
        <v>249</v>
      </c>
      <c r="D288" s="71" t="str">
        <f t="shared" ref="D288:D289" si="55">$D$281</f>
        <v>BREA OLINDA HS</v>
      </c>
      <c r="E288" s="71">
        <v>167</v>
      </c>
      <c r="F288" s="91" t="s">
        <v>1328</v>
      </c>
      <c r="G288" s="91">
        <v>6</v>
      </c>
      <c r="H288" s="91" t="s">
        <v>1326</v>
      </c>
      <c r="I288" s="91">
        <v>20</v>
      </c>
      <c r="J288" s="91"/>
      <c r="K288" s="91"/>
      <c r="L288" s="91" t="str">
        <f t="shared" si="52"/>
        <v>14BX-167</v>
      </c>
      <c r="N288" s="62" t="str">
        <f>$L$270&amp;C288</f>
        <v>bz_21-24 RR</v>
      </c>
    </row>
    <row r="289" spans="1:14" ht="14.1" customHeight="1">
      <c r="A289" s="69">
        <f>$A$270</f>
        <v>46229</v>
      </c>
      <c r="B289" s="96">
        <f>'CHICLETS MASTER S2'!P79</f>
        <v>0.54166666666666696</v>
      </c>
      <c r="C289" s="71" t="s">
        <v>249</v>
      </c>
      <c r="D289" s="71" t="str">
        <f t="shared" si="55"/>
        <v>BREA OLINDA HS</v>
      </c>
      <c r="E289" s="71">
        <v>168</v>
      </c>
      <c r="F289" s="91" t="s">
        <v>1327</v>
      </c>
      <c r="G289" s="91">
        <v>10</v>
      </c>
      <c r="H289" s="91" t="s">
        <v>1329</v>
      </c>
      <c r="I289" s="91">
        <v>13</v>
      </c>
      <c r="J289" s="91"/>
      <c r="K289" s="91"/>
      <c r="L289" s="91" t="str">
        <f t="shared" si="52"/>
        <v>14BX-168</v>
      </c>
      <c r="N289" s="62" t="str">
        <f>$L$270&amp;C289</f>
        <v>bz_21-24 RR</v>
      </c>
    </row>
    <row r="290" spans="1:14" ht="14.1" customHeight="1" thickBot="1">
      <c r="A290" s="98"/>
      <c r="B290" s="79"/>
      <c r="C290" s="60"/>
      <c r="D290" s="60"/>
      <c r="G290" s="62"/>
    </row>
    <row r="291" spans="1:14" ht="14.1" customHeight="1" thickBot="1">
      <c r="A291" s="60"/>
      <c r="B291" s="60"/>
      <c r="C291" s="60"/>
      <c r="D291" s="65" t="str">
        <f>'CHICLETS MASTER S2'!$AB$72</f>
        <v>ESPERANZA HS</v>
      </c>
      <c r="E291" s="60"/>
      <c r="F291" s="60"/>
      <c r="G291" s="64"/>
      <c r="H291" s="60"/>
      <c r="I291" s="64"/>
      <c r="J291" s="60"/>
      <c r="K291" s="60"/>
      <c r="L291" s="60"/>
    </row>
    <row r="292" spans="1:14" ht="14.1" customHeight="1">
      <c r="A292" s="108" t="s">
        <v>124</v>
      </c>
      <c r="B292" s="108" t="s">
        <v>125</v>
      </c>
      <c r="C292" s="108" t="s">
        <v>126</v>
      </c>
      <c r="D292" s="108" t="s">
        <v>127</v>
      </c>
      <c r="E292" s="108" t="s">
        <v>128</v>
      </c>
      <c r="F292" s="108" t="s">
        <v>129</v>
      </c>
      <c r="G292" s="108" t="s">
        <v>130</v>
      </c>
      <c r="H292" s="108" t="s">
        <v>131</v>
      </c>
      <c r="I292" s="108" t="s">
        <v>130</v>
      </c>
      <c r="J292" s="108" t="s">
        <v>132</v>
      </c>
      <c r="K292" s="108" t="s">
        <v>133</v>
      </c>
      <c r="L292" s="108" t="s">
        <v>134</v>
      </c>
    </row>
    <row r="293" spans="1:14" ht="14.1" customHeight="1">
      <c r="A293" s="69">
        <f t="shared" si="53"/>
        <v>46229</v>
      </c>
      <c r="B293" s="96">
        <f>'CHICLETS MASTER S2'!P73</f>
        <v>0.29166666666666669</v>
      </c>
      <c r="C293" s="71" t="s">
        <v>269</v>
      </c>
      <c r="D293" s="71" t="str">
        <f t="shared" ref="D293:D298" si="56">$D$291</f>
        <v>ESPERANZA HS</v>
      </c>
      <c r="E293" s="71">
        <v>188</v>
      </c>
      <c r="F293" s="91" t="str">
        <f>IF(G244="","L143",IF(G244&lt;I244,_xlfn.CONCAT("L143-",RIGHT(F244,LEN(F244) - FIND("-",F244))), _xlfn.CONCAT("L143-",RIGHT(H244,LEN(H244) - FIND("-",H244)))))</f>
        <v>L143-680 BLUE</v>
      </c>
      <c r="G293" s="91">
        <v>16</v>
      </c>
      <c r="H293" s="91" t="str">
        <f>IF(G245="","L147",IF(G245&lt;I245,_xlfn.CONCAT("L147-",RIGHT(F245,LEN(F245) - FIND("-",F245))), _xlfn.CONCAT("L147-",RIGHT(H245,LEN(H245) - FIND("-",H245)))))</f>
        <v>L147-SAN JOSE EXPRESS BLUE</v>
      </c>
      <c r="I293" s="91">
        <v>7</v>
      </c>
      <c r="J293" s="91" t="s">
        <v>1161</v>
      </c>
      <c r="K293" s="91" t="s">
        <v>1162</v>
      </c>
      <c r="L293" s="91" t="str">
        <f t="shared" ref="L293:L298" si="57">$L$15&amp;"-"&amp;TEXT(E293,"000")</f>
        <v>14BX-188</v>
      </c>
      <c r="N293" s="62" t="str">
        <f t="shared" ref="N293:N298" si="58">$L$270&amp;C293</f>
        <v>bz_7th</v>
      </c>
    </row>
    <row r="294" spans="1:14" ht="14.1" customHeight="1">
      <c r="A294" s="69">
        <f t="shared" si="53"/>
        <v>46229</v>
      </c>
      <c r="B294" s="96">
        <f>'CHICLETS MASTER S2'!P74</f>
        <v>0.33333333333333298</v>
      </c>
      <c r="C294" s="71" t="s">
        <v>281</v>
      </c>
      <c r="D294" s="71" t="str">
        <f t="shared" si="56"/>
        <v>ESPERANZA HS</v>
      </c>
      <c r="E294" s="71">
        <v>183</v>
      </c>
      <c r="F294" s="91" t="str">
        <f>IF(G246="","W151",IF(G246&gt;I246,_xlfn.CONCAT("W151-",RIGHT(F246,LEN(F246) - FIND("-",F246))), _xlfn.CONCAT("W151-",RIGHT(H246,LEN(H246) - FIND("-",H246)))))</f>
        <v>W151-LOKAHI</v>
      </c>
      <c r="G294" s="91">
        <v>9</v>
      </c>
      <c r="H294" s="91" t="str">
        <f>IF(G247="","W155",IF(G247&gt;I247,_xlfn.CONCAT("W155-",RIGHT(F247,LEN(F247) - FIND("-",F247))), _xlfn.CONCAT("W155-",RIGHT(H247,LEN(H247) - FIND("-",H247)))))</f>
        <v>W155-CLOVIS RED</v>
      </c>
      <c r="I294" s="91">
        <v>10</v>
      </c>
      <c r="J294" s="91" t="s">
        <v>1165</v>
      </c>
      <c r="K294" s="91" t="s">
        <v>1166</v>
      </c>
      <c r="L294" s="91" t="str">
        <f t="shared" si="57"/>
        <v>14BX-183</v>
      </c>
      <c r="N294" s="62" t="str">
        <f t="shared" si="58"/>
        <v>bz_9th</v>
      </c>
    </row>
    <row r="295" spans="1:14" ht="14.1" customHeight="1">
      <c r="A295" s="69">
        <f t="shared" si="53"/>
        <v>46229</v>
      </c>
      <c r="B295" s="96">
        <f>'CHICLETS MASTER S2'!P75</f>
        <v>0.375</v>
      </c>
      <c r="C295" s="71" t="s">
        <v>284</v>
      </c>
      <c r="D295" s="71" t="str">
        <f t="shared" si="56"/>
        <v>ESPERANZA HS</v>
      </c>
      <c r="E295" s="71">
        <v>184</v>
      </c>
      <c r="F295" s="91" t="str">
        <f>IF(G246="","L151",IF(G246&lt;I246,_xlfn.CONCAT("L151-",RIGHT(F246,LEN(F246) - FIND("-",F246))), _xlfn.CONCAT("L151-",RIGHT(H246,LEN(H246) - FIND("-",H246)))))</f>
        <v>L151-SD SHORES GOLD</v>
      </c>
      <c r="G295" s="91">
        <v>10</v>
      </c>
      <c r="H295" s="91" t="str">
        <f>IF(G247="","L155",IF(G247&lt;I247,_xlfn.CONCAT("L155-",RIGHT(F247,LEN(F247) - FIND("-",F247))), _xlfn.CONCAT("L155-",RIGHT(H247,LEN(H247) - FIND("-",H247)))))</f>
        <v>L155-CARLSBAD</v>
      </c>
      <c r="I295" s="91">
        <v>9</v>
      </c>
      <c r="J295" s="91" t="s">
        <v>1167</v>
      </c>
      <c r="K295" s="91" t="s">
        <v>1168</v>
      </c>
      <c r="L295" s="91" t="str">
        <f t="shared" si="57"/>
        <v>14BX-184</v>
      </c>
      <c r="N295" s="62" t="str">
        <f t="shared" si="58"/>
        <v>bz_11th</v>
      </c>
    </row>
    <row r="296" spans="1:14" ht="14.1" customHeight="1">
      <c r="A296" s="69">
        <f t="shared" si="53"/>
        <v>46229</v>
      </c>
      <c r="B296" s="96">
        <f>'CHICLETS MASTER S2'!P76</f>
        <v>0.41666666666666702</v>
      </c>
      <c r="C296" s="71" t="s">
        <v>287</v>
      </c>
      <c r="D296" s="71" t="str">
        <f t="shared" si="56"/>
        <v>ESPERANZA HS</v>
      </c>
      <c r="E296" s="71">
        <v>179</v>
      </c>
      <c r="F296" s="91" t="str">
        <f>IF(G266="","W152",IF(G266&gt;I266,_xlfn.CONCAT("W152-",RIGHT(F266,LEN(F266) - FIND("-",F266))), _xlfn.CONCAT("W152-",RIGHT(H266,LEN(H266) - FIND("-",H266)))))</f>
        <v>W152-DIABLO ALLIANCE B</v>
      </c>
      <c r="G296" s="91">
        <v>6</v>
      </c>
      <c r="H296" s="91" t="str">
        <f>IF(G267="","W160",IF(G267&gt;I267,_xlfn.CONCAT("W160-",RIGHT(F267,LEN(F267) - FIND("-",F267))), _xlfn.CONCAT("W160-",RIGHT(H267,LEN(H267) - FIND("-",H267)))))</f>
        <v>W160-680 WHITE</v>
      </c>
      <c r="I296" s="91">
        <v>8</v>
      </c>
      <c r="J296" s="91" t="s">
        <v>1145</v>
      </c>
      <c r="K296" s="91" t="s">
        <v>1146</v>
      </c>
      <c r="L296" s="91" t="str">
        <f t="shared" si="57"/>
        <v>14BX-179</v>
      </c>
      <c r="N296" s="62" t="str">
        <f t="shared" si="58"/>
        <v>bz_13th</v>
      </c>
    </row>
    <row r="297" spans="1:14" ht="14.1" customHeight="1">
      <c r="A297" s="69">
        <f t="shared" si="53"/>
        <v>46229</v>
      </c>
      <c r="B297" s="96">
        <f>'CHICLETS MASTER S2'!P77</f>
        <v>0.45833333333333298</v>
      </c>
      <c r="C297" s="71" t="s">
        <v>290</v>
      </c>
      <c r="D297" s="71" t="str">
        <f t="shared" si="56"/>
        <v>ESPERANZA HS</v>
      </c>
      <c r="E297" s="71">
        <v>180</v>
      </c>
      <c r="F297" s="91" t="str">
        <f>IF(G266="","L152",IF(G266&lt;I266,_xlfn.CONCAT("L152-",RIGHT(F266,LEN(F266) - FIND("-",F266))), _xlfn.CONCAT("L152-",RIGHT(H266,LEN(H266) - FIND("-",H266)))))</f>
        <v>L152-RAIN CITY</v>
      </c>
      <c r="G297" s="91">
        <v>7</v>
      </c>
      <c r="H297" s="91" t="str">
        <f>IF(G267="","L160",IF(G267&lt;I267,_xlfn.CONCAT("L160-",RIGHT(F267,LEN(F267) - FIND("-",F267))), _xlfn.CONCAT("L160-",RIGHT(H267,LEN(H267) - FIND("-",H267)))))</f>
        <v>L160-CAPITAL</v>
      </c>
      <c r="I297" s="91">
        <v>4</v>
      </c>
      <c r="J297" s="91" t="s">
        <v>1147</v>
      </c>
      <c r="K297" s="91" t="s">
        <v>1148</v>
      </c>
      <c r="L297" s="91" t="str">
        <f t="shared" si="57"/>
        <v>14BX-180</v>
      </c>
      <c r="N297" s="62" t="str">
        <f t="shared" si="58"/>
        <v>bz_15th</v>
      </c>
    </row>
    <row r="298" spans="1:14" ht="14.1" customHeight="1">
      <c r="A298" s="69">
        <f t="shared" si="53"/>
        <v>46229</v>
      </c>
      <c r="B298" s="96">
        <f>'CHICLETS MASTER S2'!P78</f>
        <v>0.5</v>
      </c>
      <c r="C298" s="71" t="s">
        <v>293</v>
      </c>
      <c r="D298" s="71" t="str">
        <f t="shared" si="56"/>
        <v>ESPERANZA HS</v>
      </c>
      <c r="E298" s="71">
        <v>175</v>
      </c>
      <c r="F298" s="91" t="str">
        <f>IF(G262="","W156",IF(G262&gt;I262,_xlfn.CONCAT("W156-",RIGHT(F262,LEN(F262) - FIND("-",F262))), _xlfn.CONCAT("W156-",RIGHT(H262,LEN(H262) - FIND("-",H262)))))</f>
        <v>W156-WCAC UNITED</v>
      </c>
      <c r="G298" s="91">
        <v>6</v>
      </c>
      <c r="H298" s="91" t="str">
        <f>IF(G263="","W164",IF(G263&gt;I263,_xlfn.CONCAT("W164-",RIGHT(F263,LEN(F263) - FIND("-",F263))), _xlfn.CONCAT("W164-",RIGHT(H263,LEN(H263) - FIND("-",H263)))))</f>
        <v>W164-SAN JOSE FOUNDATION BLACK</v>
      </c>
      <c r="I298" s="91">
        <v>16</v>
      </c>
      <c r="J298" s="91" t="s">
        <v>1153</v>
      </c>
      <c r="K298" s="91" t="s">
        <v>1154</v>
      </c>
      <c r="L298" s="91" t="str">
        <f t="shared" si="57"/>
        <v>14BX-175</v>
      </c>
      <c r="N298" s="62" t="str">
        <f t="shared" si="58"/>
        <v>bz_17th</v>
      </c>
    </row>
    <row r="299" spans="1:14" ht="14.1" customHeight="1" thickBot="1">
      <c r="A299" s="98"/>
      <c r="B299" s="79"/>
      <c r="C299" s="60"/>
      <c r="D299" s="60"/>
      <c r="G299" s="62"/>
    </row>
    <row r="300" spans="1:14" ht="14.1" customHeight="1" thickBot="1">
      <c r="A300" s="60"/>
      <c r="B300" s="60"/>
      <c r="C300" s="60"/>
      <c r="D300" s="65" t="str">
        <f>'CHICLETS MASTER S2'!$AS$72</f>
        <v>ANAHEIM HS</v>
      </c>
      <c r="G300" s="62"/>
    </row>
    <row r="301" spans="1:14" ht="14.1" customHeight="1">
      <c r="A301" s="108" t="s">
        <v>124</v>
      </c>
      <c r="B301" s="108" t="s">
        <v>125</v>
      </c>
      <c r="C301" s="108" t="s">
        <v>126</v>
      </c>
      <c r="D301" s="108" t="s">
        <v>127</v>
      </c>
      <c r="E301" s="108" t="s">
        <v>128</v>
      </c>
      <c r="F301" s="108" t="s">
        <v>129</v>
      </c>
      <c r="G301" s="108" t="s">
        <v>130</v>
      </c>
      <c r="H301" s="108" t="s">
        <v>131</v>
      </c>
      <c r="I301" s="108" t="s">
        <v>130</v>
      </c>
      <c r="J301" s="108" t="s">
        <v>132</v>
      </c>
      <c r="K301" s="108" t="s">
        <v>133</v>
      </c>
      <c r="L301" s="108" t="s">
        <v>134</v>
      </c>
    </row>
    <row r="302" spans="1:14" ht="14.1" customHeight="1">
      <c r="A302" s="69">
        <f t="shared" si="47"/>
        <v>46229</v>
      </c>
      <c r="B302" s="96">
        <f>'CHICLETS MASTER S2'!P73</f>
        <v>0.29166666666666669</v>
      </c>
      <c r="C302" s="71" t="s">
        <v>268</v>
      </c>
      <c r="D302" s="99" t="str">
        <f t="shared" ref="D302:D309" si="59">$D$300</f>
        <v>ANAHEIM HS</v>
      </c>
      <c r="E302" s="71">
        <v>171</v>
      </c>
      <c r="F302" s="91" t="str">
        <f>IF(G243="","W139",IF(G243&gt;I243,_xlfn.CONCAT("W139-",RIGHT(F243,LEN(F243) - FIND("-",F243))), _xlfn.CONCAT("W139-",RIGHT(H243,LEN(H243) - FIND("-",H243)))))</f>
        <v>W139-TROJAN CARDINAL</v>
      </c>
      <c r="G302" s="91">
        <v>10</v>
      </c>
      <c r="H302" s="91" t="str">
        <f>IF(G248="","W159",IF(G248&gt;I248,_xlfn.CONCAT("W159-",RIGHT(F248,LEN(F248) - FIND("-",F248))), _xlfn.CONCAT("W159-",RIGHT(H248,LEN(H248) - FIND("-",H248)))))</f>
        <v>W159-VEGAS RENEGADES</v>
      </c>
      <c r="I302" s="91">
        <v>13</v>
      </c>
      <c r="J302" s="91">
        <v>190</v>
      </c>
      <c r="K302" s="91">
        <v>189</v>
      </c>
      <c r="L302" s="91" t="str">
        <f t="shared" ref="L302:L309" si="60">$L$15&amp;"-"&amp;TEXT(E302,"000")</f>
        <v>14BX-171</v>
      </c>
      <c r="N302" s="62" t="str">
        <f>$L$270&amp;C302</f>
        <v>bz_semi</v>
      </c>
    </row>
    <row r="303" spans="1:14" ht="14.1" customHeight="1">
      <c r="A303" s="69">
        <f t="shared" si="47"/>
        <v>46229</v>
      </c>
      <c r="B303" s="96">
        <f>'CHICLETS MASTER S2'!P74</f>
        <v>0.33333333333333298</v>
      </c>
      <c r="C303" s="71" t="s">
        <v>268</v>
      </c>
      <c r="D303" s="99" t="str">
        <f t="shared" si="59"/>
        <v>ANAHEIM HS</v>
      </c>
      <c r="E303" s="71">
        <v>172</v>
      </c>
      <c r="F303" s="91" t="str">
        <f>IF(G242="","W135",IF(G242&gt;I242,_xlfn.CONCAT("W135-",RIGHT(F242,LEN(F242) - FIND("-",F242))), _xlfn.CONCAT("W135-",RIGHT(H242,LEN(H242) - FIND("-",H242)))))</f>
        <v>W135-TEAM VEGAS RED</v>
      </c>
      <c r="G303" s="91">
        <v>8.3000000000000007</v>
      </c>
      <c r="H303" s="91" t="str">
        <f>IF(G249="","W163",IF(G249&gt;I249,_xlfn.CONCAT("W163-",RIGHT(F249,LEN(F249) - FIND("-",F249))), _xlfn.CONCAT("W163-",RIGHT(H249,LEN(H249) - FIND("-",H249)))))</f>
        <v>W163-NEWPORT BEACH WHITE</v>
      </c>
      <c r="I303" s="91">
        <v>8.4</v>
      </c>
      <c r="J303" s="91">
        <v>190</v>
      </c>
      <c r="K303" s="91">
        <v>189</v>
      </c>
      <c r="L303" s="91" t="str">
        <f t="shared" si="60"/>
        <v>14BX-172</v>
      </c>
      <c r="N303" s="62" t="str">
        <f>$L$270&amp;C303</f>
        <v>bz_semi</v>
      </c>
    </row>
    <row r="304" spans="1:14" ht="14.1" customHeight="1">
      <c r="A304" s="69">
        <f t="shared" si="47"/>
        <v>46229</v>
      </c>
      <c r="B304" s="96">
        <f>'CHICLETS MASTER S2'!P75</f>
        <v>0.375</v>
      </c>
      <c r="C304" s="71" t="s">
        <v>268</v>
      </c>
      <c r="D304" s="99" t="str">
        <f t="shared" si="59"/>
        <v>ANAHEIM HS</v>
      </c>
      <c r="E304" s="71">
        <v>173</v>
      </c>
      <c r="F304" s="90" t="str">
        <f>IF(G213="","W137",IF(G213&gt;I213,_xlfn.CONCAT("W137-",RIGHT(F213,LEN(F213) - FIND("-",F213))), _xlfn.CONCAT("W137-",RIGHT(H213,LEN(H213) - FIND("-",H213)))))</f>
        <v>W137-OCWPC BLUE</v>
      </c>
      <c r="G304" s="93">
        <v>16</v>
      </c>
      <c r="H304" s="90" t="str">
        <f>IF(G218="","W157",IF(G218&gt;I218,_xlfn.CONCAT("W157-",RIGHT(F218,LEN(F218) - FIND("-",F218))), _xlfn.CONCAT("W157-",RIGHT(H218,LEN(H218) - FIND("-",H218)))))</f>
        <v>W157-MISSION B</v>
      </c>
      <c r="I304" s="93">
        <v>11</v>
      </c>
      <c r="J304" s="90">
        <v>192</v>
      </c>
      <c r="K304" s="90">
        <v>191</v>
      </c>
      <c r="L304" s="90" t="str">
        <f t="shared" si="60"/>
        <v>14BX-173</v>
      </c>
      <c r="N304" s="62" t="str">
        <f>$K$270&amp;C304</f>
        <v>ag_semi</v>
      </c>
    </row>
    <row r="305" spans="1:14" ht="14.1" customHeight="1">
      <c r="A305" s="69">
        <f t="shared" si="47"/>
        <v>46229</v>
      </c>
      <c r="B305" s="96">
        <f>'CHICLETS MASTER S2'!P76</f>
        <v>0.41666666666666702</v>
      </c>
      <c r="C305" s="71" t="s">
        <v>268</v>
      </c>
      <c r="D305" s="99" t="str">
        <f t="shared" si="59"/>
        <v>ANAHEIM HS</v>
      </c>
      <c r="E305" s="71">
        <v>174</v>
      </c>
      <c r="F305" s="90" t="str">
        <f>IF(G212="","W133",IF(G212&gt;I212,_xlfn.CONCAT("W133-",RIGHT(F212,LEN(F212) - FIND("-",F212))), _xlfn.CONCAT("W133-",RIGHT(H212,LEN(H212) - FIND("-",H212)))))</f>
        <v>W133-TSUNAMI</v>
      </c>
      <c r="G305" s="93">
        <v>12</v>
      </c>
      <c r="H305" s="90" t="str">
        <f>IF(G219="","W161",IF(G219&gt;I219,_xlfn.CONCAT("W161-",RIGHT(F219,LEN(F219) - FIND("-",F219))), _xlfn.CONCAT("W161-",RIGHT(H219,LEN(H219) - FIND("-",H219)))))</f>
        <v>W161-ROUTE 66</v>
      </c>
      <c r="I305" s="93">
        <v>9</v>
      </c>
      <c r="J305" s="90">
        <v>192</v>
      </c>
      <c r="K305" s="90">
        <v>191</v>
      </c>
      <c r="L305" s="90" t="str">
        <f t="shared" si="60"/>
        <v>14BX-174</v>
      </c>
      <c r="N305" s="62" t="str">
        <f>$K$270&amp;C305</f>
        <v>ag_semi</v>
      </c>
    </row>
    <row r="306" spans="1:14" ht="14.1" customHeight="1">
      <c r="A306" s="69">
        <f t="shared" si="47"/>
        <v>46229</v>
      </c>
      <c r="B306" s="96">
        <f>'CHICLETS MASTER S2'!P77</f>
        <v>0.45833333333333298</v>
      </c>
      <c r="C306" s="71" t="s">
        <v>275</v>
      </c>
      <c r="D306" s="99" t="str">
        <f t="shared" si="59"/>
        <v>ANAHEIM HS</v>
      </c>
      <c r="E306" s="71">
        <v>189</v>
      </c>
      <c r="F306" s="91" t="str">
        <f>IF(G302="","L171",IF(G302&lt;I302,_xlfn.CONCAT("L171-",RIGHT(F302,LEN(F302) - FIND("-",F302))), _xlfn.CONCAT("L171-",RIGHT(H302,LEN(H302) - FIND("-",H302)))))</f>
        <v>L171-TROJAN CARDINAL</v>
      </c>
      <c r="G306" s="91">
        <v>10</v>
      </c>
      <c r="H306" s="91" t="str">
        <f>IF(G303="","L172",IF(G303&lt;I303,_xlfn.CONCAT("L172-",RIGHT(F303,LEN(F303) - FIND("-",F303))), _xlfn.CONCAT("L172-",RIGHT(H303,LEN(H303) - FIND("-",H303)))))</f>
        <v>L172-TEAM VEGAS RED</v>
      </c>
      <c r="I306" s="91">
        <v>8</v>
      </c>
      <c r="J306" s="91" t="s">
        <v>1181</v>
      </c>
      <c r="K306" s="91" t="s">
        <v>1182</v>
      </c>
      <c r="L306" s="91" t="str">
        <f t="shared" si="60"/>
        <v>14BX-189</v>
      </c>
      <c r="N306" s="62" t="str">
        <f>$L$270&amp;C306</f>
        <v>bz_3rd</v>
      </c>
    </row>
    <row r="307" spans="1:14" ht="14.1" customHeight="1">
      <c r="A307" s="69">
        <f t="shared" si="47"/>
        <v>46229</v>
      </c>
      <c r="B307" s="96">
        <f>'CHICLETS MASTER S2'!P78</f>
        <v>0.5</v>
      </c>
      <c r="C307" s="71" t="s">
        <v>278</v>
      </c>
      <c r="D307" s="99" t="str">
        <f t="shared" si="59"/>
        <v>ANAHEIM HS</v>
      </c>
      <c r="E307" s="71">
        <v>190</v>
      </c>
      <c r="F307" s="91" t="str">
        <f>IF(G302="","W171",IF(G302&gt;I302,_xlfn.CONCAT("W171-",RIGHT(F302,LEN(F302) - FIND("-",F302))), _xlfn.CONCAT("W171-",RIGHT(H302,LEN(H302) - FIND("-",H302)))))</f>
        <v>W171-VEGAS RENEGADES</v>
      </c>
      <c r="G307" s="91">
        <v>10</v>
      </c>
      <c r="H307" s="91" t="str">
        <f>IF(G303="","W172",IF(G303&gt;I303,_xlfn.CONCAT("W172-",RIGHT(F303,LEN(F303) - FIND("-",F303))), _xlfn.CONCAT("W172-",RIGHT(H303,LEN(H303) - FIND("-",H303)))))</f>
        <v>W172-NEWPORT BEACH WHITE</v>
      </c>
      <c r="I307" s="91">
        <v>12</v>
      </c>
      <c r="J307" s="91" t="s">
        <v>1183</v>
      </c>
      <c r="K307" s="91" t="s">
        <v>1184</v>
      </c>
      <c r="L307" s="91" t="str">
        <f t="shared" si="60"/>
        <v>14BX-190</v>
      </c>
      <c r="N307" s="62" t="str">
        <f>$L$270&amp;C307</f>
        <v>bz_1st</v>
      </c>
    </row>
    <row r="308" spans="1:14" ht="14.1" customHeight="1">
      <c r="A308" s="69">
        <f t="shared" si="47"/>
        <v>46229</v>
      </c>
      <c r="B308" s="96">
        <f>'CHICLETS MASTER S2'!P79</f>
        <v>0.54166666666666696</v>
      </c>
      <c r="C308" s="71" t="s">
        <v>275</v>
      </c>
      <c r="D308" s="99" t="str">
        <f t="shared" si="59"/>
        <v>ANAHEIM HS</v>
      </c>
      <c r="E308" s="71">
        <v>191</v>
      </c>
      <c r="F308" s="90" t="str">
        <f>IF(G304="","L173",IF(G304&lt;I304,_xlfn.CONCAT("L173-",RIGHT(F304,LEN(F304) - FIND("-",F304))), _xlfn.CONCAT("L173-",RIGHT(H304,LEN(H304) - FIND("-",H304)))))</f>
        <v>L173-MISSION B</v>
      </c>
      <c r="G308" s="93">
        <v>14</v>
      </c>
      <c r="H308" s="90" t="str">
        <f>IF(G305="","L174",IF(G305&lt;I305,_xlfn.CONCAT("L174-",RIGHT(F305,LEN(F305) - FIND("-",F305))), _xlfn.CONCAT("L174-",RIGHT(H305,LEN(H305) - FIND("-",H305)))))</f>
        <v>L174-ROUTE 66</v>
      </c>
      <c r="I308" s="93">
        <v>8</v>
      </c>
      <c r="J308" s="90" t="s">
        <v>1185</v>
      </c>
      <c r="K308" s="90" t="s">
        <v>1186</v>
      </c>
      <c r="L308" s="90" t="str">
        <f t="shared" si="60"/>
        <v>14BX-191</v>
      </c>
      <c r="N308" s="62" t="str">
        <f>$K$270&amp;C308</f>
        <v>ag_3rd</v>
      </c>
    </row>
    <row r="309" spans="1:14" ht="14.1" customHeight="1">
      <c r="A309" s="69">
        <f t="shared" si="47"/>
        <v>46229</v>
      </c>
      <c r="B309" s="96">
        <f>'CHICLETS MASTER S2'!P80</f>
        <v>0.58333333333333304</v>
      </c>
      <c r="C309" s="71" t="s">
        <v>278</v>
      </c>
      <c r="D309" s="99" t="str">
        <f t="shared" si="59"/>
        <v>ANAHEIM HS</v>
      </c>
      <c r="E309" s="71">
        <v>192</v>
      </c>
      <c r="F309" s="90" t="str">
        <f>IF(G304="","W173",IF(G304&gt;I304,_xlfn.CONCAT("W173-",RIGHT(F304,LEN(F304) - FIND("-",F304))), _xlfn.CONCAT("W173-",RIGHT(H304,LEN(H304) - FIND("-",H304)))))</f>
        <v>W173-OCWPC BLUE</v>
      </c>
      <c r="G309" s="93">
        <v>6</v>
      </c>
      <c r="H309" s="90" t="str">
        <f>IF(G305="","W174",IF(G305&gt;I305,_xlfn.CONCAT("W174-",RIGHT(F305,LEN(F305) - FIND("-",F305))), _xlfn.CONCAT("W174-",RIGHT(H305,LEN(H305) - FIND("-",H305)))))</f>
        <v>W174-TSUNAMI</v>
      </c>
      <c r="I309" s="93">
        <v>7</v>
      </c>
      <c r="J309" s="90" t="s">
        <v>1187</v>
      </c>
      <c r="K309" s="90" t="s">
        <v>1188</v>
      </c>
      <c r="L309" s="90" t="str">
        <f t="shared" si="60"/>
        <v>14BX-192</v>
      </c>
      <c r="N309" s="62" t="str">
        <f>$K$270&amp;C309</f>
        <v>ag_1st</v>
      </c>
    </row>
    <row r="310" spans="1:14" ht="14.1" customHeight="1">
      <c r="A310" s="98"/>
      <c r="B310" s="79"/>
      <c r="C310" s="60"/>
      <c r="D310" s="60"/>
      <c r="G310" s="62"/>
    </row>
    <row r="311" spans="1:14" ht="14.1" customHeight="1">
      <c r="A311" s="90" t="s">
        <v>1189</v>
      </c>
      <c r="C311" s="91" t="s">
        <v>1190</v>
      </c>
    </row>
    <row r="312" spans="1:14" ht="14.1" customHeight="1">
      <c r="A312" s="90" t="s">
        <v>278</v>
      </c>
      <c r="B312" s="100" t="str">
        <f>IF(G309="","W192",IF(G309&gt;I309,_xlfn.CONCAT("W192-",RIGHT(F309,LEN(F309) - FIND("-",F309))), _xlfn.CONCAT("W192-",RIGHT(H309,LEN(H309) - FIND("-",H309)))))</f>
        <v>W192-TSUNAMI</v>
      </c>
      <c r="C312" s="91" t="s">
        <v>278</v>
      </c>
      <c r="D312" s="110" t="str">
        <f>IF(G307="","W190",IF(G307&gt;I307,_xlfn.CONCAT("W190-",RIGHT(F307,LEN(F307) - FIND("-",F307))), _xlfn.CONCAT("W190-",RIGHT(H307,LEN(H307) - FIND("-",H307)))))</f>
        <v>W190-NEWPORT BEACH WHITE</v>
      </c>
    </row>
    <row r="313" spans="1:14" ht="14.1" customHeight="1">
      <c r="A313" s="90" t="s">
        <v>310</v>
      </c>
      <c r="B313" s="100" t="str">
        <f>IF(G309="","L192",IF(G309&lt;I309,_xlfn.CONCAT("L192-",RIGHT(F309,LEN(F309) - FIND("-",F309))), _xlfn.CONCAT("L192-",RIGHT(H309,LEN(H309) - FIND("-",H309)))))</f>
        <v>L192-OCWPC BLUE</v>
      </c>
      <c r="C313" s="91" t="s">
        <v>310</v>
      </c>
      <c r="D313" s="110" t="str">
        <f>IF(G307="","L190",IF(G307&lt;I307,_xlfn.CONCAT("L190-",RIGHT(F307,LEN(F307) - FIND("-",F307))), _xlfn.CONCAT("L190-",RIGHT(H307,LEN(H307) - FIND("-",H307)))))</f>
        <v>L190-VEGAS RENEGADES</v>
      </c>
    </row>
    <row r="314" spans="1:14" ht="14.1" customHeight="1">
      <c r="A314" s="90" t="s">
        <v>275</v>
      </c>
      <c r="B314" s="100" t="str">
        <f>IF(G308="","W191",IF(G308&gt;I308,_xlfn.CONCAT("W191-",RIGHT(F308,LEN(F308) - FIND("-",F308))), _xlfn.CONCAT("W191-",RIGHT(H308,LEN(H308) - FIND("-",H308)))))</f>
        <v>W191-MISSION B</v>
      </c>
      <c r="C314" s="91" t="s">
        <v>275</v>
      </c>
      <c r="D314" s="110" t="str">
        <f>IF(G306="","W189",IF(G306&gt;I306,_xlfn.CONCAT("W189-",RIGHT(F306,LEN(F306) - FIND("-",F306))), _xlfn.CONCAT("W189-",RIGHT(H306,LEN(H306) - FIND("-",H306)))))</f>
        <v>W189-TROJAN CARDINAL</v>
      </c>
    </row>
    <row r="315" spans="1:14" ht="14.1" customHeight="1">
      <c r="A315" s="90" t="s">
        <v>311</v>
      </c>
      <c r="B315" s="100" t="str">
        <f>IF(G308="","L191",IF(G308&lt;I308,_xlfn.CONCAT("L191-",RIGHT(F308,LEN(F308) - FIND("-",F308))), _xlfn.CONCAT("L191-",RIGHT(H308,LEN(H308) - FIND("-",H308)))))</f>
        <v>L191-ROUTE 66</v>
      </c>
      <c r="C315" s="91" t="s">
        <v>311</v>
      </c>
      <c r="D315" s="110" t="str">
        <f>IF(G306="","L189",IF(G306&lt;I306,_xlfn.CONCAT("L189-",RIGHT(F306,LEN(F306) - FIND("-",F306))), _xlfn.CONCAT("L189-",RIGHT(H306,LEN(H306) - FIND("-",H306)))))</f>
        <v>L189-TEAM VEGAS RED</v>
      </c>
    </row>
    <row r="316" spans="1:14" ht="14.1" customHeight="1">
      <c r="A316" s="90" t="s">
        <v>272</v>
      </c>
      <c r="B316" s="100" t="str">
        <f>IF(G273="","W186",IF(G273&gt;I273,_xlfn.CONCAT("W186-",RIGHT(F273,LEN(F273) - FIND("-",F273))), _xlfn.CONCAT("W186-",RIGHT(H273,LEN(H273) - FIND("-",H273)))))</f>
        <v>W186-ORWP BLACK</v>
      </c>
      <c r="C316" s="91" t="s">
        <v>272</v>
      </c>
      <c r="D316" s="110" t="str">
        <f>IF(G284="","W187",IF(G284&gt;I284,_xlfn.CONCAT("W187-",RIGHT(F284,LEN(F284) - FIND("-",F284))), _xlfn.CONCAT("W187-",RIGHT(H284,LEN(H284) - FIND("-",H284)))))</f>
        <v>W187-PRAETORIAN</v>
      </c>
    </row>
    <row r="317" spans="1:14" ht="14.1" customHeight="1">
      <c r="A317" s="90" t="s">
        <v>312</v>
      </c>
      <c r="B317" s="100" t="str">
        <f>IF(G273="","L186",IF(G273&lt;I273,_xlfn.CONCAT("L186-",RIGHT(F273,LEN(F273) - FIND("-",F273))), _xlfn.CONCAT("L186-",RIGHT(H273,LEN(H273) - FIND("-",H273)))))</f>
        <v>L186-SD DONS BLACK</v>
      </c>
      <c r="C317" s="91" t="s">
        <v>312</v>
      </c>
      <c r="D317" s="110" t="str">
        <f>IF(G284="","L187",IF(G284&lt;I284,_xlfn.CONCAT("L187-",RIGHT(F284,LEN(F284) - FIND("-",F284))), _xlfn.CONCAT("L187-",RIGHT(H284,LEN(H284) - FIND("-",H284)))))</f>
        <v>L187-CENTRAL VALLEY UNITED</v>
      </c>
    </row>
    <row r="318" spans="1:14" ht="14.1" customHeight="1">
      <c r="A318" s="90" t="s">
        <v>269</v>
      </c>
      <c r="B318" s="100" t="str">
        <f>IF(G275="","W185",IF(G275&gt;I275,_xlfn.CONCAT("W185-",RIGHT(F275,LEN(F275) - FIND("-",F275))), _xlfn.CONCAT("W185-",RIGHT(H275,LEN(H275) - FIND("-",H275)))))</f>
        <v>W185-LB SHORE RED</v>
      </c>
      <c r="C318" s="91" t="s">
        <v>269</v>
      </c>
      <c r="D318" s="110" t="str">
        <f>IF(G293="","W188",IF(G293&gt;I293,_xlfn.CONCAT("W188-",RIGHT(F293,LEN(F293) - FIND("-",F293))), _xlfn.CONCAT("W188-",RIGHT(H293,LEN(H293) - FIND("-",H293)))))</f>
        <v>W188-680 BLUE</v>
      </c>
    </row>
    <row r="319" spans="1:14" ht="14.1" customHeight="1">
      <c r="A319" s="90" t="s">
        <v>313</v>
      </c>
      <c r="B319" s="100" t="str">
        <f>IF(G275="","L185",IF(G275&lt;I275,_xlfn.CONCAT("L185-",RIGHT(F275,LEN(F275) - FIND("-",F275))), _xlfn.CONCAT("L185-",RIGHT(H275,LEN(H275) - FIND("-",H275)))))</f>
        <v>L185-PATRIOT RED</v>
      </c>
      <c r="C319" s="91" t="s">
        <v>313</v>
      </c>
      <c r="D319" s="110" t="str">
        <f>IF(G293="","L188",IF(G293&lt;I293,_xlfn.CONCAT("L188-",RIGHT(F293,LEN(F293) - FIND("-",F293))), _xlfn.CONCAT("L188-",RIGHT(H293,LEN(H293) - FIND("-",H293)))))</f>
        <v>L188-SAN JOSE EXPRESS BLUE</v>
      </c>
    </row>
    <row r="320" spans="1:14" ht="14.1" customHeight="1">
      <c r="A320" s="90" t="s">
        <v>281</v>
      </c>
      <c r="B320" s="100" t="str">
        <f>IF(G274="","W182",IF(G274&gt;I274,_xlfn.CONCAT("W182-",RIGHT(F274,LEN(F274) - FIND("-",F274))), _xlfn.CONCAT("W182-",RIGHT(H274,LEN(H274) - FIND("-",H274)))))</f>
        <v>W182-SHARKS</v>
      </c>
      <c r="C320" s="91" t="s">
        <v>281</v>
      </c>
      <c r="D320" s="110" t="str">
        <f>IF(G294="","W183",IF(G294&gt;I294,_xlfn.CONCAT("W183-",RIGHT(F294,LEN(F294) - FIND("-",F294))), _xlfn.CONCAT("W183-",RIGHT(H294,LEN(H294) - FIND("-",H294)))))</f>
        <v>W183-CLOVIS RED</v>
      </c>
    </row>
    <row r="321" spans="1:4" ht="14.1" customHeight="1">
      <c r="A321" s="90" t="s">
        <v>315</v>
      </c>
      <c r="B321" s="100" t="str">
        <f>IF(G274="","L182",IF(G274&lt;I274,_xlfn.CONCAT("L182-",RIGHT(F274,LEN(F274) - FIND("-",F274))), _xlfn.CONCAT("L182-",RIGHT(H274,LEN(H274) - FIND("-",H274)))))</f>
        <v>L182-KINGSBURG</v>
      </c>
      <c r="C321" s="91" t="s">
        <v>315</v>
      </c>
      <c r="D321" s="110" t="str">
        <f>IF(G294="","L183",IF(G294&lt;I294,_xlfn.CONCAT("L183-",RIGHT(F294,LEN(F294) - FIND("-",F294))), _xlfn.CONCAT("L183-",RIGHT(H294,LEN(H294) - FIND("-",H294)))))</f>
        <v>L183-LOKAHI</v>
      </c>
    </row>
    <row r="322" spans="1:4" ht="14.1" customHeight="1">
      <c r="A322" s="90" t="s">
        <v>284</v>
      </c>
      <c r="B322" s="100" t="str">
        <f>IF(G276="","W181",IF(G276&gt;I276,_xlfn.CONCAT("W181-",RIGHT(F276,LEN(F276) - FIND("-",F276))), _xlfn.CONCAT("W181-",RIGHT(H276,LEN(H276) - FIND("-",H276)))))</f>
        <v>W181-PRIDE BLACK</v>
      </c>
      <c r="C322" s="91" t="s">
        <v>284</v>
      </c>
      <c r="D322" s="110" t="str">
        <f>IF(G295="","W184",IF(G295&gt;I295,_xlfn.CONCAT("W184-",RIGHT(F295,LEN(F295) - FIND("-",F295))), _xlfn.CONCAT("W184-",RIGHT(H295,LEN(H295) - FIND("-",H295)))))</f>
        <v>W184-SD SHORES GOLD</v>
      </c>
    </row>
    <row r="323" spans="1:4" ht="14.1" customHeight="1">
      <c r="A323" s="90" t="s">
        <v>318</v>
      </c>
      <c r="B323" s="100" t="str">
        <f>IF(G276="","L181",IF(G276&lt;I276,_xlfn.CONCAT("L181-",RIGHT(F276,LEN(F276) - FIND("-",F276))), _xlfn.CONCAT("L181-",RIGHT(H276,LEN(H276) - FIND("-",H276)))))</f>
        <v>L181-LA JOLLA UNITED B</v>
      </c>
      <c r="C323" s="91" t="s">
        <v>318</v>
      </c>
      <c r="D323" s="110" t="str">
        <f>IF(G295="","L184",IF(G295&lt;I295,_xlfn.CONCAT("L184-",RIGHT(F295,LEN(F295) - FIND("-",F295))), _xlfn.CONCAT("L184-",RIGHT(H295,LEN(H295) - FIND("-",H295)))))</f>
        <v>L184-CARLSBAD</v>
      </c>
    </row>
    <row r="324" spans="1:4" ht="14.1" customHeight="1">
      <c r="A324" s="90" t="s">
        <v>287</v>
      </c>
      <c r="B324" s="100" t="str">
        <f>IF(G277="","W178",IF(G277&gt;I277,_xlfn.CONCAT("W178-",RIGHT(F277,LEN(F277) - FIND("-",F277))), _xlfn.CONCAT("W178-",RIGHT(H277,LEN(H277) - FIND("-",H277)))))</f>
        <v>W178-TEMPLE CITY</v>
      </c>
      <c r="C324" s="91" t="s">
        <v>287</v>
      </c>
      <c r="D324" s="110" t="str">
        <f>IF(G296="","W179",IF(G296&gt;I296,_xlfn.CONCAT("W179-",RIGHT(F296,LEN(F296) - FIND("-",F296))), _xlfn.CONCAT("W179-",RIGHT(H296,LEN(H296) - FIND("-",H296)))))</f>
        <v>W179-680 WHITE</v>
      </c>
    </row>
    <row r="325" spans="1:4" ht="14.1" customHeight="1">
      <c r="A325" s="90" t="s">
        <v>319</v>
      </c>
      <c r="B325" s="100" t="str">
        <f>IF(G277="","L178",IF(G277&lt;I277,_xlfn.CONCAT("L178-",RIGHT(F277,LEN(F277) - FIND("-",F277))), _xlfn.CONCAT("L178-",RIGHT(H277,LEN(H277) - FIND("-",H277)))))</f>
        <v>L178-ECA</v>
      </c>
      <c r="C325" s="91" t="s">
        <v>319</v>
      </c>
      <c r="D325" s="110" t="str">
        <f>IF(G296="","L179",IF(G296&lt;I296,_xlfn.CONCAT("L179-",RIGHT(F296,LEN(F296) - FIND("-",F296))), _xlfn.CONCAT("L179-",RIGHT(H296,LEN(H296) - FIND("-",H296)))))</f>
        <v>L179-DIABLO ALLIANCE B</v>
      </c>
    </row>
    <row r="326" spans="1:4" ht="14.1" customHeight="1">
      <c r="A326" s="90" t="s">
        <v>290</v>
      </c>
      <c r="B326" s="100" t="str">
        <f>IF(G278="","W177",IF(G278&gt;I278,_xlfn.CONCAT("W177-",RIGHT(F278,LEN(F278) - FIND("-",F278))), _xlfn.CONCAT("W177-",RIGHT(H278,LEN(H278) - FIND("-",H278)))))</f>
        <v>W177-STANFORD BLACK</v>
      </c>
      <c r="C326" s="91" t="s">
        <v>290</v>
      </c>
      <c r="D326" s="110" t="str">
        <f>IF(G297="","W180",IF(G297&gt;I297,_xlfn.CONCAT("W180-",RIGHT(F297,LEN(F297) - FIND("-",F297))), _xlfn.CONCAT("W180-",RIGHT(H297,LEN(H297) - FIND("-",H297)))))</f>
        <v>W180-RAIN CITY</v>
      </c>
    </row>
    <row r="327" spans="1:4" ht="14.1" customHeight="1">
      <c r="A327" s="90" t="s">
        <v>320</v>
      </c>
      <c r="B327" s="100" t="str">
        <f>IF(G278="","L177",IF(G278&lt;I278,_xlfn.CONCAT("L177-",RIGHT(F278,LEN(F278) - FIND("-",F278))), _xlfn.CONCAT("L177-",RIGHT(H278,LEN(H278) - FIND("-",H278)))))</f>
        <v>L177-KERN PREMIER</v>
      </c>
      <c r="C327" s="91" t="s">
        <v>320</v>
      </c>
      <c r="D327" s="110" t="str">
        <f>IF(G297="","L180",IF(G297&lt;I297,_xlfn.CONCAT("L180-",RIGHT(F297,LEN(F297) - FIND("-",F297))), _xlfn.CONCAT("L180-",RIGHT(H297,LEN(H297) - FIND("-",H297)))))</f>
        <v>L180-CAPITAL</v>
      </c>
    </row>
    <row r="328" spans="1:4" ht="14.1" customHeight="1">
      <c r="A328" s="90" t="s">
        <v>293</v>
      </c>
      <c r="B328" s="100" t="str">
        <f>IF(G279="","W170",IF(G279&gt;I279,_xlfn.CONCAT("W170-",RIGHT(F279,LEN(F279) - FIND("-",F279))), _xlfn.CONCAT("W170-",RIGHT(H279,LEN(H279) - FIND("-",H279)))))</f>
        <v>W170-ALAMEDA</v>
      </c>
      <c r="C328" s="91" t="s">
        <v>293</v>
      </c>
      <c r="D328" s="110" t="str">
        <f>IF(G298="","W175",IF(G298&gt;I298,_xlfn.CONCAT("W175-",RIGHT(F298,LEN(F298) - FIND("-",F298))), _xlfn.CONCAT("W175-",RIGHT(H298,LEN(H298) - FIND("-",H298)))))</f>
        <v>W175-SAN JOSE FOUNDATION BLACK</v>
      </c>
    </row>
    <row r="329" spans="1:4" ht="14.1" customHeight="1">
      <c r="A329" s="90" t="s">
        <v>321</v>
      </c>
      <c r="B329" s="100" t="str">
        <f>IF(G279="","L170",IF(G279&lt;I279,_xlfn.CONCAT("L170-",RIGHT(F279,LEN(F279) - FIND("-",F279))), _xlfn.CONCAT("L170-",RIGHT(H279,LEN(H279) - FIND("-",H279)))))</f>
        <v xml:space="preserve">L170-CT PREMIER	</v>
      </c>
      <c r="C329" s="91" t="s">
        <v>321</v>
      </c>
      <c r="D329" s="110" t="str">
        <f>IF(G298="","L175",IF(G298&lt;I298,_xlfn.CONCAT("L175-",RIGHT(F298,LEN(F298) - FIND("-",F298))), _xlfn.CONCAT("L175-",RIGHT(H298,LEN(H298) - FIND("-",H298)))))</f>
        <v>L175-WCAC UNITED</v>
      </c>
    </row>
    <row r="330" spans="1:4" ht="14.1" customHeight="1">
      <c r="A330" s="90" t="s">
        <v>296</v>
      </c>
      <c r="B330" s="100" t="str">
        <f>IF(G287="","W169",IF(G287&gt;I287,_xlfn.CONCAT("W169-",RIGHT(F287,LEN(F287) - FIND("-",F287))), _xlfn.CONCAT("W169-",RIGHT(H287,LEN(H287) - FIND("-",H287)))))</f>
        <v>W169-ROSE BOWL RED</v>
      </c>
      <c r="C330" s="91" t="s">
        <v>296</v>
      </c>
      <c r="D330" s="110" t="str">
        <f>IF(G283="","W176",IF(G283&gt;I283,_xlfn.CONCAT("W176-",RIGHT(F283,LEN(F283) - FIND("-",F283))), _xlfn.CONCAT("W176-",RIGHT(H283,LEN(H283) - FIND("-",H283)))))</f>
        <v>W176-BROOKLYN HUSTLE</v>
      </c>
    </row>
    <row r="331" spans="1:4" ht="14.1" customHeight="1">
      <c r="A331" s="90" t="s">
        <v>322</v>
      </c>
      <c r="B331" s="100" t="str">
        <f>IF(G287="","L169",IF(G287&lt;I287,_xlfn.CONCAT("L169-",RIGHT(F287,LEN(F287) - FIND("-",F287))), _xlfn.CONCAT("L169-",RIGHT(H287,LEN(H287) - FIND("-",H287)))))</f>
        <v>L169-LAMORINDA B</v>
      </c>
      <c r="C331" s="101" t="s">
        <v>322</v>
      </c>
      <c r="D331" s="110" t="str">
        <f>IF(G283="","L176",IF(G283&lt;I283,_xlfn.CONCAT("L176-",RIGHT(F283,LEN(F283) - FIND("-",F283))), _xlfn.CONCAT("L176-",RIGHT(H283,LEN(H283) - FIND("-",H283)))))</f>
        <v>L176-THIRD COAST</v>
      </c>
    </row>
    <row r="332" spans="1:4" ht="14.1" customHeight="1">
      <c r="A332" s="102" t="s">
        <v>323</v>
      </c>
      <c r="B332" s="114" t="s">
        <v>1334</v>
      </c>
      <c r="C332" s="104" t="s">
        <v>323</v>
      </c>
      <c r="D332" s="115" t="s">
        <v>1335</v>
      </c>
    </row>
    <row r="333" spans="1:4" ht="14.1" customHeight="1">
      <c r="A333" s="102" t="s">
        <v>325</v>
      </c>
      <c r="B333" s="116" t="s">
        <v>1336</v>
      </c>
      <c r="C333" s="104" t="s">
        <v>325</v>
      </c>
      <c r="D333" s="117" t="s">
        <v>1337</v>
      </c>
    </row>
    <row r="334" spans="1:4" ht="14.1" customHeight="1">
      <c r="A334" s="102" t="s">
        <v>327</v>
      </c>
      <c r="B334" s="116" t="s">
        <v>1338</v>
      </c>
      <c r="C334" s="104" t="s">
        <v>327</v>
      </c>
      <c r="D334" s="117" t="s">
        <v>1339</v>
      </c>
    </row>
    <row r="335" spans="1:4" ht="14.1" customHeight="1">
      <c r="A335" s="102" t="s">
        <v>329</v>
      </c>
      <c r="B335" s="116" t="s">
        <v>1340</v>
      </c>
      <c r="C335" s="104" t="s">
        <v>329</v>
      </c>
      <c r="D335" s="117" t="s">
        <v>1341</v>
      </c>
    </row>
  </sheetData>
  <hyperlinks>
    <hyperlink ref="B1" r:id="rId1" xr:uid="{792FBDA0-465D-4015-8357-0EBF54CF63F2}"/>
    <hyperlink ref="C1" r:id="rId2" xr:uid="{97A13578-2641-4B80-A547-E7E409FCE54A}"/>
    <hyperlink ref="E1" r:id="rId3" xr:uid="{2FEB2B87-BCFE-4859-BE12-66AB887AFF81}"/>
  </hyperlinks>
  <pageMargins left="0.75" right="0.75" top="1" bottom="1" header="0.25" footer="0.5"/>
  <pageSetup fitToHeight="0" orientation="landscape" r:id="rId4"/>
  <rowBreaks count="5" manualBreakCount="5">
    <brk id="53" max="16383" man="1"/>
    <brk id="97" max="16383" man="1"/>
    <brk id="162" max="16383" man="1"/>
    <brk id="203" max="16383" man="1"/>
    <brk id="268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9BAD-94E3-4B28-BAA3-06B9A7A6F6F5}">
  <sheetPr>
    <tabColor rgb="FFFF9933"/>
    <pageSetUpPr fitToPage="1"/>
  </sheetPr>
  <dimension ref="A1:O322"/>
  <sheetViews>
    <sheetView zoomScale="120" zoomScaleNormal="120" workbookViewId="0">
      <selection activeCell="I134" sqref="I134"/>
    </sheetView>
  </sheetViews>
  <sheetFormatPr defaultColWidth="12.85546875" defaultRowHeight="14.1" customHeight="1"/>
  <cols>
    <col min="1" max="1" width="24.42578125" style="62" customWidth="1"/>
    <col min="2" max="2" width="36.28515625" style="62" bestFit="1" customWidth="1"/>
    <col min="3" max="4" width="32.5703125" style="62" bestFit="1" customWidth="1"/>
    <col min="5" max="6" width="35.28515625" style="62" bestFit="1" customWidth="1"/>
    <col min="7" max="7" width="5.42578125" style="80" bestFit="1" customWidth="1"/>
    <col min="8" max="8" width="34.140625" style="62" bestFit="1" customWidth="1"/>
    <col min="9" max="9" width="5.42578125" style="62" bestFit="1" customWidth="1"/>
    <col min="10" max="11" width="6.85546875" style="62" bestFit="1" customWidth="1"/>
    <col min="12" max="13" width="10.28515625" style="62" customWidth="1"/>
    <col min="14" max="14" width="10.28515625" style="62" bestFit="1" customWidth="1"/>
    <col min="15" max="15" width="11.42578125" style="62" bestFit="1" customWidth="1"/>
    <col min="16" max="16384" width="12.85546875" style="62"/>
  </cols>
  <sheetData>
    <row r="1" spans="1:12" s="60" customFormat="1" ht="14.1" customHeight="1" thickTop="1" thickBot="1">
      <c r="A1" s="57" t="s">
        <v>68</v>
      </c>
      <c r="B1" s="52" t="s">
        <v>69</v>
      </c>
      <c r="C1" s="53" t="s">
        <v>70</v>
      </c>
      <c r="D1" s="58" t="s">
        <v>71</v>
      </c>
      <c r="E1" s="54" t="s">
        <v>72</v>
      </c>
      <c r="F1" s="59"/>
      <c r="G1" s="59"/>
      <c r="H1" s="59"/>
      <c r="I1" s="59"/>
      <c r="J1" s="59"/>
      <c r="K1" s="59"/>
      <c r="L1" s="59"/>
    </row>
    <row r="2" spans="1:12" ht="14.1" customHeight="1" thickBot="1">
      <c r="A2" s="61">
        <v>46226</v>
      </c>
      <c r="B2" s="60"/>
      <c r="D2" s="63" t="s">
        <v>484</v>
      </c>
      <c r="F2" s="60"/>
      <c r="G2" s="64"/>
      <c r="H2" s="60"/>
      <c r="I2" s="60"/>
      <c r="J2" s="60"/>
      <c r="K2" s="60"/>
      <c r="L2" s="60"/>
    </row>
    <row r="3" spans="1:12" s="60" customFormat="1" ht="14.1" customHeight="1" thickBot="1">
      <c r="A3" s="62"/>
      <c r="B3" s="60" t="s">
        <v>1342</v>
      </c>
      <c r="D3" s="65" t="s">
        <v>74</v>
      </c>
    </row>
    <row r="4" spans="1:12" ht="14.1" customHeight="1">
      <c r="A4" s="137" t="s">
        <v>75</v>
      </c>
      <c r="B4" s="137" t="s">
        <v>76</v>
      </c>
      <c r="C4" s="137" t="s">
        <v>77</v>
      </c>
      <c r="D4" s="137" t="s">
        <v>78</v>
      </c>
      <c r="E4" s="137" t="s">
        <v>79</v>
      </c>
      <c r="F4" s="137" t="s">
        <v>80</v>
      </c>
      <c r="G4" s="64"/>
      <c r="H4" s="66" t="s">
        <v>81</v>
      </c>
    </row>
    <row r="5" spans="1:12" ht="14.1" customHeight="1">
      <c r="A5" s="118" t="s">
        <v>1343</v>
      </c>
      <c r="B5" s="118" t="s">
        <v>1344</v>
      </c>
      <c r="C5" s="118" t="s">
        <v>1345</v>
      </c>
      <c r="D5" s="118" t="s">
        <v>1346</v>
      </c>
      <c r="E5" s="118" t="s">
        <v>1347</v>
      </c>
      <c r="F5" s="118" t="s">
        <v>1348</v>
      </c>
      <c r="G5" s="64"/>
    </row>
    <row r="6" spans="1:12" ht="14.1" customHeight="1">
      <c r="A6" s="67" t="s">
        <v>1349</v>
      </c>
      <c r="B6" s="67" t="s">
        <v>1350</v>
      </c>
      <c r="C6" s="67" t="s">
        <v>1351</v>
      </c>
      <c r="D6" s="67" t="s">
        <v>1352</v>
      </c>
      <c r="E6" s="67" t="s">
        <v>1353</v>
      </c>
      <c r="F6" s="67" t="s">
        <v>1354</v>
      </c>
      <c r="G6" s="64"/>
    </row>
    <row r="7" spans="1:12" ht="14.1" customHeight="1">
      <c r="A7" s="67" t="s">
        <v>1355</v>
      </c>
      <c r="B7" s="67" t="s">
        <v>1356</v>
      </c>
      <c r="C7" s="67" t="s">
        <v>1357</v>
      </c>
      <c r="D7" s="67" t="s">
        <v>1358</v>
      </c>
      <c r="E7" s="67" t="s">
        <v>1359</v>
      </c>
      <c r="F7" s="67" t="s">
        <v>1360</v>
      </c>
      <c r="G7" s="64"/>
    </row>
    <row r="8" spans="1:12" ht="14.1" customHeight="1">
      <c r="A8" s="67" t="s">
        <v>1361</v>
      </c>
      <c r="B8" s="67" t="s">
        <v>1362</v>
      </c>
      <c r="C8" s="67" t="s">
        <v>1363</v>
      </c>
      <c r="D8" s="67" t="s">
        <v>1364</v>
      </c>
      <c r="E8" s="67" t="s">
        <v>1365</v>
      </c>
      <c r="F8" s="67" t="s">
        <v>1366</v>
      </c>
      <c r="G8" s="64"/>
    </row>
    <row r="9" spans="1:12" ht="14.1" customHeight="1">
      <c r="A9" s="60"/>
      <c r="B9" s="60"/>
      <c r="C9" s="60"/>
      <c r="D9" s="60"/>
      <c r="E9" s="60"/>
      <c r="F9" s="60"/>
      <c r="G9" s="64"/>
    </row>
    <row r="10" spans="1:12" ht="14.1" customHeight="1">
      <c r="A10" s="138" t="s">
        <v>100</v>
      </c>
      <c r="B10" s="137" t="s">
        <v>101</v>
      </c>
      <c r="C10" s="137" t="s">
        <v>102</v>
      </c>
      <c r="D10" s="137" t="s">
        <v>103</v>
      </c>
      <c r="E10" s="137" t="s">
        <v>104</v>
      </c>
      <c r="F10" s="137" t="s">
        <v>105</v>
      </c>
      <c r="G10" s="64"/>
      <c r="J10" s="60"/>
    </row>
    <row r="11" spans="1:12" ht="14.1" customHeight="1">
      <c r="A11" s="67" t="s">
        <v>1367</v>
      </c>
      <c r="B11" s="67" t="s">
        <v>1368</v>
      </c>
      <c r="C11" s="67" t="s">
        <v>1369</v>
      </c>
      <c r="D11" s="67" t="s">
        <v>1370</v>
      </c>
      <c r="E11" s="67" t="s">
        <v>1371</v>
      </c>
      <c r="F11" s="67" t="s">
        <v>1372</v>
      </c>
      <c r="G11" s="64"/>
      <c r="J11" s="60"/>
    </row>
    <row r="12" spans="1:12" ht="14.1" customHeight="1">
      <c r="A12" s="67" t="s">
        <v>1373</v>
      </c>
      <c r="B12" s="67" t="s">
        <v>1374</v>
      </c>
      <c r="C12" s="67" t="s">
        <v>1375</v>
      </c>
      <c r="D12" s="67" t="s">
        <v>1376</v>
      </c>
      <c r="E12" s="67" t="s">
        <v>1377</v>
      </c>
      <c r="F12" s="67" t="s">
        <v>1378</v>
      </c>
      <c r="G12" s="64"/>
      <c r="J12" s="60"/>
    </row>
    <row r="13" spans="1:12" ht="14.1" customHeight="1">
      <c r="A13" s="67" t="s">
        <v>1379</v>
      </c>
      <c r="B13" s="67" t="s">
        <v>1380</v>
      </c>
      <c r="C13" s="67" t="s">
        <v>1381</v>
      </c>
      <c r="D13" s="67" t="s">
        <v>1382</v>
      </c>
      <c r="E13" s="67" t="s">
        <v>1383</v>
      </c>
      <c r="F13" s="67" t="s">
        <v>1384</v>
      </c>
      <c r="G13" s="64"/>
      <c r="J13" s="60"/>
    </row>
    <row r="14" spans="1:12" ht="14.1" customHeight="1">
      <c r="A14" s="67" t="s">
        <v>1385</v>
      </c>
      <c r="B14" s="67" t="s">
        <v>1386</v>
      </c>
      <c r="C14" s="67" t="s">
        <v>1387</v>
      </c>
      <c r="D14" s="67" t="s">
        <v>1388</v>
      </c>
      <c r="E14" s="67" t="s">
        <v>1389</v>
      </c>
      <c r="F14" s="67" t="s">
        <v>1390</v>
      </c>
      <c r="G14" s="64"/>
      <c r="J14" s="60"/>
    </row>
    <row r="15" spans="1:12" ht="14.1" customHeight="1" thickBot="1">
      <c r="G15" s="62"/>
      <c r="L15" s="62" t="s">
        <v>1391</v>
      </c>
    </row>
    <row r="16" spans="1:12" ht="14.1" customHeight="1" thickBot="1">
      <c r="B16" s="60"/>
      <c r="C16" s="60"/>
      <c r="D16" s="68" t="str">
        <f>'CHICLETS MASTER S2'!$AP$3</f>
        <v>EDISON HS</v>
      </c>
      <c r="E16" s="60"/>
      <c r="F16" s="60"/>
      <c r="G16" s="64"/>
      <c r="H16" s="60"/>
      <c r="I16" s="60"/>
      <c r="J16" s="60"/>
      <c r="K16" s="60"/>
      <c r="L16" s="60"/>
    </row>
    <row r="17" spans="1:12" ht="14.1" customHeight="1">
      <c r="A17" s="139" t="s">
        <v>124</v>
      </c>
      <c r="B17" s="139" t="s">
        <v>125</v>
      </c>
      <c r="C17" s="139" t="s">
        <v>126</v>
      </c>
      <c r="D17" s="139" t="s">
        <v>127</v>
      </c>
      <c r="E17" s="139" t="s">
        <v>128</v>
      </c>
      <c r="F17" s="139" t="s">
        <v>129</v>
      </c>
      <c r="G17" s="139" t="s">
        <v>130</v>
      </c>
      <c r="H17" s="139" t="s">
        <v>131</v>
      </c>
      <c r="I17" s="139" t="s">
        <v>130</v>
      </c>
      <c r="J17" s="139" t="s">
        <v>132</v>
      </c>
      <c r="K17" s="139" t="s">
        <v>133</v>
      </c>
      <c r="L17" s="139" t="s">
        <v>134</v>
      </c>
    </row>
    <row r="18" spans="1:12" ht="14.1" customHeight="1">
      <c r="A18" s="69">
        <f t="shared" ref="A18:A29" si="0">$A$2</f>
        <v>46226</v>
      </c>
      <c r="B18" s="70">
        <f>'CHICLETS MASTER S2'!X4</f>
        <v>0.29166666666666669</v>
      </c>
      <c r="C18" s="71" t="s">
        <v>218</v>
      </c>
      <c r="D18" s="119" t="str">
        <f t="shared" ref="D18:D29" si="1">$D$16</f>
        <v>EDISON HS</v>
      </c>
      <c r="E18" s="71">
        <v>1</v>
      </c>
      <c r="F18" s="71" t="str">
        <f>C5</f>
        <v>3-ORWP</v>
      </c>
      <c r="G18" s="73">
        <v>16</v>
      </c>
      <c r="H18" s="71" t="str">
        <f>C8</f>
        <v>46-PUNAHOU</v>
      </c>
      <c r="I18" s="71">
        <v>6</v>
      </c>
      <c r="J18" s="71">
        <v>25</v>
      </c>
      <c r="K18" s="71">
        <v>29</v>
      </c>
      <c r="L18" s="71" t="str">
        <f t="shared" ref="L18:L29" si="2">IF(E18="","",$L$15&amp;"-"&amp;TEXT(E18,"000"))</f>
        <v>16BX-001</v>
      </c>
    </row>
    <row r="19" spans="1:12" ht="14.1" customHeight="1">
      <c r="A19" s="69">
        <f t="shared" si="0"/>
        <v>46226</v>
      </c>
      <c r="B19" s="70">
        <f>'CHICLETS MASTER S2'!X5</f>
        <v>0.3263888888888889</v>
      </c>
      <c r="C19" s="71" t="s">
        <v>218</v>
      </c>
      <c r="D19" s="119" t="str">
        <f t="shared" si="1"/>
        <v>EDISON HS</v>
      </c>
      <c r="E19" s="71">
        <v>5</v>
      </c>
      <c r="F19" s="71" t="str">
        <f>C6</f>
        <v>22-NEWPORT BEACH WHITE</v>
      </c>
      <c r="G19" s="73">
        <v>8</v>
      </c>
      <c r="H19" s="71" t="str">
        <f>C7</f>
        <v>27-DAVIS WHITE</v>
      </c>
      <c r="I19" s="73">
        <v>4</v>
      </c>
      <c r="J19" s="71">
        <v>25</v>
      </c>
      <c r="K19" s="71">
        <v>29</v>
      </c>
      <c r="L19" s="71" t="str">
        <f t="shared" si="2"/>
        <v>16BX-005</v>
      </c>
    </row>
    <row r="20" spans="1:12" ht="14.1" customHeight="1">
      <c r="A20" s="69">
        <f t="shared" si="0"/>
        <v>46226</v>
      </c>
      <c r="B20" s="70">
        <f>'CHICLETS MASTER S2'!X6</f>
        <v>0.36111111111111099</v>
      </c>
      <c r="C20" s="71" t="s">
        <v>218</v>
      </c>
      <c r="D20" s="119" t="str">
        <f t="shared" si="1"/>
        <v>EDISON HS</v>
      </c>
      <c r="E20" s="71">
        <v>9</v>
      </c>
      <c r="F20" s="71" t="str">
        <f>A5</f>
        <v>1-CARLSBAD A</v>
      </c>
      <c r="G20" s="73">
        <v>15</v>
      </c>
      <c r="H20" s="71" t="str">
        <f>A8</f>
        <v>48-808</v>
      </c>
      <c r="I20" s="71">
        <v>0</v>
      </c>
      <c r="J20" s="71">
        <v>33</v>
      </c>
      <c r="K20" s="71">
        <v>37</v>
      </c>
      <c r="L20" s="71" t="str">
        <f t="shared" si="2"/>
        <v>16BX-009</v>
      </c>
    </row>
    <row r="21" spans="1:12" ht="14.1" customHeight="1">
      <c r="A21" s="69">
        <f t="shared" si="0"/>
        <v>46226</v>
      </c>
      <c r="B21" s="70">
        <f>'CHICLETS MASTER S2'!X7</f>
        <v>0.39583333333333398</v>
      </c>
      <c r="C21" s="71" t="s">
        <v>218</v>
      </c>
      <c r="D21" s="119" t="str">
        <f t="shared" si="1"/>
        <v>EDISON HS</v>
      </c>
      <c r="E21" s="71">
        <v>13</v>
      </c>
      <c r="F21" s="71" t="str">
        <f>A6</f>
        <v>24-ALAMEDA</v>
      </c>
      <c r="G21" s="74">
        <v>8.4</v>
      </c>
      <c r="H21" s="71" t="str">
        <f>A7</f>
        <v>25-ASPHALT GREEN</v>
      </c>
      <c r="I21" s="71">
        <v>8.3000000000000007</v>
      </c>
      <c r="J21" s="71">
        <v>33</v>
      </c>
      <c r="K21" s="71">
        <v>37</v>
      </c>
      <c r="L21" s="71" t="str">
        <f t="shared" si="2"/>
        <v>16BX-013</v>
      </c>
    </row>
    <row r="22" spans="1:12" ht="14.1" customHeight="1">
      <c r="A22" s="69">
        <f t="shared" si="0"/>
        <v>46226</v>
      </c>
      <c r="B22" s="70">
        <f>'CHICLETS MASTER S2'!X8</f>
        <v>0.43055555555555602</v>
      </c>
      <c r="C22" s="71" t="s">
        <v>218</v>
      </c>
      <c r="D22" s="119" t="str">
        <f t="shared" si="1"/>
        <v>EDISON HS</v>
      </c>
      <c r="E22" s="71">
        <v>17</v>
      </c>
      <c r="F22" s="71" t="str">
        <f>B5</f>
        <v>2-SOUTH COAST RED</v>
      </c>
      <c r="G22" s="73">
        <v>14</v>
      </c>
      <c r="H22" s="71" t="str">
        <f>B8</f>
        <v>47-NEW TRIER</v>
      </c>
      <c r="I22" s="71">
        <v>1</v>
      </c>
      <c r="J22" s="71">
        <v>41</v>
      </c>
      <c r="K22" s="71">
        <v>45</v>
      </c>
      <c r="L22" s="71" t="str">
        <f t="shared" si="2"/>
        <v>16BX-017</v>
      </c>
    </row>
    <row r="23" spans="1:12" ht="14.1" customHeight="1">
      <c r="A23" s="69">
        <f t="shared" si="0"/>
        <v>46226</v>
      </c>
      <c r="B23" s="70">
        <f>'CHICLETS MASTER S2'!X9</f>
        <v>0.46527777777777801</v>
      </c>
      <c r="C23" s="71" t="s">
        <v>218</v>
      </c>
      <c r="D23" s="119" t="str">
        <f t="shared" si="1"/>
        <v>EDISON HS</v>
      </c>
      <c r="E23" s="71">
        <v>21</v>
      </c>
      <c r="F23" s="71" t="str">
        <f>B6</f>
        <v>23-CT PREMIER</v>
      </c>
      <c r="G23" s="74">
        <v>6.4</v>
      </c>
      <c r="H23" s="71" t="str">
        <f>B7</f>
        <v>26-PRAETORIAN BLACK</v>
      </c>
      <c r="I23" s="71">
        <v>6.2</v>
      </c>
      <c r="J23" s="71">
        <v>41</v>
      </c>
      <c r="K23" s="71">
        <v>45</v>
      </c>
      <c r="L23" s="71" t="str">
        <f t="shared" si="2"/>
        <v>16BX-021</v>
      </c>
    </row>
    <row r="24" spans="1:12" ht="14.1" customHeight="1">
      <c r="A24" s="69">
        <f t="shared" si="0"/>
        <v>46226</v>
      </c>
      <c r="B24" s="70">
        <f>'CHICLETS MASTER S2'!X10</f>
        <v>0.5</v>
      </c>
      <c r="C24" s="71" t="s">
        <v>218</v>
      </c>
      <c r="D24" s="119" t="str">
        <f t="shared" si="1"/>
        <v>EDISON HS</v>
      </c>
      <c r="E24" s="71">
        <v>25</v>
      </c>
      <c r="F24" s="71" t="str">
        <f>IF(G18="","W1",IF(G18&gt;I18,_xlfn.CONCAT("W1-",RIGHT(F18,LEN(F18) - FIND("-",F18))), _xlfn.CONCAT("W1-",RIGHT(H18,LEN(H18) - FIND("-",H18)))))</f>
        <v>W1-ORWP</v>
      </c>
      <c r="G24" s="81">
        <v>7</v>
      </c>
      <c r="H24" s="71" t="str">
        <f>IF(G19="","W5",IF(G19&gt;I19,_xlfn.CONCAT("W5-",RIGHT(F19,LEN(F19) - FIND("-",F19))), _xlfn.CONCAT("W5-",RIGHT(H19,LEN(H19) - FIND("-",H19)))))</f>
        <v>W5-NEWPORT BEACH WHITE</v>
      </c>
      <c r="I24" s="71">
        <v>6</v>
      </c>
      <c r="J24" s="71" t="s">
        <v>1279</v>
      </c>
      <c r="K24" s="71">
        <v>50</v>
      </c>
      <c r="L24" s="71" t="str">
        <f t="shared" si="2"/>
        <v>16BX-025</v>
      </c>
    </row>
    <row r="25" spans="1:12" ht="14.1" customHeight="1">
      <c r="A25" s="69">
        <f t="shared" si="0"/>
        <v>46226</v>
      </c>
      <c r="B25" s="70">
        <f>'CHICLETS MASTER S2'!X11</f>
        <v>0.53472222222222199</v>
      </c>
      <c r="C25" s="71" t="s">
        <v>218</v>
      </c>
      <c r="D25" s="119" t="str">
        <f t="shared" si="1"/>
        <v>EDISON HS</v>
      </c>
      <c r="E25" s="71">
        <v>29</v>
      </c>
      <c r="F25" s="71" t="str">
        <f>IF(G18="","L1",IF(G18&lt;I18,_xlfn.CONCAT("L1-",RIGHT(F18,LEN(F18) - FIND("-",F18))), _xlfn.CONCAT("L1-",RIGHT(H18,LEN(H18) - FIND("-",H18)))))</f>
        <v>L1-PUNAHOU</v>
      </c>
      <c r="G25" s="81">
        <v>7.2</v>
      </c>
      <c r="H25" s="71" t="str">
        <f>IF(G19="","L5",IF(G19&lt;I19,_xlfn.CONCAT("L5-",RIGHT(F19,LEN(F19) - FIND("-",F19))), _xlfn.CONCAT("L5-",RIGHT(H19,LEN(H19) - FIND("-",H19)))))</f>
        <v>L5-DAVIS WHITE</v>
      </c>
      <c r="I25" s="71">
        <v>7.4</v>
      </c>
      <c r="J25" s="71">
        <v>49</v>
      </c>
      <c r="K25" s="71" t="s">
        <v>1280</v>
      </c>
      <c r="L25" s="71" t="str">
        <f t="shared" si="2"/>
        <v>16BX-029</v>
      </c>
    </row>
    <row r="26" spans="1:12" ht="14.1" customHeight="1">
      <c r="A26" s="69">
        <f t="shared" si="0"/>
        <v>46226</v>
      </c>
      <c r="B26" s="70">
        <f>'CHICLETS MASTER S2'!X12</f>
        <v>0.56944444444444497</v>
      </c>
      <c r="C26" s="71" t="s">
        <v>218</v>
      </c>
      <c r="D26" s="119" t="str">
        <f t="shared" si="1"/>
        <v>EDISON HS</v>
      </c>
      <c r="E26" s="71">
        <v>33</v>
      </c>
      <c r="F26" s="71" t="str">
        <f>IF(G20="","W9",IF(G20&gt;I20,_xlfn.CONCAT("W9-",RIGHT(F20,LEN(F20) - FIND("-",F20))), _xlfn.CONCAT("W9-",RIGHT(H20,LEN(H20) - FIND("-",H20)))))</f>
        <v>W9-CARLSBAD A</v>
      </c>
      <c r="G26" s="81">
        <v>5.1100000000000003</v>
      </c>
      <c r="H26" s="71" t="str">
        <f>IF(G21="","W13",IF(G21&gt;I21,_xlfn.CONCAT("W13-",RIGHT(F21,LEN(F21) - FIND("-",F21))), _xlfn.CONCAT("W13-",RIGHT(H21,LEN(H21) - FIND("-",H21)))))</f>
        <v>W13-ALAMEDA</v>
      </c>
      <c r="I26" s="140">
        <v>5.0999999999999996</v>
      </c>
      <c r="J26" s="71" t="s">
        <v>1281</v>
      </c>
      <c r="K26" s="71">
        <v>57</v>
      </c>
      <c r="L26" s="71" t="str">
        <f t="shared" si="2"/>
        <v>16BX-033</v>
      </c>
    </row>
    <row r="27" spans="1:12" ht="14.1" customHeight="1">
      <c r="A27" s="69">
        <f t="shared" si="0"/>
        <v>46226</v>
      </c>
      <c r="B27" s="70">
        <f>'CHICLETS MASTER S2'!X13</f>
        <v>0.60416666666666696</v>
      </c>
      <c r="C27" s="71" t="s">
        <v>218</v>
      </c>
      <c r="D27" s="119" t="str">
        <f t="shared" si="1"/>
        <v>EDISON HS</v>
      </c>
      <c r="E27" s="71">
        <v>37</v>
      </c>
      <c r="F27" s="71" t="str">
        <f>IF(G20="","L9",IF(G20&lt;I20,_xlfn.CONCAT("L9-",RIGHT(F20,LEN(F20) - FIND("-",F20))), _xlfn.CONCAT("L9-",RIGHT(H20,LEN(H20) - FIND("-",H20)))))</f>
        <v>L9-808</v>
      </c>
      <c r="G27" s="81">
        <v>2</v>
      </c>
      <c r="H27" s="71" t="str">
        <f>IF(G21="","L13",IF(G21&lt;I21,_xlfn.CONCAT("L13-",RIGHT(F21,LEN(F21) - FIND("-",F21))), _xlfn.CONCAT("L13-",RIGHT(H21,LEN(H21) - FIND("-",H21)))))</f>
        <v>L13-ASPHALT GREEN</v>
      </c>
      <c r="I27" s="71">
        <v>10</v>
      </c>
      <c r="J27" s="71">
        <v>53</v>
      </c>
      <c r="K27" s="71" t="s">
        <v>1282</v>
      </c>
      <c r="L27" s="71" t="str">
        <f t="shared" si="2"/>
        <v>16BX-037</v>
      </c>
    </row>
    <row r="28" spans="1:12" ht="14.1" customHeight="1">
      <c r="A28" s="69">
        <f t="shared" si="0"/>
        <v>46226</v>
      </c>
      <c r="B28" s="70">
        <f>'CHICLETS MASTER S2'!X14</f>
        <v>0.63888888888888895</v>
      </c>
      <c r="C28" s="71" t="s">
        <v>218</v>
      </c>
      <c r="D28" s="119" t="str">
        <f t="shared" si="1"/>
        <v>EDISON HS</v>
      </c>
      <c r="E28" s="71">
        <v>41</v>
      </c>
      <c r="F28" s="71" t="str">
        <f>IF(G22="","W17",IF(G22&gt;I22,_xlfn.CONCAT("W17-",RIGHT(F22,LEN(F22) - FIND("-",F22))), _xlfn.CONCAT("W17-",RIGHT(H22,LEN(H22) - FIND("-",H22)))))</f>
        <v>W17-SOUTH COAST RED</v>
      </c>
      <c r="G28" s="73">
        <v>7</v>
      </c>
      <c r="H28" s="71" t="str">
        <f>IF(G23="","W21",IF(G23&gt;I23,_xlfn.CONCAT("W21-",RIGHT(F23,LEN(F23) - FIND("-",F23))), _xlfn.CONCAT("W21-",RIGHT(H23,LEN(H23) - FIND("-",H23)))))</f>
        <v>W21-CT PREMIER</v>
      </c>
      <c r="I28" s="71">
        <v>8</v>
      </c>
      <c r="J28" s="71" t="s">
        <v>1283</v>
      </c>
      <c r="K28" s="71">
        <v>53</v>
      </c>
      <c r="L28" s="71" t="str">
        <f t="shared" si="2"/>
        <v>16BX-041</v>
      </c>
    </row>
    <row r="29" spans="1:12" ht="14.1" customHeight="1">
      <c r="A29" s="69">
        <f t="shared" si="0"/>
        <v>46226</v>
      </c>
      <c r="B29" s="70">
        <f>'CHICLETS MASTER S2'!X15</f>
        <v>0.67361111111111105</v>
      </c>
      <c r="C29" s="71" t="s">
        <v>218</v>
      </c>
      <c r="D29" s="119" t="str">
        <f t="shared" si="1"/>
        <v>EDISON HS</v>
      </c>
      <c r="E29" s="71">
        <v>45</v>
      </c>
      <c r="F29" s="71" t="str">
        <f>IF(G22="","L17",IF(G22&lt;I22,_xlfn.CONCAT("L17-",RIGHT(F22,LEN(F22) - FIND("-",F22))), _xlfn.CONCAT("L17-",RIGHT(H22,LEN(H22) - FIND("-",H22)))))</f>
        <v>L17-NEW TRIER</v>
      </c>
      <c r="G29" s="73">
        <v>2</v>
      </c>
      <c r="H29" s="71" t="str">
        <f>IF(G23="","L21",IF(G23&lt;I23,_xlfn.CONCAT("L21-",RIGHT(F23,LEN(F23) - FIND("-",F23))), _xlfn.CONCAT("L21-",RIGHT(H23,LEN(H23) - FIND("-",H23)))))</f>
        <v>L21-PRAETORIAN BLACK</v>
      </c>
      <c r="I29" s="71">
        <v>15</v>
      </c>
      <c r="J29" s="71">
        <v>57</v>
      </c>
      <c r="K29" s="71" t="s">
        <v>1284</v>
      </c>
      <c r="L29" s="71" t="str">
        <f t="shared" si="2"/>
        <v>16BX-045</v>
      </c>
    </row>
    <row r="30" spans="1:12" ht="14.1" customHeight="1">
      <c r="A30" s="75"/>
      <c r="B30" s="60" t="s">
        <v>139</v>
      </c>
      <c r="C30" s="60"/>
      <c r="D30" s="60"/>
      <c r="E30" s="60"/>
      <c r="F30" s="60"/>
      <c r="G30" s="64"/>
      <c r="H30" s="60"/>
      <c r="I30" s="60"/>
      <c r="J30" s="60"/>
      <c r="K30" s="60"/>
      <c r="L30" s="60"/>
    </row>
    <row r="31" spans="1:12" ht="14.1" customHeight="1">
      <c r="A31" s="69">
        <f>$A$2</f>
        <v>46226</v>
      </c>
      <c r="B31" s="70">
        <f>'CHICLETS MASTER S2'!X17</f>
        <v>0.74305555555555602</v>
      </c>
      <c r="C31" s="71" t="s">
        <v>140</v>
      </c>
      <c r="D31" s="119" t="str">
        <f>$D$16</f>
        <v>EDISON HS</v>
      </c>
      <c r="E31" s="71">
        <v>49</v>
      </c>
      <c r="F31" s="66" t="str">
        <f>IF(G43="","L26",IF(G43&lt;I43,_xlfn.CONCAT("L26-",RIGHT(F43,LEN(F43) - FIND("-",F43))), _xlfn.CONCAT("L26-",RIGHT(H43,LEN(H43) - FIND("-",H43)))))</f>
        <v>L26-99 ALLIANCE</v>
      </c>
      <c r="G31" s="81">
        <v>10</v>
      </c>
      <c r="H31" s="71" t="str">
        <f>IF(G25="","W29",IF(G25&gt;I25,_xlfn.CONCAT("W29-",RIGHT(F25,LEN(F25) - FIND("-",F25))), _xlfn.CONCAT("W29-",RIGHT(H25,LEN(H25) - FIND("-",H25)))))</f>
        <v>W29-DAVIS WHITE</v>
      </c>
      <c r="I31" s="71">
        <v>11</v>
      </c>
      <c r="J31" s="71" t="s">
        <v>892</v>
      </c>
      <c r="K31" s="71" t="s">
        <v>927</v>
      </c>
      <c r="L31" s="71" t="str">
        <f>IF(E31="","",$L$15&amp;"-"&amp;TEXT(E31,"000"))</f>
        <v>16BX-049</v>
      </c>
    </row>
    <row r="32" spans="1:12" ht="14.1" customHeight="1">
      <c r="A32" s="69">
        <f>$A$2</f>
        <v>46226</v>
      </c>
      <c r="B32" s="70">
        <f>'CHICLETS MASTER S2'!X18</f>
        <v>0.77777777777777801</v>
      </c>
      <c r="C32" s="71" t="s">
        <v>140</v>
      </c>
      <c r="D32" s="119" t="str">
        <f>$D$16</f>
        <v>EDISON HS</v>
      </c>
      <c r="E32" s="71">
        <v>53</v>
      </c>
      <c r="F32" s="71" t="str">
        <f>IF(G28="","L41",IF(G28&lt;I28,_xlfn.CONCAT("L41-",RIGHT(F28,LEN(F28) - FIND("-",F28))), _xlfn.CONCAT("L41-",RIGHT(H28,LEN(H28) - FIND("-",H28)))))</f>
        <v>L41-SOUTH COAST RED</v>
      </c>
      <c r="G32" s="81">
        <v>8.5</v>
      </c>
      <c r="H32" s="71" t="str">
        <f>IF(G27="","W37",IF(G27&gt;I27,_xlfn.CONCAT("W37-",RIGHT(F27,LEN(F27) - FIND("-",F27))), _xlfn.CONCAT("W37-",RIGHT(H27,LEN(H27) - FIND("-",H27)))))</f>
        <v>W37-ASPHALT GREEN</v>
      </c>
      <c r="I32" s="71">
        <v>8.4</v>
      </c>
      <c r="J32" s="71" t="s">
        <v>926</v>
      </c>
      <c r="K32" s="71" t="s">
        <v>893</v>
      </c>
      <c r="L32" s="71" t="str">
        <f>IF(E32="","",$L$15&amp;"-"&amp;TEXT(E32,"000"))</f>
        <v>16BX-053</v>
      </c>
    </row>
    <row r="33" spans="1:12" ht="14.1" customHeight="1">
      <c r="A33" s="69">
        <f>$A$2</f>
        <v>46226</v>
      </c>
      <c r="B33" s="70">
        <f>'CHICLETS MASTER S2'!X19</f>
        <v>0.8125</v>
      </c>
      <c r="C33" s="71" t="s">
        <v>140</v>
      </c>
      <c r="D33" s="119" t="str">
        <f>$D$16</f>
        <v>EDISON HS</v>
      </c>
      <c r="E33" s="71">
        <v>57</v>
      </c>
      <c r="F33" s="71" t="str">
        <f>IF(G26="","L33",IF(G26&lt;I26,_xlfn.CONCAT("L33-",RIGHT(F26,LEN(F26) - FIND("-",F26))), _xlfn.CONCAT("L33-",RIGHT(H26,LEN(H26) - FIND("-",H26)))))</f>
        <v>L33-ALAMEDA</v>
      </c>
      <c r="G33" s="81">
        <v>10</v>
      </c>
      <c r="H33" s="71" t="str">
        <f>IF(G29="","W45",IF(G29&gt;I29,_xlfn.CONCAT("W45-",RIGHT(F29,LEN(F29) - FIND("-",F29))), _xlfn.CONCAT("W45-",RIGHT(H29,LEN(H29) - FIND("-",H29)))))</f>
        <v>W45-PRAETORIAN BLACK</v>
      </c>
      <c r="I33" s="71">
        <v>7</v>
      </c>
      <c r="J33" s="71" t="s">
        <v>887</v>
      </c>
      <c r="K33" s="71" t="s">
        <v>898</v>
      </c>
      <c r="L33" s="71" t="str">
        <f>IF(E33="","",$L$15&amp;"-"&amp;TEXT(E33,"000"))</f>
        <v>16BX-057</v>
      </c>
    </row>
    <row r="34" spans="1:12" ht="14.1" customHeight="1" thickBot="1">
      <c r="A34" s="78"/>
      <c r="B34" s="79"/>
      <c r="C34" s="60"/>
      <c r="D34" s="60"/>
      <c r="E34" s="60"/>
      <c r="I34" s="60"/>
      <c r="J34" s="60"/>
      <c r="K34" s="60"/>
      <c r="L34" s="60"/>
    </row>
    <row r="35" spans="1:12" ht="14.1" customHeight="1" thickBot="1">
      <c r="B35" s="79"/>
      <c r="C35" s="60"/>
      <c r="D35" s="68" t="str">
        <f>'CHICLETS MASTER S2'!$AQ$3</f>
        <v>LONG BEACH CC 2</v>
      </c>
      <c r="E35" s="60"/>
      <c r="I35" s="60"/>
      <c r="J35" s="60"/>
      <c r="K35" s="60"/>
      <c r="L35" s="60"/>
    </row>
    <row r="36" spans="1:12" ht="14.1" customHeight="1">
      <c r="A36" s="139" t="s">
        <v>124</v>
      </c>
      <c r="B36" s="139" t="s">
        <v>125</v>
      </c>
      <c r="C36" s="139" t="s">
        <v>126</v>
      </c>
      <c r="D36" s="139" t="s">
        <v>127</v>
      </c>
      <c r="E36" s="139" t="s">
        <v>128</v>
      </c>
      <c r="F36" s="139" t="s">
        <v>129</v>
      </c>
      <c r="G36" s="139" t="s">
        <v>130</v>
      </c>
      <c r="H36" s="139" t="s">
        <v>131</v>
      </c>
      <c r="I36" s="139" t="s">
        <v>130</v>
      </c>
      <c r="J36" s="139" t="s">
        <v>132</v>
      </c>
      <c r="K36" s="139" t="s">
        <v>133</v>
      </c>
      <c r="L36" s="139" t="s">
        <v>134</v>
      </c>
    </row>
    <row r="37" spans="1:12" ht="14.1" customHeight="1">
      <c r="A37" s="69">
        <f t="shared" ref="A37:A48" si="3">$A$2</f>
        <v>46226</v>
      </c>
      <c r="B37" s="70">
        <f>'CHICLETS MASTER S2'!X4</f>
        <v>0.29166666666666669</v>
      </c>
      <c r="C37" s="71" t="s">
        <v>218</v>
      </c>
      <c r="D37" s="119" t="str">
        <f t="shared" ref="D37:D48" si="4">$D$35</f>
        <v>LONG BEACH CC 2</v>
      </c>
      <c r="E37" s="71">
        <v>2</v>
      </c>
      <c r="F37" s="71" t="str">
        <f>D5</f>
        <v>4-CHAWP WHITE</v>
      </c>
      <c r="G37" s="73">
        <v>16</v>
      </c>
      <c r="H37" s="71" t="str">
        <f>D8</f>
        <v>45-SLAP</v>
      </c>
      <c r="I37" s="71">
        <v>6</v>
      </c>
      <c r="J37" s="71">
        <v>26</v>
      </c>
      <c r="K37" s="71">
        <v>30</v>
      </c>
      <c r="L37" s="71" t="str">
        <f t="shared" ref="L37:L48" si="5">IF(E37="","",$L$15&amp;"-"&amp;TEXT(E37,"000"))</f>
        <v>16BX-002</v>
      </c>
    </row>
    <row r="38" spans="1:12" ht="14.1" customHeight="1">
      <c r="A38" s="69">
        <f t="shared" si="3"/>
        <v>46226</v>
      </c>
      <c r="B38" s="70">
        <f>'CHICLETS MASTER S2'!X5</f>
        <v>0.3263888888888889</v>
      </c>
      <c r="C38" s="71" t="s">
        <v>218</v>
      </c>
      <c r="D38" s="119" t="str">
        <f t="shared" si="4"/>
        <v>LONG BEACH CC 2</v>
      </c>
      <c r="E38" s="71">
        <v>6</v>
      </c>
      <c r="F38" s="71" t="str">
        <f>D6</f>
        <v>21-CENTRAL VALLEY UNITED</v>
      </c>
      <c r="G38" s="73">
        <v>5</v>
      </c>
      <c r="H38" s="71" t="str">
        <f>D7</f>
        <v>28-99 ALLIANCE</v>
      </c>
      <c r="I38" s="71">
        <v>12</v>
      </c>
      <c r="J38" s="71">
        <v>26</v>
      </c>
      <c r="K38" s="71">
        <v>30</v>
      </c>
      <c r="L38" s="71" t="str">
        <f t="shared" si="5"/>
        <v>16BX-006</v>
      </c>
    </row>
    <row r="39" spans="1:12" ht="14.1" customHeight="1">
      <c r="A39" s="69">
        <f t="shared" si="3"/>
        <v>46226</v>
      </c>
      <c r="B39" s="70">
        <f>'CHICLETS MASTER S2'!X6</f>
        <v>0.36111111111111099</v>
      </c>
      <c r="C39" s="71" t="s">
        <v>218</v>
      </c>
      <c r="D39" s="119" t="str">
        <f t="shared" si="4"/>
        <v>LONG BEACH CC 2</v>
      </c>
      <c r="E39" s="71">
        <v>10</v>
      </c>
      <c r="F39" s="71" t="str">
        <f>E5</f>
        <v>5-SAN CLEMENTE RED</v>
      </c>
      <c r="G39" s="73">
        <v>18</v>
      </c>
      <c r="H39" s="71" t="str">
        <f>E8</f>
        <v>44-THIRD COAST AQUATICS</v>
      </c>
      <c r="I39" s="71">
        <v>4</v>
      </c>
      <c r="J39" s="71">
        <v>34</v>
      </c>
      <c r="K39" s="71">
        <v>38</v>
      </c>
      <c r="L39" s="71" t="str">
        <f t="shared" si="5"/>
        <v>16BX-010</v>
      </c>
    </row>
    <row r="40" spans="1:12" ht="14.1" customHeight="1">
      <c r="A40" s="69">
        <f t="shared" si="3"/>
        <v>46226</v>
      </c>
      <c r="B40" s="70">
        <f>'CHICLETS MASTER S2'!X7</f>
        <v>0.39583333333333398</v>
      </c>
      <c r="C40" s="71" t="s">
        <v>218</v>
      </c>
      <c r="D40" s="119" t="str">
        <f t="shared" si="4"/>
        <v>LONG BEACH CC 2</v>
      </c>
      <c r="E40" s="71">
        <v>14</v>
      </c>
      <c r="F40" s="71" t="str">
        <f>E6</f>
        <v>20-FOOTHILL RED</v>
      </c>
      <c r="G40" s="73">
        <v>13</v>
      </c>
      <c r="H40" s="71" t="str">
        <f>E7</f>
        <v>29-WEST VALLEY</v>
      </c>
      <c r="I40" s="71">
        <v>5</v>
      </c>
      <c r="J40" s="71">
        <v>34</v>
      </c>
      <c r="K40" s="71">
        <v>38</v>
      </c>
      <c r="L40" s="71" t="str">
        <f t="shared" si="5"/>
        <v>16BX-014</v>
      </c>
    </row>
    <row r="41" spans="1:12" ht="14.1" customHeight="1">
      <c r="A41" s="69">
        <f t="shared" si="3"/>
        <v>46226</v>
      </c>
      <c r="B41" s="70">
        <f>'CHICLETS MASTER S2'!X8</f>
        <v>0.43055555555555602</v>
      </c>
      <c r="C41" s="71" t="s">
        <v>218</v>
      </c>
      <c r="D41" s="119" t="str">
        <f t="shared" si="4"/>
        <v>LONG BEACH CC 2</v>
      </c>
      <c r="E41" s="71">
        <v>18</v>
      </c>
      <c r="F41" s="71" t="str">
        <f>F5</f>
        <v>6-NORCAL BLACK</v>
      </c>
      <c r="G41" s="73">
        <v>21</v>
      </c>
      <c r="H41" s="71" t="str">
        <f>F8</f>
        <v>43-MESA</v>
      </c>
      <c r="I41" s="71">
        <v>1</v>
      </c>
      <c r="J41" s="71">
        <v>42</v>
      </c>
      <c r="K41" s="71">
        <v>46</v>
      </c>
      <c r="L41" s="71" t="str">
        <f t="shared" si="5"/>
        <v>16BX-018</v>
      </c>
    </row>
    <row r="42" spans="1:12" ht="14.1" customHeight="1">
      <c r="A42" s="69">
        <f t="shared" si="3"/>
        <v>46226</v>
      </c>
      <c r="B42" s="70">
        <f>'CHICLETS MASTER S2'!X9</f>
        <v>0.46527777777777801</v>
      </c>
      <c r="C42" s="71" t="s">
        <v>218</v>
      </c>
      <c r="D42" s="119" t="str">
        <f t="shared" si="4"/>
        <v>LONG BEACH CC 2</v>
      </c>
      <c r="E42" s="71">
        <v>22</v>
      </c>
      <c r="F42" s="71" t="str">
        <f>F6</f>
        <v>19-VIPER PIGEON</v>
      </c>
      <c r="G42" s="73">
        <v>10</v>
      </c>
      <c r="H42" s="71" t="str">
        <f>F7</f>
        <v>30-LOWPO</v>
      </c>
      <c r="I42" s="71">
        <v>7</v>
      </c>
      <c r="J42" s="71">
        <v>42</v>
      </c>
      <c r="K42" s="71">
        <v>46</v>
      </c>
      <c r="L42" s="71" t="str">
        <f t="shared" si="5"/>
        <v>16BX-022</v>
      </c>
    </row>
    <row r="43" spans="1:12" ht="14.1" customHeight="1">
      <c r="A43" s="69">
        <f t="shared" si="3"/>
        <v>46226</v>
      </c>
      <c r="B43" s="70">
        <f>'CHICLETS MASTER S2'!X10</f>
        <v>0.5</v>
      </c>
      <c r="C43" s="71" t="s">
        <v>218</v>
      </c>
      <c r="D43" s="119" t="str">
        <f t="shared" si="4"/>
        <v>LONG BEACH CC 2</v>
      </c>
      <c r="E43" s="71">
        <v>26</v>
      </c>
      <c r="F43" s="71" t="str">
        <f>IF(G37="","W2",IF(G37&gt;I37,_xlfn.CONCAT("W2-",RIGHT(F37,LEN(F37) - FIND("-",F37))), _xlfn.CONCAT("W2-",RIGHT(H37,LEN(H37) - FIND("-",H37)))))</f>
        <v>W2-CHAWP WHITE</v>
      </c>
      <c r="G43" s="81">
        <v>17</v>
      </c>
      <c r="H43" s="71" t="str">
        <f>IF(G38="","W6",IF(G38&gt;I38,_xlfn.CONCAT("W6-",RIGHT(F38,LEN(F38) - FIND("-",F38))), _xlfn.CONCAT("W6-",RIGHT(H38,LEN(H38) - FIND("-",H38)))))</f>
        <v>W6-99 ALLIANCE</v>
      </c>
      <c r="I43" s="71">
        <v>7</v>
      </c>
      <c r="J43" s="71" t="s">
        <v>1269</v>
      </c>
      <c r="K43" s="71">
        <v>49</v>
      </c>
      <c r="L43" s="71" t="str">
        <f t="shared" si="5"/>
        <v>16BX-026</v>
      </c>
    </row>
    <row r="44" spans="1:12" ht="14.1" customHeight="1">
      <c r="A44" s="69">
        <f t="shared" si="3"/>
        <v>46226</v>
      </c>
      <c r="B44" s="70">
        <f>'CHICLETS MASTER S2'!X11</f>
        <v>0.53472222222222199</v>
      </c>
      <c r="C44" s="71" t="s">
        <v>218</v>
      </c>
      <c r="D44" s="119" t="str">
        <f t="shared" si="4"/>
        <v>LONG BEACH CC 2</v>
      </c>
      <c r="E44" s="71">
        <v>30</v>
      </c>
      <c r="F44" s="71" t="str">
        <f>IF(G37="","L2",IF(G37&lt;I37,_xlfn.CONCAT("L2-",RIGHT(F37,LEN(F37) - FIND("-",F37))), _xlfn.CONCAT("L2-",RIGHT(H37,LEN(H37) - FIND("-",H37)))))</f>
        <v>L2-SLAP</v>
      </c>
      <c r="G44" s="81">
        <v>14</v>
      </c>
      <c r="H44" s="71" t="str">
        <f>IF(G38="","L6",IF(G38&lt;I38,_xlfn.CONCAT("L6-",RIGHT(F38,LEN(F38) - FIND("-",F38))), _xlfn.CONCAT("L6-",RIGHT(H38,LEN(H38) - FIND("-",H38)))))</f>
        <v>L6-CENTRAL VALLEY UNITED</v>
      </c>
      <c r="I44" s="71">
        <v>13</v>
      </c>
      <c r="J44" s="71">
        <v>50</v>
      </c>
      <c r="K44" s="71" t="s">
        <v>1270</v>
      </c>
      <c r="L44" s="71" t="str">
        <f t="shared" si="5"/>
        <v>16BX-030</v>
      </c>
    </row>
    <row r="45" spans="1:12" ht="14.1" customHeight="1">
      <c r="A45" s="69">
        <f t="shared" si="3"/>
        <v>46226</v>
      </c>
      <c r="B45" s="70">
        <f>'CHICLETS MASTER S2'!X12</f>
        <v>0.56944444444444497</v>
      </c>
      <c r="C45" s="71" t="s">
        <v>218</v>
      </c>
      <c r="D45" s="119" t="str">
        <f t="shared" si="4"/>
        <v>LONG BEACH CC 2</v>
      </c>
      <c r="E45" s="71">
        <v>34</v>
      </c>
      <c r="F45" s="71" t="str">
        <f>IF(G39="","W10",IF(G39&gt;I39,_xlfn.CONCAT("W10-",RIGHT(F39,LEN(F39) - FIND("-",F39))), _xlfn.CONCAT("W10-",RIGHT(H39,LEN(H39) - FIND("-",H39)))))</f>
        <v>W10-SAN CLEMENTE RED</v>
      </c>
      <c r="G45" s="73">
        <v>10</v>
      </c>
      <c r="H45" s="71" t="str">
        <f>IF(G40="","W14",IF(G40&gt;I40,_xlfn.CONCAT("W14-",RIGHT(F40,LEN(F40) - FIND("-",F40))), _xlfn.CONCAT("W14-",RIGHT(H40,LEN(H40) - FIND("-",H40)))))</f>
        <v>W14-FOOTHILL RED</v>
      </c>
      <c r="I45" s="71">
        <v>2</v>
      </c>
      <c r="J45" s="71" t="s">
        <v>1271</v>
      </c>
      <c r="K45" s="71">
        <v>58</v>
      </c>
      <c r="L45" s="71" t="str">
        <f t="shared" si="5"/>
        <v>16BX-034</v>
      </c>
    </row>
    <row r="46" spans="1:12" ht="14.1" customHeight="1">
      <c r="A46" s="69">
        <f t="shared" si="3"/>
        <v>46226</v>
      </c>
      <c r="B46" s="70">
        <f>'CHICLETS MASTER S2'!X13</f>
        <v>0.60416666666666696</v>
      </c>
      <c r="C46" s="71" t="s">
        <v>218</v>
      </c>
      <c r="D46" s="119" t="str">
        <f t="shared" si="4"/>
        <v>LONG BEACH CC 2</v>
      </c>
      <c r="E46" s="71">
        <v>38</v>
      </c>
      <c r="F46" s="71" t="str">
        <f>IF(G39="","L10",IF(G39&lt;I39,_xlfn.CONCAT("L10-",RIGHT(F39,LEN(F39) - FIND("-",F39))), _xlfn.CONCAT("L10-",RIGHT(H39,LEN(H39) - FIND("-",H39)))))</f>
        <v>L10-THIRD COAST AQUATICS</v>
      </c>
      <c r="G46" s="73">
        <v>7</v>
      </c>
      <c r="H46" s="71" t="str">
        <f>IF(G40="","L14",IF(G40&lt;I40,_xlfn.CONCAT("L14-",RIGHT(F40,LEN(F40) - FIND("-",F40))), _xlfn.CONCAT("L14-",RIGHT(H40,LEN(H40) - FIND("-",H40)))))</f>
        <v>L14-WEST VALLEY</v>
      </c>
      <c r="I46" s="71">
        <v>8</v>
      </c>
      <c r="J46" s="71">
        <v>54</v>
      </c>
      <c r="K46" s="71" t="s">
        <v>1272</v>
      </c>
      <c r="L46" s="71" t="str">
        <f t="shared" si="5"/>
        <v>16BX-038</v>
      </c>
    </row>
    <row r="47" spans="1:12" ht="14.1" customHeight="1">
      <c r="A47" s="69">
        <f t="shared" si="3"/>
        <v>46226</v>
      </c>
      <c r="B47" s="70">
        <f>'CHICLETS MASTER S2'!X14</f>
        <v>0.63888888888888895</v>
      </c>
      <c r="C47" s="71" t="s">
        <v>218</v>
      </c>
      <c r="D47" s="119" t="str">
        <f t="shared" si="4"/>
        <v>LONG BEACH CC 2</v>
      </c>
      <c r="E47" s="71">
        <v>42</v>
      </c>
      <c r="F47" s="71" t="str">
        <f>IF(G41="","W18",IF(G41&gt;I41,_xlfn.CONCAT("W18-",RIGHT(F41,LEN(F41) - FIND("-",F41))), _xlfn.CONCAT("W18-",RIGHT(H41,LEN(H41) - FIND("-",H41)))))</f>
        <v>W18-NORCAL BLACK</v>
      </c>
      <c r="G47" s="73">
        <v>13</v>
      </c>
      <c r="H47" s="71" t="str">
        <f>IF(G42="","W22",IF(G42&gt;I42,_xlfn.CONCAT("W22-",RIGHT(F42,LEN(F42) - FIND("-",F42))), _xlfn.CONCAT("W22-",RIGHT(H42,LEN(H42) - FIND("-",H42)))))</f>
        <v>W22-VIPER PIGEON</v>
      </c>
      <c r="I47" s="71">
        <v>7</v>
      </c>
      <c r="J47" s="71" t="s">
        <v>1273</v>
      </c>
      <c r="K47" s="71">
        <v>54</v>
      </c>
      <c r="L47" s="71" t="str">
        <f t="shared" si="5"/>
        <v>16BX-042</v>
      </c>
    </row>
    <row r="48" spans="1:12" ht="14.1" customHeight="1">
      <c r="A48" s="69">
        <f t="shared" si="3"/>
        <v>46226</v>
      </c>
      <c r="B48" s="70">
        <f>'CHICLETS MASTER S2'!X15</f>
        <v>0.67361111111111105</v>
      </c>
      <c r="C48" s="71" t="s">
        <v>218</v>
      </c>
      <c r="D48" s="119" t="str">
        <f t="shared" si="4"/>
        <v>LONG BEACH CC 2</v>
      </c>
      <c r="E48" s="71">
        <v>46</v>
      </c>
      <c r="F48" s="71" t="str">
        <f>IF(G41="","L18",IF(G41&lt;I41,_xlfn.CONCAT("L18-",RIGHT(F41,LEN(F41) - FIND("-",F41))), _xlfn.CONCAT("L18-",RIGHT(H41,LEN(H41) - FIND("-",H41)))))</f>
        <v>L18-MESA</v>
      </c>
      <c r="G48" s="73">
        <v>2</v>
      </c>
      <c r="H48" s="71" t="str">
        <f>IF(G42="","L22",IF(G42&lt;I42,_xlfn.CONCAT("L22-",RIGHT(F42,LEN(F42) - FIND("-",F42))), _xlfn.CONCAT("L22-",RIGHT(H42,LEN(H42) - FIND("-",H42)))))</f>
        <v>L22-LOWPO</v>
      </c>
      <c r="I48" s="71">
        <v>16</v>
      </c>
      <c r="J48" s="71">
        <v>58</v>
      </c>
      <c r="K48" s="71" t="s">
        <v>1274</v>
      </c>
      <c r="L48" s="71" t="str">
        <f t="shared" si="5"/>
        <v>16BX-046</v>
      </c>
    </row>
    <row r="49" spans="1:12" ht="14.1" customHeight="1">
      <c r="A49" s="75"/>
      <c r="B49" s="60" t="s">
        <v>139</v>
      </c>
      <c r="C49" s="60"/>
      <c r="D49" s="60"/>
      <c r="E49" s="60"/>
      <c r="F49" s="60"/>
      <c r="G49" s="64"/>
      <c r="H49" s="60"/>
      <c r="I49" s="60"/>
      <c r="J49" s="60"/>
      <c r="K49" s="60"/>
      <c r="L49" s="60"/>
    </row>
    <row r="50" spans="1:12" ht="14.1" customHeight="1">
      <c r="A50" s="69">
        <f>$A$2</f>
        <v>46226</v>
      </c>
      <c r="B50" s="70">
        <f>'CHICLETS MASTER S2'!X17</f>
        <v>0.74305555555555602</v>
      </c>
      <c r="C50" s="71" t="s">
        <v>140</v>
      </c>
      <c r="D50" s="119" t="str">
        <f>$D$35</f>
        <v>LONG BEACH CC 2</v>
      </c>
      <c r="E50" s="71">
        <v>50</v>
      </c>
      <c r="F50" s="111" t="str">
        <f>IF(G24="","L25",IF(G24&lt;I24,_xlfn.CONCAT("L25-",RIGHT(F24,LEN(F24) - FIND("-",F24))), _xlfn.CONCAT("L25-",RIGHT(H24,LEN(H24) - FIND("-",H24)))))</f>
        <v>L25-NEWPORT BEACH WHITE</v>
      </c>
      <c r="G50" s="81">
        <v>6</v>
      </c>
      <c r="H50" s="71" t="str">
        <f>IF(G44="","W30",IF(G44&gt;I44,_xlfn.CONCAT("W30-",RIGHT(F44,LEN(F44) - FIND("-",F44))), _xlfn.CONCAT("W30-",RIGHT(H44,LEN(H44) - FIND("-",H44)))))</f>
        <v>W30-SLAP</v>
      </c>
      <c r="I50" s="71">
        <v>7</v>
      </c>
      <c r="J50" s="71" t="s">
        <v>897</v>
      </c>
      <c r="K50" s="71" t="s">
        <v>888</v>
      </c>
      <c r="L50" s="71" t="str">
        <f>IF(E50="","",$L$15&amp;"-"&amp;TEXT(E50,"000"))</f>
        <v>16BX-050</v>
      </c>
    </row>
    <row r="51" spans="1:12" ht="14.1" customHeight="1">
      <c r="A51" s="69">
        <f>$A$2</f>
        <v>46226</v>
      </c>
      <c r="B51" s="70">
        <f>'CHICLETS MASTER S2'!X18</f>
        <v>0.77777777777777801</v>
      </c>
      <c r="C51" s="71" t="s">
        <v>140</v>
      </c>
      <c r="D51" s="119" t="str">
        <f>$D$35</f>
        <v>LONG BEACH CC 2</v>
      </c>
      <c r="E51" s="71">
        <v>54</v>
      </c>
      <c r="F51" s="71" t="str">
        <f>IF(G47="","L42",IF(G47&lt;I47,_xlfn.CONCAT("L42-",RIGHT(F47,LEN(F47) - FIND("-",F47))), _xlfn.CONCAT("L42-",RIGHT(H47,LEN(H47) - FIND("-",H47)))))</f>
        <v>L42-VIPER PIGEON</v>
      </c>
      <c r="G51" s="81">
        <v>5</v>
      </c>
      <c r="H51" s="71" t="str">
        <f>IF(G46="","W38",IF(G46&gt;I46,_xlfn.CONCAT("W38-",RIGHT(F46,LEN(F46) - FIND("-",F46))), _xlfn.CONCAT("W38-",RIGHT(H46,LEN(H46) - FIND("-",H46)))))</f>
        <v>W38-WEST VALLEY</v>
      </c>
      <c r="I51" s="71">
        <v>4</v>
      </c>
      <c r="J51" s="71" t="s">
        <v>1275</v>
      </c>
      <c r="K51" s="71" t="s">
        <v>1276</v>
      </c>
      <c r="L51" s="71" t="str">
        <f>IF(E51="","",$L$15&amp;"-"&amp;TEXT(E51,"000"))</f>
        <v>16BX-054</v>
      </c>
    </row>
    <row r="52" spans="1:12" ht="14.1" customHeight="1">
      <c r="A52" s="69">
        <f>$A$2</f>
        <v>46226</v>
      </c>
      <c r="B52" s="70">
        <f>'CHICLETS MASTER S2'!X19</f>
        <v>0.8125</v>
      </c>
      <c r="C52" s="71" t="s">
        <v>140</v>
      </c>
      <c r="D52" s="119" t="str">
        <f>$D$35</f>
        <v>LONG BEACH CC 2</v>
      </c>
      <c r="E52" s="71">
        <v>58</v>
      </c>
      <c r="F52" s="71" t="str">
        <f>IF(G45="","L34",IF(G45&lt;I45,_xlfn.CONCAT("L34-",RIGHT(F45,LEN(F45) - FIND("-",F45))), _xlfn.CONCAT("L34-",RIGHT(H45,LEN(H45) - FIND("-",H45)))))</f>
        <v>L34-FOOTHILL RED</v>
      </c>
      <c r="G52" s="81">
        <v>3</v>
      </c>
      <c r="H52" s="71" t="str">
        <f>IF(G48="","W46",IF(G48&gt;I48,_xlfn.CONCAT("W46-",RIGHT(F48,LEN(F48) - FIND("-",F48))), _xlfn.CONCAT("W46-",RIGHT(H48,LEN(H48) - FIND("-",H48)))))</f>
        <v>W46-LOWPO</v>
      </c>
      <c r="I52" s="71">
        <v>10</v>
      </c>
      <c r="J52" s="71" t="s">
        <v>1277</v>
      </c>
      <c r="K52" s="71" t="s">
        <v>1278</v>
      </c>
      <c r="L52" s="71" t="str">
        <f>IF(E52="","",$L$15&amp;"-"&amp;TEXT(E52,"000"))</f>
        <v>16BX-058</v>
      </c>
    </row>
    <row r="53" spans="1:12" ht="14.1" customHeight="1" thickBot="1"/>
    <row r="54" spans="1:12" ht="14.1" customHeight="1" thickBot="1">
      <c r="B54" s="60"/>
      <c r="C54" s="60"/>
      <c r="D54" s="68" t="str">
        <f>'CHICLETS MASTER S2'!$AN$3</f>
        <v>SAN JUAN HILLS HS</v>
      </c>
      <c r="I54" s="60"/>
      <c r="J54" s="60"/>
      <c r="K54" s="60"/>
      <c r="L54" s="60"/>
    </row>
    <row r="55" spans="1:12" ht="14.1" customHeight="1">
      <c r="A55" s="139" t="s">
        <v>124</v>
      </c>
      <c r="B55" s="139" t="s">
        <v>125</v>
      </c>
      <c r="C55" s="139" t="s">
        <v>126</v>
      </c>
      <c r="D55" s="139" t="s">
        <v>127</v>
      </c>
      <c r="E55" s="139" t="s">
        <v>128</v>
      </c>
      <c r="F55" s="139" t="s">
        <v>129</v>
      </c>
      <c r="G55" s="139" t="s">
        <v>130</v>
      </c>
      <c r="H55" s="139" t="s">
        <v>131</v>
      </c>
      <c r="I55" s="139" t="s">
        <v>130</v>
      </c>
      <c r="J55" s="139" t="s">
        <v>132</v>
      </c>
      <c r="K55" s="139" t="s">
        <v>133</v>
      </c>
      <c r="L55" s="139" t="s">
        <v>134</v>
      </c>
    </row>
    <row r="56" spans="1:12" ht="14.1" customHeight="1">
      <c r="A56" s="69">
        <f t="shared" ref="A56:A67" si="6">$A$2</f>
        <v>46226</v>
      </c>
      <c r="B56" s="70">
        <f>'CHICLETS MASTER S2'!X4</f>
        <v>0.29166666666666669</v>
      </c>
      <c r="C56" s="71" t="s">
        <v>218</v>
      </c>
      <c r="D56" s="119" t="str">
        <f t="shared" ref="D56:D67" si="7">$D$54</f>
        <v>SAN JUAN HILLS HS</v>
      </c>
      <c r="E56" s="71">
        <v>3</v>
      </c>
      <c r="F56" s="71" t="str">
        <f>C11</f>
        <v>9-CORONA DEL MAR</v>
      </c>
      <c r="G56" s="73">
        <v>20</v>
      </c>
      <c r="H56" s="71" t="str">
        <f>C14</f>
        <v>40-RISE</v>
      </c>
      <c r="I56" s="71">
        <v>5</v>
      </c>
      <c r="J56" s="71">
        <v>27</v>
      </c>
      <c r="K56" s="71">
        <v>31</v>
      </c>
      <c r="L56" s="71" t="str">
        <f t="shared" ref="L56:L67" si="8">IF(E56="","",$L$15&amp;"-"&amp;TEXT(E56,"000"))</f>
        <v>16BX-003</v>
      </c>
    </row>
    <row r="57" spans="1:12" ht="14.1" customHeight="1">
      <c r="A57" s="69">
        <f t="shared" si="6"/>
        <v>46226</v>
      </c>
      <c r="B57" s="70">
        <f>'CHICLETS MASTER S2'!X5</f>
        <v>0.3263888888888889</v>
      </c>
      <c r="C57" s="71" t="s">
        <v>218</v>
      </c>
      <c r="D57" s="119" t="str">
        <f t="shared" si="7"/>
        <v>SAN JUAN HILLS HS</v>
      </c>
      <c r="E57" s="71">
        <v>7</v>
      </c>
      <c r="F57" s="71" t="str">
        <f>C12</f>
        <v>16-LA JOLLA UNITED C</v>
      </c>
      <c r="G57" s="73">
        <v>7</v>
      </c>
      <c r="H57" s="71" t="str">
        <f>C13</f>
        <v>33-TEXAS THUNDER BLUE</v>
      </c>
      <c r="I57" s="71">
        <v>3</v>
      </c>
      <c r="J57" s="71">
        <v>27</v>
      </c>
      <c r="K57" s="71">
        <v>31</v>
      </c>
      <c r="L57" s="71" t="str">
        <f t="shared" si="8"/>
        <v>16BX-007</v>
      </c>
    </row>
    <row r="58" spans="1:12" ht="14.1" customHeight="1">
      <c r="A58" s="69">
        <f t="shared" si="6"/>
        <v>46226</v>
      </c>
      <c r="B58" s="70">
        <f>'CHICLETS MASTER S2'!X6</f>
        <v>0.36111111111111099</v>
      </c>
      <c r="C58" s="71" t="s">
        <v>218</v>
      </c>
      <c r="D58" s="119" t="str">
        <f t="shared" si="7"/>
        <v>SAN JUAN HILLS HS</v>
      </c>
      <c r="E58" s="71">
        <v>11</v>
      </c>
      <c r="F58" s="71" t="str">
        <f>A11</f>
        <v>7-ECA A</v>
      </c>
      <c r="G58" s="73">
        <v>13</v>
      </c>
      <c r="H58" s="71" t="str">
        <f>A14</f>
        <v>42-MAVERICKS</v>
      </c>
      <c r="I58" s="71">
        <v>4</v>
      </c>
      <c r="J58" s="71">
        <v>35</v>
      </c>
      <c r="K58" s="71">
        <v>39</v>
      </c>
      <c r="L58" s="71" t="str">
        <f t="shared" si="8"/>
        <v>16BX-011</v>
      </c>
    </row>
    <row r="59" spans="1:12" ht="14.1" customHeight="1">
      <c r="A59" s="69">
        <f t="shared" si="6"/>
        <v>46226</v>
      </c>
      <c r="B59" s="70">
        <f>'CHICLETS MASTER S2'!X7</f>
        <v>0.39583333333333398</v>
      </c>
      <c r="C59" s="71" t="s">
        <v>218</v>
      </c>
      <c r="D59" s="119" t="str">
        <f t="shared" si="7"/>
        <v>SAN JUAN HILLS HS</v>
      </c>
      <c r="E59" s="71">
        <v>15</v>
      </c>
      <c r="F59" s="71" t="str">
        <f>A12</f>
        <v>18-STANFORD BLACK</v>
      </c>
      <c r="G59" s="73">
        <v>10</v>
      </c>
      <c r="H59" s="71" t="str">
        <f>A13</f>
        <v>31-SHARKS</v>
      </c>
      <c r="I59" s="71">
        <v>7</v>
      </c>
      <c r="J59" s="71">
        <v>35</v>
      </c>
      <c r="K59" s="71">
        <v>39</v>
      </c>
      <c r="L59" s="71" t="str">
        <f t="shared" si="8"/>
        <v>16BX-015</v>
      </c>
    </row>
    <row r="60" spans="1:12" ht="14.1" customHeight="1">
      <c r="A60" s="69">
        <f t="shared" si="6"/>
        <v>46226</v>
      </c>
      <c r="B60" s="70">
        <f>'CHICLETS MASTER S2'!X8</f>
        <v>0.43055555555555602</v>
      </c>
      <c r="C60" s="71" t="s">
        <v>218</v>
      </c>
      <c r="D60" s="119" t="str">
        <f t="shared" si="7"/>
        <v>SAN JUAN HILLS HS</v>
      </c>
      <c r="E60" s="71">
        <v>19</v>
      </c>
      <c r="F60" s="71" t="str">
        <f>B11</f>
        <v>8-SHAQ BLUE</v>
      </c>
      <c r="G60" s="73">
        <v>12</v>
      </c>
      <c r="H60" s="71" t="str">
        <f>B14</f>
        <v>41-CIU BLUE</v>
      </c>
      <c r="I60" s="71">
        <v>6</v>
      </c>
      <c r="J60" s="71">
        <v>43</v>
      </c>
      <c r="K60" s="71">
        <v>47</v>
      </c>
      <c r="L60" s="71" t="str">
        <f t="shared" si="8"/>
        <v>16BX-019</v>
      </c>
    </row>
    <row r="61" spans="1:12" ht="14.1" customHeight="1">
      <c r="A61" s="69">
        <f t="shared" si="6"/>
        <v>46226</v>
      </c>
      <c r="B61" s="70">
        <f>'CHICLETS MASTER S2'!X9</f>
        <v>0.46527777777777801</v>
      </c>
      <c r="C61" s="71" t="s">
        <v>218</v>
      </c>
      <c r="D61" s="119" t="str">
        <f t="shared" si="7"/>
        <v>SAN JUAN HILLS HS</v>
      </c>
      <c r="E61" s="71">
        <v>23</v>
      </c>
      <c r="F61" s="71" t="str">
        <f>B12</f>
        <v>17-COMMERCE</v>
      </c>
      <c r="G61" s="73">
        <v>11</v>
      </c>
      <c r="H61" s="71" t="str">
        <f>B13</f>
        <v>32-GREAT LAKES AQUATICS</v>
      </c>
      <c r="I61" s="71">
        <v>6</v>
      </c>
      <c r="J61" s="71">
        <v>43</v>
      </c>
      <c r="K61" s="71">
        <v>47</v>
      </c>
      <c r="L61" s="71" t="str">
        <f t="shared" si="8"/>
        <v>16BX-023</v>
      </c>
    </row>
    <row r="62" spans="1:12" ht="14.1" customHeight="1">
      <c r="A62" s="69">
        <f t="shared" si="6"/>
        <v>46226</v>
      </c>
      <c r="B62" s="70">
        <f>'CHICLETS MASTER S2'!X10</f>
        <v>0.5</v>
      </c>
      <c r="C62" s="71" t="s">
        <v>218</v>
      </c>
      <c r="D62" s="119" t="str">
        <f t="shared" si="7"/>
        <v>SAN JUAN HILLS HS</v>
      </c>
      <c r="E62" s="71">
        <v>27</v>
      </c>
      <c r="F62" s="71" t="str">
        <f>IF(G56="","W3",IF(G56&gt;I56,_xlfn.CONCAT("W3-",RIGHT(F56,LEN(F56) - FIND("-",F56))), _xlfn.CONCAT("W3-",RIGHT(H56,LEN(H56) - FIND("-",H56)))))</f>
        <v>W3-CORONA DEL MAR</v>
      </c>
      <c r="G62" s="73">
        <v>14</v>
      </c>
      <c r="H62" s="71" t="str">
        <f>IF(G57="","W7",IF(G57&gt;I57,_xlfn.CONCAT("W7-",RIGHT(F57,LEN(F57) - FIND("-",F57))), _xlfn.CONCAT("W7-",RIGHT(H57,LEN(H57) - FIND("-",H57)))))</f>
        <v>W7-LA JOLLA UNITED C</v>
      </c>
      <c r="I62" s="71">
        <v>6</v>
      </c>
      <c r="J62" s="71" t="s">
        <v>920</v>
      </c>
      <c r="K62" s="71">
        <v>52</v>
      </c>
      <c r="L62" s="71" t="str">
        <f t="shared" si="8"/>
        <v>16BX-027</v>
      </c>
    </row>
    <row r="63" spans="1:12" ht="14.1" customHeight="1">
      <c r="A63" s="69">
        <f t="shared" si="6"/>
        <v>46226</v>
      </c>
      <c r="B63" s="70">
        <f>'CHICLETS MASTER S2'!X11</f>
        <v>0.53472222222222199</v>
      </c>
      <c r="C63" s="71" t="s">
        <v>218</v>
      </c>
      <c r="D63" s="119" t="str">
        <f t="shared" si="7"/>
        <v>SAN JUAN HILLS HS</v>
      </c>
      <c r="E63" s="71">
        <v>31</v>
      </c>
      <c r="F63" s="71" t="str">
        <f>IF(G56="","L3",IF(G56&lt;I56,_xlfn.CONCAT("L3-",RIGHT(F56,LEN(F56) - FIND("-",F56))), _xlfn.CONCAT("L3-",RIGHT(H56,LEN(H56) - FIND("-",H56)))))</f>
        <v>L3-RISE</v>
      </c>
      <c r="G63" s="73">
        <v>6</v>
      </c>
      <c r="H63" s="71" t="str">
        <f>IF(G57="","L7",IF(G57&lt;I57,_xlfn.CONCAT("L7-",RIGHT(F57,LEN(F57) - FIND("-",F57))), _xlfn.CONCAT("L7-",RIGHT(H57,LEN(H57) - FIND("-",H57)))))</f>
        <v>L7-TEXAS THUNDER BLUE</v>
      </c>
      <c r="I63" s="71">
        <v>12</v>
      </c>
      <c r="J63" s="71">
        <v>51</v>
      </c>
      <c r="K63" s="71" t="s">
        <v>904</v>
      </c>
      <c r="L63" s="71" t="str">
        <f t="shared" si="8"/>
        <v>16BX-031</v>
      </c>
    </row>
    <row r="64" spans="1:12" ht="14.1" customHeight="1">
      <c r="A64" s="69">
        <f t="shared" si="6"/>
        <v>46226</v>
      </c>
      <c r="B64" s="70">
        <f>'CHICLETS MASTER S2'!X12</f>
        <v>0.56944444444444497</v>
      </c>
      <c r="C64" s="71" t="s">
        <v>218</v>
      </c>
      <c r="D64" s="119" t="str">
        <f t="shared" si="7"/>
        <v>SAN JUAN HILLS HS</v>
      </c>
      <c r="E64" s="71">
        <v>35</v>
      </c>
      <c r="F64" s="71" t="str">
        <f>IF(G58="","W11",IF(G58&gt;I58,_xlfn.CONCAT("W11-",RIGHT(F58,LEN(F58) - FIND("-",F58))), _xlfn.CONCAT("W11-",RIGHT(H58,LEN(H58) - FIND("-",H58)))))</f>
        <v>W11-ECA A</v>
      </c>
      <c r="G64" s="73">
        <v>12</v>
      </c>
      <c r="H64" s="71" t="str">
        <f>IF(G59="","W15",IF(G59&gt;I59,_xlfn.CONCAT("W15-",RIGHT(F59,LEN(F59) - FIND("-",F59))), _xlfn.CONCAT("W15-",RIGHT(H59,LEN(H59) - FIND("-",H59)))))</f>
        <v>W15-STANFORD BLACK</v>
      </c>
      <c r="I64" s="71">
        <v>9</v>
      </c>
      <c r="J64" s="71" t="s">
        <v>1259</v>
      </c>
      <c r="K64" s="71">
        <v>59</v>
      </c>
      <c r="L64" s="71" t="str">
        <f t="shared" si="8"/>
        <v>16BX-035</v>
      </c>
    </row>
    <row r="65" spans="1:12" ht="14.1" customHeight="1">
      <c r="A65" s="69">
        <f t="shared" si="6"/>
        <v>46226</v>
      </c>
      <c r="B65" s="70">
        <f>'CHICLETS MASTER S2'!X13</f>
        <v>0.60416666666666696</v>
      </c>
      <c r="C65" s="71" t="s">
        <v>218</v>
      </c>
      <c r="D65" s="119" t="str">
        <f t="shared" si="7"/>
        <v>SAN JUAN HILLS HS</v>
      </c>
      <c r="E65" s="71">
        <v>39</v>
      </c>
      <c r="F65" s="71" t="str">
        <f>IF(G58="","L11",IF(G58&lt;I58,_xlfn.CONCAT("L11-",RIGHT(F58,LEN(F58) - FIND("-",F58))), _xlfn.CONCAT("L11-",RIGHT(H58,LEN(H58) - FIND("-",H58)))))</f>
        <v>L11-MAVERICKS</v>
      </c>
      <c r="G65" s="73">
        <v>5</v>
      </c>
      <c r="H65" s="71" t="str">
        <f>IF(G59="","L15",IF(G59&lt;I59,_xlfn.CONCAT("L15-",RIGHT(F59,LEN(F59) - FIND("-",F59))), _xlfn.CONCAT("L15-",RIGHT(H59,LEN(H59) - FIND("-",H59)))))</f>
        <v>L15-SHARKS</v>
      </c>
      <c r="I65" s="71">
        <v>12</v>
      </c>
      <c r="J65" s="71">
        <v>55</v>
      </c>
      <c r="K65" s="71" t="s">
        <v>1260</v>
      </c>
      <c r="L65" s="71" t="str">
        <f t="shared" si="8"/>
        <v>16BX-039</v>
      </c>
    </row>
    <row r="66" spans="1:12" ht="14.1" customHeight="1">
      <c r="A66" s="69">
        <f t="shared" si="6"/>
        <v>46226</v>
      </c>
      <c r="B66" s="70">
        <f>'CHICLETS MASTER S2'!X14</f>
        <v>0.63888888888888895</v>
      </c>
      <c r="C66" s="71" t="s">
        <v>218</v>
      </c>
      <c r="D66" s="119" t="str">
        <f t="shared" si="7"/>
        <v>SAN JUAN HILLS HS</v>
      </c>
      <c r="E66" s="71">
        <v>43</v>
      </c>
      <c r="F66" s="71" t="str">
        <f>IF(G60="","W19",IF(G60&gt;I60,_xlfn.CONCAT("W19-",RIGHT(F60,LEN(F60) - FIND("-",F60))), _xlfn.CONCAT("W19-",RIGHT(H60,LEN(H60) - FIND("-",H60)))))</f>
        <v>W19-SHAQ BLUE</v>
      </c>
      <c r="G66" s="73">
        <v>10</v>
      </c>
      <c r="H66" s="71" t="str">
        <f>IF(G61="","W23",IF(G61&gt;I61,_xlfn.CONCAT("W23-",RIGHT(F61,LEN(F61) - FIND("-",F61))), _xlfn.CONCAT("W23-",RIGHT(H61,LEN(H61) - FIND("-",H61)))))</f>
        <v>W23-COMMERCE</v>
      </c>
      <c r="I66" s="71">
        <v>12</v>
      </c>
      <c r="J66" s="71" t="s">
        <v>1261</v>
      </c>
      <c r="K66" s="71">
        <v>55</v>
      </c>
      <c r="L66" s="71" t="str">
        <f t="shared" si="8"/>
        <v>16BX-043</v>
      </c>
    </row>
    <row r="67" spans="1:12" ht="14.1" customHeight="1">
      <c r="A67" s="69">
        <f t="shared" si="6"/>
        <v>46226</v>
      </c>
      <c r="B67" s="70">
        <f>'CHICLETS MASTER S2'!X15</f>
        <v>0.67361111111111105</v>
      </c>
      <c r="C67" s="71" t="s">
        <v>218</v>
      </c>
      <c r="D67" s="71" t="str">
        <f t="shared" si="7"/>
        <v>SAN JUAN HILLS HS</v>
      </c>
      <c r="E67" s="71">
        <v>47</v>
      </c>
      <c r="F67" s="71" t="str">
        <f>IF(G60="","L19",IF(G60&lt;I60,_xlfn.CONCAT("L19-",RIGHT(F60,LEN(F60) - FIND("-",F60))), _xlfn.CONCAT("L19-",RIGHT(H60,LEN(H60) - FIND("-",H60)))))</f>
        <v>L19-CIU BLUE</v>
      </c>
      <c r="G67" s="73">
        <v>15</v>
      </c>
      <c r="H67" s="71" t="str">
        <f>IF(G61="","L23",IF(G61&lt;I61,_xlfn.CONCAT("L23-",RIGHT(F61,LEN(F61) - FIND("-",F61))), _xlfn.CONCAT("L23-",RIGHT(H61,LEN(H61) - FIND("-",H61)))))</f>
        <v>L23-GREAT LAKES AQUATICS</v>
      </c>
      <c r="I67" s="71">
        <v>7</v>
      </c>
      <c r="J67" s="71">
        <v>59</v>
      </c>
      <c r="K67" s="71" t="s">
        <v>1262</v>
      </c>
      <c r="L67" s="71" t="str">
        <f t="shared" si="8"/>
        <v>16BX-047</v>
      </c>
    </row>
    <row r="68" spans="1:12" ht="14.1" customHeight="1">
      <c r="A68" s="75"/>
      <c r="B68" s="60" t="s">
        <v>139</v>
      </c>
      <c r="C68" s="60"/>
      <c r="D68" s="60"/>
      <c r="E68" s="60"/>
      <c r="F68" s="60"/>
      <c r="G68" s="64"/>
      <c r="H68" s="60"/>
      <c r="I68" s="60"/>
      <c r="J68" s="60"/>
      <c r="K68" s="60"/>
      <c r="L68" s="60"/>
    </row>
    <row r="69" spans="1:12" ht="14.1" customHeight="1">
      <c r="A69" s="69">
        <f>$A$2</f>
        <v>46226</v>
      </c>
      <c r="B69" s="70">
        <f>'CHICLETS MASTER S2'!X17</f>
        <v>0.74305555555555602</v>
      </c>
      <c r="C69" s="71" t="s">
        <v>140</v>
      </c>
      <c r="D69" s="71" t="str">
        <f>$D$54</f>
        <v>SAN JUAN HILLS HS</v>
      </c>
      <c r="E69" s="71">
        <v>51</v>
      </c>
      <c r="F69" s="111" t="str">
        <f>IF(G81="","L28",IF(G81&lt;I81,_xlfn.CONCAT("L28-",RIGHT(F81,LEN(F81) - FIND("-",F81))), _xlfn.CONCAT("L28-",RIGHT(H81,LEN(H81) - FIND("-",H81)))))</f>
        <v>L28-TROJAN GOLD</v>
      </c>
      <c r="G69" s="73">
        <v>10</v>
      </c>
      <c r="H69" s="112" t="str">
        <f>IF(G63="","W31",IF(G63&gt;I63,_xlfn.CONCAT("W31-",RIGHT(F63,LEN(F63) - FIND("-",F63))), _xlfn.CONCAT("W31-",RIGHT(H63,LEN(H63) - FIND("-",H63)))))</f>
        <v>W31-TEXAS THUNDER BLUE</v>
      </c>
      <c r="I69" s="71">
        <v>12</v>
      </c>
      <c r="J69" s="71" t="s">
        <v>1263</v>
      </c>
      <c r="K69" s="71" t="s">
        <v>1264</v>
      </c>
      <c r="L69" s="71" t="str">
        <f>IF(E69="","",$L$15&amp;"-"&amp;TEXT(E69,"000"))</f>
        <v>16BX-051</v>
      </c>
    </row>
    <row r="70" spans="1:12" ht="14.1" customHeight="1">
      <c r="A70" s="69">
        <f>$A$2</f>
        <v>46226</v>
      </c>
      <c r="B70" s="70">
        <f>'CHICLETS MASTER S2'!X18</f>
        <v>0.77777777777777801</v>
      </c>
      <c r="C70" s="71" t="s">
        <v>140</v>
      </c>
      <c r="D70" s="119" t="str">
        <f>$D$54</f>
        <v>SAN JUAN HILLS HS</v>
      </c>
      <c r="E70" s="71">
        <v>55</v>
      </c>
      <c r="F70" s="71" t="str">
        <f>IF(G66="","L43",IF(G66&lt;I66,_xlfn.CONCAT("L43-",RIGHT(F66,LEN(F66) - FIND("-",F66))), _xlfn.CONCAT("L43-",RIGHT(H66,LEN(H66) - FIND("-",H66)))))</f>
        <v>L43-SHAQ BLUE</v>
      </c>
      <c r="G70" s="74">
        <v>6.2</v>
      </c>
      <c r="H70" s="71" t="str">
        <f>IF(G65="","W39",IF(G65&gt;I65,_xlfn.CONCAT("W39-",RIGHT(F65,LEN(F65) - FIND("-",F65))), _xlfn.CONCAT("W39-",RIGHT(H65,LEN(H65) - FIND("-",H65)))))</f>
        <v>W39-SHARKS</v>
      </c>
      <c r="I70" s="71">
        <v>6.3</v>
      </c>
      <c r="J70" s="71" t="s">
        <v>1265</v>
      </c>
      <c r="K70" s="71" t="s">
        <v>1266</v>
      </c>
      <c r="L70" s="71" t="str">
        <f>IF(E70="","",$L$15&amp;"-"&amp;TEXT(E70,"000"))</f>
        <v>16BX-055</v>
      </c>
    </row>
    <row r="71" spans="1:12" ht="14.1" customHeight="1">
      <c r="A71" s="69">
        <f>$A$2</f>
        <v>46226</v>
      </c>
      <c r="B71" s="70">
        <f>'CHICLETS MASTER S2'!X19</f>
        <v>0.8125</v>
      </c>
      <c r="C71" s="71" t="s">
        <v>140</v>
      </c>
      <c r="D71" s="119" t="str">
        <f>$D$54</f>
        <v>SAN JUAN HILLS HS</v>
      </c>
      <c r="E71" s="71">
        <v>59</v>
      </c>
      <c r="F71" s="71" t="str">
        <f>IF(G64="","L35",IF(G64&lt;I64,_xlfn.CONCAT("L35-",RIGHT(F64,LEN(F64) - FIND("-",F64))), _xlfn.CONCAT("L35-",RIGHT(H64,LEN(H64) - FIND("-",H64)))))</f>
        <v>L35-STANFORD BLACK</v>
      </c>
      <c r="G71" s="73">
        <v>10</v>
      </c>
      <c r="H71" s="71" t="str">
        <f>IF(G67="","W47",IF(G67&gt;I67,_xlfn.CONCAT("W47-",RIGHT(F67,LEN(F67) - FIND("-",F67))), _xlfn.CONCAT("W47-",RIGHT(H67,LEN(H67) - FIND("-",H67)))))</f>
        <v>W47-CIU BLUE</v>
      </c>
      <c r="I71" s="71">
        <v>8</v>
      </c>
      <c r="J71" s="71" t="s">
        <v>1267</v>
      </c>
      <c r="K71" s="71" t="s">
        <v>1268</v>
      </c>
      <c r="L71" s="71" t="str">
        <f>IF(E71="","",$L$15&amp;"-"&amp;TEXT(E71,"000"))</f>
        <v>16BX-059</v>
      </c>
    </row>
    <row r="72" spans="1:12" ht="14.1" customHeight="1" thickBot="1">
      <c r="A72" s="78"/>
      <c r="B72" s="79"/>
      <c r="C72" s="60"/>
      <c r="D72" s="60"/>
      <c r="E72" s="60"/>
      <c r="I72" s="60"/>
      <c r="J72" s="60"/>
      <c r="K72" s="60"/>
      <c r="L72" s="60"/>
    </row>
    <row r="73" spans="1:12" ht="14.1" customHeight="1" thickBot="1">
      <c r="A73" s="60"/>
      <c r="B73" s="60"/>
      <c r="C73" s="60"/>
      <c r="D73" s="68" t="str">
        <f>'CHICLETS MASTER S2'!$AO$3</f>
        <v>PORTOLA HS 1</v>
      </c>
      <c r="I73" s="60"/>
      <c r="J73" s="60"/>
      <c r="K73" s="60"/>
      <c r="L73" s="60"/>
    </row>
    <row r="74" spans="1:12" ht="14.1" customHeight="1">
      <c r="A74" s="139" t="s">
        <v>124</v>
      </c>
      <c r="B74" s="139" t="s">
        <v>125</v>
      </c>
      <c r="C74" s="139" t="s">
        <v>126</v>
      </c>
      <c r="D74" s="139" t="s">
        <v>127</v>
      </c>
      <c r="E74" s="139" t="s">
        <v>128</v>
      </c>
      <c r="F74" s="139" t="s">
        <v>129</v>
      </c>
      <c r="G74" s="139" t="s">
        <v>130</v>
      </c>
      <c r="H74" s="139" t="s">
        <v>131</v>
      </c>
      <c r="I74" s="139" t="s">
        <v>130</v>
      </c>
      <c r="J74" s="139" t="s">
        <v>132</v>
      </c>
      <c r="K74" s="139" t="s">
        <v>133</v>
      </c>
      <c r="L74" s="139" t="s">
        <v>134</v>
      </c>
    </row>
    <row r="75" spans="1:12" ht="14.1" customHeight="1">
      <c r="A75" s="69">
        <f t="shared" ref="A75:A81" si="9">$A$2</f>
        <v>46226</v>
      </c>
      <c r="B75" s="70">
        <f>'CHICLETS MASTER S2'!X4</f>
        <v>0.29166666666666669</v>
      </c>
      <c r="C75" s="71" t="s">
        <v>218</v>
      </c>
      <c r="D75" s="72" t="str">
        <f t="shared" ref="D75:D90" si="10">$D$73</f>
        <v>PORTOLA HS 1</v>
      </c>
      <c r="E75" s="71">
        <v>4</v>
      </c>
      <c r="F75" s="71" t="str">
        <f>D11</f>
        <v>10-VANGUARD SILVER</v>
      </c>
      <c r="G75" s="73">
        <v>7</v>
      </c>
      <c r="H75" s="71" t="str">
        <f>D14</f>
        <v>39-WCAC UNITED A</v>
      </c>
      <c r="I75" s="71">
        <v>5</v>
      </c>
      <c r="J75" s="71">
        <v>28</v>
      </c>
      <c r="K75" s="71">
        <v>32</v>
      </c>
      <c r="L75" s="71" t="str">
        <f t="shared" ref="L75:L81" si="11">IF(E75="","",$L$15&amp;"-"&amp;TEXT(E75,"000"))</f>
        <v>16BX-004</v>
      </c>
    </row>
    <row r="76" spans="1:12" ht="14.1" customHeight="1">
      <c r="A76" s="69">
        <f t="shared" si="9"/>
        <v>46226</v>
      </c>
      <c r="B76" s="70">
        <f>'CHICLETS MASTER S2'!X5</f>
        <v>0.3263888888888889</v>
      </c>
      <c r="C76" s="71" t="s">
        <v>218</v>
      </c>
      <c r="D76" s="72" t="str">
        <f t="shared" si="10"/>
        <v>PORTOLA HS 1</v>
      </c>
      <c r="E76" s="71">
        <v>8</v>
      </c>
      <c r="F76" s="71" t="str">
        <f>D12</f>
        <v>15-TROJAN GOLD</v>
      </c>
      <c r="G76" s="73">
        <v>10</v>
      </c>
      <c r="H76" s="71" t="str">
        <f>D13</f>
        <v>34-SAN JOSE EXPRESS BLUE</v>
      </c>
      <c r="I76" s="71">
        <v>5</v>
      </c>
      <c r="J76" s="71">
        <v>28</v>
      </c>
      <c r="K76" s="71">
        <v>32</v>
      </c>
      <c r="L76" s="71" t="str">
        <f t="shared" si="11"/>
        <v>16BX-008</v>
      </c>
    </row>
    <row r="77" spans="1:12" ht="14.1" customHeight="1">
      <c r="A77" s="69">
        <f t="shared" si="9"/>
        <v>46226</v>
      </c>
      <c r="B77" s="70">
        <f>'CHICLETS MASTER S2'!X6</f>
        <v>0.36111111111111099</v>
      </c>
      <c r="C77" s="71" t="s">
        <v>218</v>
      </c>
      <c r="D77" s="72" t="str">
        <f t="shared" si="10"/>
        <v>PORTOLA HS 1</v>
      </c>
      <c r="E77" s="71">
        <v>12</v>
      </c>
      <c r="F77" s="71" t="str">
        <f>E11</f>
        <v>11-PALOS VERDES BLACK</v>
      </c>
      <c r="G77" s="73">
        <v>14</v>
      </c>
      <c r="H77" s="71" t="str">
        <f>E14</f>
        <v>38-PUGET SOUND</v>
      </c>
      <c r="I77" s="71">
        <v>4</v>
      </c>
      <c r="J77" s="71">
        <v>36</v>
      </c>
      <c r="K77" s="71">
        <v>40</v>
      </c>
      <c r="L77" s="71" t="str">
        <f t="shared" si="11"/>
        <v>16BX-012</v>
      </c>
    </row>
    <row r="78" spans="1:12" ht="14.1" customHeight="1">
      <c r="A78" s="69">
        <f t="shared" si="9"/>
        <v>46226</v>
      </c>
      <c r="B78" s="70">
        <f>'CHICLETS MASTER S2'!X7</f>
        <v>0.39583333333333398</v>
      </c>
      <c r="C78" s="71" t="s">
        <v>218</v>
      </c>
      <c r="D78" s="72" t="str">
        <f t="shared" si="10"/>
        <v>PORTOLA HS 1</v>
      </c>
      <c r="E78" s="71">
        <v>16</v>
      </c>
      <c r="F78" s="71" t="str">
        <f>E12</f>
        <v>14-SD SHORES GOLD</v>
      </c>
      <c r="G78" s="73">
        <v>22</v>
      </c>
      <c r="H78" s="71" t="str">
        <f>E13</f>
        <v>35-VEGAS PATRIOT</v>
      </c>
      <c r="I78" s="71">
        <v>4</v>
      </c>
      <c r="J78" s="71">
        <v>36</v>
      </c>
      <c r="K78" s="71">
        <v>40</v>
      </c>
      <c r="L78" s="71" t="str">
        <f t="shared" si="11"/>
        <v>16BX-016</v>
      </c>
    </row>
    <row r="79" spans="1:12" ht="14.1" customHeight="1">
      <c r="A79" s="69">
        <f t="shared" si="9"/>
        <v>46226</v>
      </c>
      <c r="B79" s="70">
        <f>'CHICLETS MASTER S2'!X8</f>
        <v>0.43055555555555602</v>
      </c>
      <c r="C79" s="71" t="s">
        <v>218</v>
      </c>
      <c r="D79" s="72" t="str">
        <f t="shared" si="10"/>
        <v>PORTOLA HS 1</v>
      </c>
      <c r="E79" s="71">
        <v>20</v>
      </c>
      <c r="F79" s="71" t="str">
        <f>F11</f>
        <v>12-CAL REPUBLIC</v>
      </c>
      <c r="G79" s="73">
        <v>13</v>
      </c>
      <c r="H79" s="71" t="str">
        <f>F14</f>
        <v>37-BACK BAY</v>
      </c>
      <c r="I79" s="71">
        <v>9</v>
      </c>
      <c r="J79" s="71">
        <v>44</v>
      </c>
      <c r="K79" s="71">
        <v>48</v>
      </c>
      <c r="L79" s="71" t="str">
        <f t="shared" si="11"/>
        <v>16BX-020</v>
      </c>
    </row>
    <row r="80" spans="1:12" ht="14.1" customHeight="1">
      <c r="A80" s="69">
        <f t="shared" si="9"/>
        <v>46226</v>
      </c>
      <c r="B80" s="70">
        <f>'CHICLETS MASTER S2'!X9</f>
        <v>0.46527777777777801</v>
      </c>
      <c r="C80" s="71" t="s">
        <v>218</v>
      </c>
      <c r="D80" s="72" t="str">
        <f t="shared" si="10"/>
        <v>PORTOLA HS 1</v>
      </c>
      <c r="E80" s="71">
        <v>24</v>
      </c>
      <c r="F80" s="71" t="str">
        <f>F12</f>
        <v>13-DIABLO ALLIANCE</v>
      </c>
      <c r="G80" s="73">
        <v>12</v>
      </c>
      <c r="H80" s="71" t="str">
        <f>F13</f>
        <v>36-OCWPC</v>
      </c>
      <c r="I80" s="71">
        <v>7</v>
      </c>
      <c r="J80" s="71">
        <v>44</v>
      </c>
      <c r="K80" s="71">
        <v>48</v>
      </c>
      <c r="L80" s="71" t="str">
        <f t="shared" si="11"/>
        <v>16BX-024</v>
      </c>
    </row>
    <row r="81" spans="1:12" ht="14.1" customHeight="1">
      <c r="A81" s="69">
        <f t="shared" si="9"/>
        <v>46226</v>
      </c>
      <c r="B81" s="70">
        <f>'CHICLETS MASTER S2'!X10</f>
        <v>0.5</v>
      </c>
      <c r="C81" s="71" t="s">
        <v>218</v>
      </c>
      <c r="D81" s="72" t="str">
        <f t="shared" si="10"/>
        <v>PORTOLA HS 1</v>
      </c>
      <c r="E81" s="71">
        <v>28</v>
      </c>
      <c r="F81" s="71" t="str">
        <f>IF(G75="","W4",IF(G75&gt;I75,_xlfn.CONCAT("W4-",RIGHT(F75,LEN(F75) - FIND("-",F75))), _xlfn.CONCAT("W4-",RIGHT(H75,LEN(H75) - FIND("-",H75)))))</f>
        <v>W4-VANGUARD SILVER</v>
      </c>
      <c r="G81" s="73">
        <v>10</v>
      </c>
      <c r="H81" s="71" t="str">
        <f>IF(G76="","W8",IF(G76&gt;I76,_xlfn.CONCAT("W8-",RIGHT(F76,LEN(F76) - FIND("-",F76))), _xlfn.CONCAT("W8-",RIGHT(H76,LEN(H76) - FIND("-",H76)))))</f>
        <v>W8-TROJAN GOLD</v>
      </c>
      <c r="I81" s="71">
        <v>9</v>
      </c>
      <c r="J81" s="71" t="s">
        <v>915</v>
      </c>
      <c r="K81" s="71">
        <v>51</v>
      </c>
      <c r="L81" s="71" t="str">
        <f t="shared" si="11"/>
        <v>16BX-028</v>
      </c>
    </row>
    <row r="82" spans="1:12" ht="14.1" customHeight="1">
      <c r="A82" s="69">
        <f>$A$2</f>
        <v>46226</v>
      </c>
      <c r="B82" s="70">
        <f>'CHICLETS MASTER S2'!X11</f>
        <v>0.53472222222222199</v>
      </c>
      <c r="C82" s="71" t="s">
        <v>218</v>
      </c>
      <c r="D82" s="72" t="str">
        <f t="shared" si="10"/>
        <v>PORTOLA HS 1</v>
      </c>
      <c r="E82" s="71">
        <v>32</v>
      </c>
      <c r="F82" s="71" t="str">
        <f>IF(G75="","L4",IF(G75&lt;I75,_xlfn.CONCAT("L4-",RIGHT(F75,LEN(F75) - FIND("-",F75))), _xlfn.CONCAT("L4-",RIGHT(H75,LEN(H75) - FIND("-",H75)))))</f>
        <v>L4-WCAC UNITED A</v>
      </c>
      <c r="G82" s="73">
        <v>7</v>
      </c>
      <c r="H82" s="71" t="str">
        <f>IF(G76="","L8",IF(G76&lt;I76,_xlfn.CONCAT("L8-",RIGHT(F76,LEN(F76) - FIND("-",F76))), _xlfn.CONCAT("L8-",RIGHT(H76,LEN(H76) - FIND("-",H76)))))</f>
        <v>L8-SAN JOSE EXPRESS BLUE</v>
      </c>
      <c r="I82" s="71">
        <v>8</v>
      </c>
      <c r="J82" s="71">
        <v>52</v>
      </c>
      <c r="K82" s="71" t="s">
        <v>909</v>
      </c>
      <c r="L82" s="71" t="str">
        <f>IF(E82="","",$L$15&amp;"-"&amp;TEXT(E82,"000"))</f>
        <v>16BX-032</v>
      </c>
    </row>
    <row r="83" spans="1:12" ht="14.1" customHeight="1">
      <c r="A83" s="69">
        <f>$A$2</f>
        <v>46226</v>
      </c>
      <c r="B83" s="70">
        <f>'CHICLETS MASTER S2'!X12</f>
        <v>0.56944444444444497</v>
      </c>
      <c r="C83" s="71" t="s">
        <v>218</v>
      </c>
      <c r="D83" s="72" t="str">
        <f t="shared" si="10"/>
        <v>PORTOLA HS 1</v>
      </c>
      <c r="E83" s="71">
        <v>36</v>
      </c>
      <c r="F83" s="71" t="str">
        <f>IF(G77="","W12",IF(G77&gt;I77,_xlfn.CONCAT("W12-",RIGHT(F77,LEN(F77) - FIND("-",F77))), _xlfn.CONCAT("W12-",RIGHT(H77,LEN(H77) - FIND("-",H77)))))</f>
        <v>W12-PALOS VERDES BLACK</v>
      </c>
      <c r="G83" s="73">
        <v>7</v>
      </c>
      <c r="H83" s="71" t="str">
        <f>IF(G78="","W16",IF(G78&gt;I78,_xlfn.CONCAT("W16-",RIGHT(F78,LEN(F78) - FIND("-",F78))), _xlfn.CONCAT("W16-",RIGHT(H78,LEN(H78) - FIND("-",H78)))))</f>
        <v>W16-SD SHORES GOLD</v>
      </c>
      <c r="I83" s="71">
        <v>12</v>
      </c>
      <c r="J83" s="71" t="s">
        <v>908</v>
      </c>
      <c r="K83" s="71">
        <v>60</v>
      </c>
      <c r="L83" s="71" t="str">
        <f>IF(E83="","",$L$15&amp;"-"&amp;TEXT(E83,"000"))</f>
        <v>16BX-036</v>
      </c>
    </row>
    <row r="84" spans="1:12" ht="14.1" customHeight="1">
      <c r="A84" s="69">
        <f>$A$2</f>
        <v>46226</v>
      </c>
      <c r="B84" s="70">
        <f>'CHICLETS MASTER S2'!X13</f>
        <v>0.60416666666666696</v>
      </c>
      <c r="C84" s="71" t="s">
        <v>218</v>
      </c>
      <c r="D84" s="72" t="str">
        <f t="shared" si="10"/>
        <v>PORTOLA HS 1</v>
      </c>
      <c r="E84" s="71">
        <v>40</v>
      </c>
      <c r="F84" s="71" t="str">
        <f>IF(G77="","L12",IF(G77&lt;I77,_xlfn.CONCAT("L12-",RIGHT(F77,LEN(F77) - FIND("-",F77))), _xlfn.CONCAT("L12-",RIGHT(H77,LEN(H77) - FIND("-",H77)))))</f>
        <v>L12-PUGET SOUND</v>
      </c>
      <c r="G84" s="73">
        <v>17</v>
      </c>
      <c r="H84" s="71" t="str">
        <f>IF(G78="","L16",IF(G78&lt;I78,_xlfn.CONCAT("L16-",RIGHT(F78,LEN(F78) - FIND("-",F78))), _xlfn.CONCAT("L16-",RIGHT(H78,LEN(H78) - FIND("-",H78)))))</f>
        <v>L16-VEGAS PATRIOT</v>
      </c>
      <c r="I84" s="71">
        <v>5</v>
      </c>
      <c r="J84" s="71">
        <v>56</v>
      </c>
      <c r="K84" s="71" t="s">
        <v>916</v>
      </c>
      <c r="L84" s="71" t="str">
        <f>IF(E84="","",$L$15&amp;"-"&amp;TEXT(E84,"000"))</f>
        <v>16BX-040</v>
      </c>
    </row>
    <row r="85" spans="1:12" ht="14.1" customHeight="1">
      <c r="A85" s="69">
        <f>$A$2</f>
        <v>46226</v>
      </c>
      <c r="B85" s="70">
        <f>'CHICLETS MASTER S2'!X14</f>
        <v>0.63888888888888895</v>
      </c>
      <c r="C85" s="71" t="s">
        <v>218</v>
      </c>
      <c r="D85" s="72" t="str">
        <f t="shared" si="10"/>
        <v>PORTOLA HS 1</v>
      </c>
      <c r="E85" s="71">
        <v>44</v>
      </c>
      <c r="F85" s="71" t="str">
        <f>IF(G79="","W20",IF(G79&gt;I79,_xlfn.CONCAT("W20-",RIGHT(F79,LEN(F79) - FIND("-",F79))), _xlfn.CONCAT("W20-",RIGHT(H79,LEN(H79) - FIND("-",H79)))))</f>
        <v>W20-CAL REPUBLIC</v>
      </c>
      <c r="G85" s="73">
        <v>4</v>
      </c>
      <c r="H85" s="71" t="str">
        <f>IF(G80="","W24",IF(G80&gt;I80,_xlfn.CONCAT("W24-",RIGHT(F80,LEN(F80) - FIND("-",F80))), _xlfn.CONCAT("W24-",RIGHT(H80,LEN(H80) - FIND("-",H80)))))</f>
        <v>W24-DIABLO ALLIANCE</v>
      </c>
      <c r="I85" s="71">
        <v>11</v>
      </c>
      <c r="J85" s="71" t="s">
        <v>903</v>
      </c>
      <c r="K85" s="71">
        <v>56</v>
      </c>
      <c r="L85" s="71" t="str">
        <f>IF(E85="","",$L$15&amp;"-"&amp;TEXT(E85,"000"))</f>
        <v>16BX-044</v>
      </c>
    </row>
    <row r="86" spans="1:12" ht="14.1" customHeight="1">
      <c r="A86" s="69">
        <f>$A$2</f>
        <v>46226</v>
      </c>
      <c r="B86" s="70">
        <f>'CHICLETS MASTER S2'!X15</f>
        <v>0.67361111111111105</v>
      </c>
      <c r="C86" s="71" t="s">
        <v>218</v>
      </c>
      <c r="D86" s="72" t="str">
        <f t="shared" si="10"/>
        <v>PORTOLA HS 1</v>
      </c>
      <c r="E86" s="71">
        <v>48</v>
      </c>
      <c r="F86" s="71" t="str">
        <f>IF(G79="","L20",IF(G79&lt;I79,_xlfn.CONCAT("L20-",RIGHT(F79,LEN(F79) - FIND("-",F79))), _xlfn.CONCAT("L20-",RIGHT(H79,LEN(H79) - FIND("-",H79)))))</f>
        <v>L20-BACK BAY</v>
      </c>
      <c r="G86" s="73">
        <v>11.3</v>
      </c>
      <c r="H86" s="71" t="str">
        <f>IF(G80="","L24",IF(G80&lt;I80,_xlfn.CONCAT("L24-",RIGHT(F80,LEN(F80) - FIND("-",F80))), _xlfn.CONCAT("L24-",RIGHT(H80,LEN(H80) - FIND("-",H80)))))</f>
        <v>L24-OCWPC</v>
      </c>
      <c r="I86" s="71">
        <v>11.4</v>
      </c>
      <c r="J86" s="71">
        <v>60</v>
      </c>
      <c r="K86" s="71" t="s">
        <v>921</v>
      </c>
      <c r="L86" s="71" t="str">
        <f>IF(E86="","",$L$15&amp;"-"&amp;TEXT(E86,"000"))</f>
        <v>16BX-048</v>
      </c>
    </row>
    <row r="87" spans="1:12" ht="14.1" customHeight="1">
      <c r="A87" s="75"/>
      <c r="B87" s="60" t="s">
        <v>139</v>
      </c>
      <c r="C87" s="60"/>
      <c r="D87" s="60"/>
      <c r="E87" s="60"/>
      <c r="F87" s="60"/>
      <c r="G87" s="64"/>
      <c r="H87" s="60"/>
      <c r="I87" s="60"/>
      <c r="J87" s="60"/>
      <c r="K87" s="60"/>
      <c r="L87" s="60"/>
    </row>
    <row r="88" spans="1:12" ht="14.1" customHeight="1">
      <c r="A88" s="69">
        <f>$A$2</f>
        <v>46226</v>
      </c>
      <c r="B88" s="70">
        <f>'CHICLETS MASTER S2'!X17</f>
        <v>0.74305555555555602</v>
      </c>
      <c r="C88" s="71" t="s">
        <v>140</v>
      </c>
      <c r="D88" s="72" t="str">
        <f t="shared" si="10"/>
        <v>PORTOLA HS 1</v>
      </c>
      <c r="E88" s="71">
        <v>52</v>
      </c>
      <c r="F88" s="111" t="str">
        <f>IF(G62="","L27",IF(G62&lt;I62,_xlfn.CONCAT("L27-",RIGHT(F62,LEN(F62) - FIND("-",F62))), _xlfn.CONCAT("L27-",RIGHT(H62,LEN(H62) - FIND("-",H62)))))</f>
        <v>L27-LA JOLLA UNITED C</v>
      </c>
      <c r="G88" s="81">
        <v>4</v>
      </c>
      <c r="H88" s="112" t="str">
        <f>IF(G82="","W32",IF(G82&gt;I82,_xlfn.CONCAT("W32-",RIGHT(F82,LEN(F82) - FIND("-",F82))), _xlfn.CONCAT("W32-",RIGHT(H82,LEN(H82) - FIND("-",H82)))))</f>
        <v>W32-SAN JOSE EXPRESS BLUE</v>
      </c>
      <c r="I88" s="71">
        <v>5</v>
      </c>
      <c r="J88" s="71" t="s">
        <v>1253</v>
      </c>
      <c r="K88" s="71" t="s">
        <v>1254</v>
      </c>
      <c r="L88" s="71" t="str">
        <f>IF(E88="","",$L$15&amp;"-"&amp;TEXT(E88,"000"))</f>
        <v>16BX-052</v>
      </c>
    </row>
    <row r="89" spans="1:12" ht="14.1" customHeight="1">
      <c r="A89" s="69">
        <f>$A$2</f>
        <v>46226</v>
      </c>
      <c r="B89" s="70">
        <f>'CHICLETS MASTER S2'!X18</f>
        <v>0.77777777777777801</v>
      </c>
      <c r="C89" s="71" t="s">
        <v>140</v>
      </c>
      <c r="D89" s="72" t="str">
        <f t="shared" si="10"/>
        <v>PORTOLA HS 1</v>
      </c>
      <c r="E89" s="71">
        <v>56</v>
      </c>
      <c r="F89" s="71" t="str">
        <f>IF(G85="","L44",IF(G85&lt;I85,_xlfn.CONCAT("L44-",RIGHT(F85,LEN(F85) - FIND("-",F85))), _xlfn.CONCAT("L44-",RIGHT(H85,LEN(H85) - FIND("-",H85)))))</f>
        <v>L44-CAL REPUBLIC</v>
      </c>
      <c r="G89" s="74">
        <v>7</v>
      </c>
      <c r="H89" s="71" t="str">
        <f>IF(G84="","W40",IF(G84&gt;I84,_xlfn.CONCAT("W40-",RIGHT(F84,LEN(F84) - FIND("-",F84))), _xlfn.CONCAT("W40-",RIGHT(H84,LEN(H84) - FIND("-",H84)))))</f>
        <v>W40-PUGET SOUND</v>
      </c>
      <c r="I89" s="71">
        <v>7.2</v>
      </c>
      <c r="J89" s="71" t="s">
        <v>1255</v>
      </c>
      <c r="K89" s="71" t="s">
        <v>1256</v>
      </c>
      <c r="L89" s="71" t="str">
        <f>IF(E89="","",$L$15&amp;"-"&amp;TEXT(E89,"000"))</f>
        <v>16BX-056</v>
      </c>
    </row>
    <row r="90" spans="1:12" ht="14.1" customHeight="1">
      <c r="A90" s="69">
        <f>$A$2</f>
        <v>46226</v>
      </c>
      <c r="B90" s="70">
        <f>'CHICLETS MASTER S2'!X19</f>
        <v>0.8125</v>
      </c>
      <c r="C90" s="71" t="s">
        <v>140</v>
      </c>
      <c r="D90" s="72" t="str">
        <f t="shared" si="10"/>
        <v>PORTOLA HS 1</v>
      </c>
      <c r="E90" s="71">
        <v>60</v>
      </c>
      <c r="F90" s="71" t="str">
        <f>IF(G83="","L36",IF(G83&lt;I83,_xlfn.CONCAT("L36-",RIGHT(F83,LEN(F83) - FIND("-",F83))), _xlfn.CONCAT("L36-",RIGHT(H83,LEN(H83) - FIND("-",H83)))))</f>
        <v>L36-PALOS VERDES BLACK</v>
      </c>
      <c r="G90" s="73">
        <v>10</v>
      </c>
      <c r="H90" s="71" t="str">
        <f>IF(G86="","W48",IF(G86&gt;I86,_xlfn.CONCAT("W48-",RIGHT(F86,LEN(F86) - FIND("-",F86))), _xlfn.CONCAT("W48-",RIGHT(H86,LEN(H86) - FIND("-",H86)))))</f>
        <v>W48-OCWPC</v>
      </c>
      <c r="I90" s="71">
        <v>9</v>
      </c>
      <c r="J90" s="71" t="s">
        <v>1257</v>
      </c>
      <c r="K90" s="71" t="s">
        <v>1258</v>
      </c>
      <c r="L90" s="71" t="str">
        <f>IF(E90="","",$L$15&amp;"-"&amp;TEXT(E90,"000"))</f>
        <v>16BX-060</v>
      </c>
    </row>
    <row r="91" spans="1:12" ht="14.1" customHeight="1" thickBot="1"/>
    <row r="92" spans="1:12" ht="14.1" customHeight="1" thickTop="1" thickBot="1">
      <c r="A92" s="68" t="s">
        <v>196</v>
      </c>
      <c r="B92" s="82"/>
      <c r="C92" s="82"/>
      <c r="D92" s="82"/>
      <c r="E92" s="82"/>
      <c r="F92" s="82"/>
      <c r="G92" s="83"/>
      <c r="H92" s="82"/>
      <c r="I92" s="82"/>
      <c r="J92" s="82"/>
      <c r="K92" s="82"/>
      <c r="L92" s="82"/>
    </row>
    <row r="93" spans="1:12" s="60" customFormat="1" ht="14.1" customHeight="1">
      <c r="A93" s="61">
        <v>46227</v>
      </c>
    </row>
    <row r="94" spans="1:12" ht="14.1" customHeight="1">
      <c r="B94" s="84" t="s">
        <v>197</v>
      </c>
      <c r="C94" s="60"/>
      <c r="D94" s="60"/>
      <c r="E94" s="60"/>
    </row>
    <row r="95" spans="1:12" ht="14.1" customHeight="1">
      <c r="A95" s="60"/>
      <c r="B95" s="85" t="s">
        <v>928</v>
      </c>
      <c r="C95" s="85" t="s">
        <v>929</v>
      </c>
      <c r="D95" s="85" t="s">
        <v>930</v>
      </c>
      <c r="E95" s="85" t="s">
        <v>931</v>
      </c>
    </row>
    <row r="96" spans="1:12" ht="14.1" customHeight="1">
      <c r="A96" s="60">
        <v>1</v>
      </c>
      <c r="B96" s="86" t="str">
        <f>IF(G26="","ag_M1(W33)",IF(G26&gt;I26,_xlfn.CONCAT("ag_M1(W33)-",RIGHT(F26,LEN(F26) - FIND("-",F26))), _xlfn.CONCAT("ag_M1(W33)-",RIGHT(H26,LEN(H26) - FIND("-",H26)))))</f>
        <v>ag_M1(W33)-CARLSBAD A</v>
      </c>
      <c r="C96" s="113" t="str">
        <f>IF(G28="","ag_N1(W41)",IF(G28&gt;I28,_xlfn.CONCAT("ag_N1(W41)-",RIGHT(F28,LEN(F28) - FIND("-",F28))), _xlfn.CONCAT("ag_N1(W41)-",RIGHT(H28,LEN(H28) - FIND("-",H28)))))</f>
        <v>ag_N1(W41)-CT PREMIER</v>
      </c>
      <c r="D96" s="113" t="str">
        <f>IF(G24="","ag_O1(W25)",IF(G24&gt;I24,_xlfn.CONCAT("ag_O1(W25)-",RIGHT(F24,LEN(F24) - FIND("-",F24))), _xlfn.CONCAT("ag_O1(W25)-",RIGHT(H24,LEN(H24) - FIND("-",H24)))))</f>
        <v>ag_O1(W25)-ORWP</v>
      </c>
      <c r="E96" s="86" t="str">
        <f>IF(G43="","ag_P1(W26)",IF(G43&gt;I43,_xlfn.CONCAT("ag_P1(W26)-",RIGHT(F43,LEN(F43) - FIND("-",F43))), _xlfn.CONCAT("ag_P1(W26)-",RIGHT(H43,LEN(H43) - FIND("-",H43)))))</f>
        <v>ag_P1(W26)-CHAWP WHITE</v>
      </c>
    </row>
    <row r="97" spans="1:5" ht="14.1" customHeight="1">
      <c r="A97" s="60">
        <v>2</v>
      </c>
      <c r="B97" s="113" t="str">
        <f>IF(G66="","ag_M2(W43)",IF(G66&gt;I66,_xlfn.CONCAT("ag_M2(W43)-",RIGHT(F66,LEN(F66) - FIND("-",F66))), _xlfn.CONCAT("ag_M2(W43)-",RIGHT(H66,LEN(H66) - FIND("-",H66)))))</f>
        <v>ag_M2(W43)-COMMERCE</v>
      </c>
      <c r="C97" s="86" t="str">
        <f>IF(G64="","ag_N2(W35)",IF(G64&gt;I64,_xlfn.CONCAT("ag_N2(W35)-",RIGHT(F64,LEN(F64) - FIND("-",F64))), _xlfn.CONCAT("ag_N2(W35)-",RIGHT(H64,LEN(H64) - FIND("-",H64)))))</f>
        <v>ag_N2(W35)-ECA A</v>
      </c>
      <c r="D97" s="113" t="str">
        <f>IF(G47="","ag_O2(W42)",IF(G47&gt;I47,_xlfn.CONCAT("ag_O2(W42)-",RIGHT(F47,LEN(F47) - FIND("-",F47))), _xlfn.CONCAT("ag_O2(W42)-",RIGHT(H47,LEN(H47) - FIND("-",H47)))))</f>
        <v>ag_O2(W42)-NORCAL BLACK</v>
      </c>
      <c r="E97" s="113" t="str">
        <f>IF(G45="","ag_P2(W34)",IF(G45&gt;I45,_xlfn.CONCAT("ag_P2(W34)-",RIGHT(F45,LEN(F45) - FIND("-",F45))), _xlfn.CONCAT("ag_P2(W34)-",RIGHT(H45,LEN(H45) - FIND("-",H45)))))</f>
        <v>ag_P2(W34)-SAN CLEMENTE RED</v>
      </c>
    </row>
    <row r="98" spans="1:5" ht="14.1" customHeight="1">
      <c r="A98" s="60">
        <v>3</v>
      </c>
      <c r="B98" s="113" t="str">
        <f>IF(G62="","ag_M3(W27)",IF(G62&gt;I62,_xlfn.CONCAT("ag_M3(W27)-",RIGHT(F62,LEN(F62) - FIND("-",F62))), _xlfn.CONCAT("ag_M3(W27)-",RIGHT(H62,LEN(H62) - FIND("-",H62)))))</f>
        <v>ag_M3(W27)-CORONA DEL MAR</v>
      </c>
      <c r="C98" s="113" t="str">
        <f>IF(G81="","ag_N3(W28)",IF(G81&gt;I81,_xlfn.CONCAT("ag_N3(W28)-",RIGHT(F81,LEN(F81) - FIND("-",F81))), _xlfn.CONCAT("ag_N3(W28)-",RIGHT(H81,LEN(H81) - FIND("-",H81)))))</f>
        <v>ag_N3(W28)-VANGUARD SILVER</v>
      </c>
      <c r="D98" s="113" t="str">
        <f>IF(G83="","ag_O3(W36)",IF(G83&gt;I83,_xlfn.CONCAT("ag_O3(W36)-",RIGHT(F83,LEN(F83) - FIND("-",F83))), _xlfn.CONCAT("ag_O3(W36)-",RIGHT(H83,LEN(H83) - FIND("-",H83)))))</f>
        <v>ag_O3(W36)-SD SHORES GOLD</v>
      </c>
      <c r="E98" s="113" t="str">
        <f>IF(G85="","ag_P3(W44)",IF(G85&gt;I85,_xlfn.CONCAT("ag_P3(W44)-",RIGHT(F85,LEN(F85) - FIND("-",F85))), _xlfn.CONCAT("ag_P3(W44)-",RIGHT(H85,LEN(H85) - FIND("-",H85)))))</f>
        <v>ag_P3(W44)-DIABLO ALLIANCE</v>
      </c>
    </row>
    <row r="100" spans="1:5" ht="14.1" customHeight="1">
      <c r="B100" s="85" t="s">
        <v>941</v>
      </c>
      <c r="C100" s="85" t="s">
        <v>942</v>
      </c>
      <c r="D100" s="85" t="s">
        <v>943</v>
      </c>
      <c r="E100" s="85" t="s">
        <v>944</v>
      </c>
    </row>
    <row r="101" spans="1:5" ht="14.1" customHeight="1">
      <c r="A101" s="60">
        <v>1</v>
      </c>
      <c r="B101" s="113" t="str">
        <f>IF(G89="","ag_R1(W56)",IF(G89&gt;I89,_xlfn.CONCAT("ag_R1(W56)-",RIGHT(F89,LEN(F89) - FIND("-",F89))), _xlfn.CONCAT("ag_R1(W56)-",RIGHT(H89,LEN(H89) - FIND("-",H89)))))</f>
        <v>ag_R1(W56)-PUGET SOUND</v>
      </c>
      <c r="C101" s="113" t="str">
        <f>IF(G90="","ag_S1(W60)",IF(G90&gt;I90,_xlfn.CONCAT("ag_S1(W60)-",RIGHT(F90,LEN(F90) - FIND("-",F90))), _xlfn.CONCAT("ag_S1(W60)-",RIGHT(H90,LEN(H90) - FIND("-",H90)))))</f>
        <v>ag_S1(W60)-PALOS VERDES BLACK</v>
      </c>
      <c r="D101" s="113" t="str">
        <f>IF(G69="","ag_T1(W51)",IF(G69&gt;I69,_xlfn.CONCAT("ag_T1(W51)-",RIGHT(F69,LEN(F69) - FIND("-",F69))), _xlfn.CONCAT("ag_T1(W51)-",RIGHT(H69,LEN(H69) - FIND("-",H69)))))</f>
        <v>ag_T1(W51)-TEXAS THUNDER BLUE</v>
      </c>
      <c r="E101" s="86" t="str">
        <f>IF(G88="","ag_U1(W52)",IF(G88&gt;I88,_xlfn.CONCAT("ag_U1(W52)-",RIGHT(F88,LEN(F88) - FIND("-",F88))), _xlfn.CONCAT("ag_U1(W52)-",RIGHT(H88,LEN(H88) - FIND("-",H88)))))</f>
        <v>ag_U1(W52)-SAN JOSE EXPRESS BLUE</v>
      </c>
    </row>
    <row r="102" spans="1:5" ht="14.1" customHeight="1">
      <c r="A102" s="60">
        <v>2</v>
      </c>
      <c r="B102" s="113" t="str">
        <f>IF(G52="","ag_R2(W58)",IF(G52&gt;I52,_xlfn.CONCAT("ag_R2(W58)-",RIGHT(F52,LEN(F52) - FIND("-",F52))), _xlfn.CONCAT("ag_R2(W58)-",RIGHT(H52,LEN(H52) - FIND("-",H52)))))</f>
        <v>ag_R2(W58)-LOWPO</v>
      </c>
      <c r="C102" s="113" t="str">
        <f>IF(G51="","ag_S2(W54)",IF(G51&gt;I51,_xlfn.CONCAT("ag_S2(W54)-",RIGHT(F51,LEN(F51) - FIND("-",F51))), _xlfn.CONCAT("ag_S2(W54)-",RIGHT(H51,LEN(H51) - FIND("-",H51)))))</f>
        <v>ag_S2(W54)-VIPER PIGEON</v>
      </c>
      <c r="D102" s="86" t="str">
        <f>IF(G71="","ag_T2(W59)",IF(G71&gt;I71,_xlfn.CONCAT("ag_T2(W59)-",RIGHT(F71,LEN(F71) - FIND("-",F71))), _xlfn.CONCAT("ag_T2(W59)-",RIGHT(H71,LEN(H71) - FIND("-",H71)))))</f>
        <v>ag_T2(W59)-STANFORD BLACK</v>
      </c>
      <c r="E102" s="86" t="str">
        <f>IF(G70="","ag_U2(W55)",IF(G70&gt;I70,_xlfn.CONCAT("ag_U2(W55)-",RIGHT(F70,LEN(F70) - FIND("-",F70))), _xlfn.CONCAT("ag_U2(W55)-",RIGHT(H70,LEN(H70) - FIND("-",H70)))))</f>
        <v>ag_U2(W55)-SHARKS</v>
      </c>
    </row>
    <row r="103" spans="1:5" ht="14.1" customHeight="1">
      <c r="A103" s="60">
        <v>3</v>
      </c>
      <c r="B103" s="113" t="str">
        <f>IF(G31="","ag_R3(W49)",IF(G31&gt;I31,_xlfn.CONCAT("ag_R3(W49)-",RIGHT(F31,LEN(F31) - FIND("-",F31))), _xlfn.CONCAT("ag_R3(W49)-",RIGHT(H31,LEN(H31) - FIND("-",H31)))))</f>
        <v>ag_R3(W49)-DAVIS WHITE</v>
      </c>
      <c r="C103" s="113" t="str">
        <f>IF(G50="","ag_S3(W50)",IF(G50&gt;I50,_xlfn.CONCAT("ag_S3(W50)-",RIGHT(F50,LEN(F50) - FIND("-",F50))), _xlfn.CONCAT("ag_S3(W50)-",RIGHT(H50,LEN(H50) - FIND("-",H50)))))</f>
        <v>ag_S3(W50)-SLAP</v>
      </c>
      <c r="D103" s="113" t="str">
        <f>IF(G32="","ag_T3(W53)",IF(G32&gt;I32,_xlfn.CONCAT("ag_T3(W53)-",RIGHT(F32,LEN(F32) - FIND("-",F32))), _xlfn.CONCAT("ag_T3(W53)-",RIGHT(H32,LEN(H32) - FIND("-",H32)))))</f>
        <v>ag_T3(W53)-SOUTH COAST RED</v>
      </c>
      <c r="E103" s="113" t="str">
        <f>IF(G33="","ag_U3(W57)",IF(G33&gt;I33,_xlfn.CONCAT("ag_U3(W57)-",RIGHT(F33,LEN(F33) - FIND("-",F33))), _xlfn.CONCAT("ag_U3(W57)-",RIGHT(H33,LEN(H33) - FIND("-",H33)))))</f>
        <v>ag_U3(W57)-ALAMEDA</v>
      </c>
    </row>
    <row r="105" spans="1:5" ht="14.1" customHeight="1">
      <c r="A105" s="60"/>
      <c r="B105" s="84" t="s">
        <v>408</v>
      </c>
      <c r="C105" s="60"/>
      <c r="D105" s="60"/>
      <c r="E105" s="60"/>
    </row>
    <row r="106" spans="1:5" ht="14.1" customHeight="1">
      <c r="A106" s="60"/>
      <c r="B106" s="88" t="s">
        <v>953</v>
      </c>
      <c r="C106" s="88" t="s">
        <v>954</v>
      </c>
      <c r="D106" s="88" t="s">
        <v>955</v>
      </c>
      <c r="E106" s="88" t="s">
        <v>956</v>
      </c>
    </row>
    <row r="107" spans="1:5" ht="14.1" customHeight="1">
      <c r="A107" s="60">
        <v>1</v>
      </c>
      <c r="B107" s="113" t="str">
        <f>IF(G32="","bz_M1(L53)",IF(G32&lt;I32,_xlfn.CONCAT("bz_M1(L53)-",RIGHT(F32,LEN(F32) - FIND("-",F32))), _xlfn.CONCAT("bz_M1(L53)-",RIGHT(H32,LEN(H32) - FIND("-",H32)))))</f>
        <v>bz_M1(L53)-ASPHALT GREEN</v>
      </c>
      <c r="C107" s="113" t="str">
        <f>IF(G33="","bz_N1(L57)",IF(G33&lt;I33,_xlfn.CONCAT("bz_N1(L57)-",RIGHT(F33,LEN(F33) - FIND("-",F33))), _xlfn.CONCAT("bz_N1(L57)-",RIGHT(H33,LEN(H33) - FIND("-",H33)))))</f>
        <v>bz_N1(L57)-PRAETORIAN BLACK</v>
      </c>
      <c r="D107" s="113" t="str">
        <f>IF(G31="","bz_O1(L49)",IF(G31&lt;I31,_xlfn.CONCAT("bz_O1(L49)-",RIGHT(F31,LEN(F31) - FIND("-",F31))), _xlfn.CONCAT("bz_O1(L49)-",RIGHT(H31,LEN(H31) - FIND("-",H31)))))</f>
        <v>bz_O1(L49)-99 ALLIANCE</v>
      </c>
      <c r="E107" s="113" t="str">
        <f>IF(G50="","bz_P1(L50)",IF(G50&lt;I50,_xlfn.CONCAT("bz_P1(L50)-",RIGHT(F50,LEN(F50) - FIND("-",F50))), _xlfn.CONCAT("bz_P1(L50)-",RIGHT(H50,LEN(H50) - FIND("-",H50)))))</f>
        <v>bz_P1(L50)-NEWPORT BEACH WHITE</v>
      </c>
    </row>
    <row r="108" spans="1:5" ht="14.1" customHeight="1">
      <c r="A108" s="60">
        <v>2</v>
      </c>
      <c r="B108" s="86" t="str">
        <f>IF(G71="","bz_M2(L59)",IF(G71&lt;I71,_xlfn.CONCAT("bz_M2(L59)-",RIGHT(F71,LEN(F71) - FIND("-",F71))), _xlfn.CONCAT("bz_M2(L59)-",RIGHT(H71,LEN(H71) - FIND("-",H71)))))</f>
        <v>bz_M2(L59)-CIU BLUE</v>
      </c>
      <c r="C108" s="86" t="str">
        <f>IF(G70="","bz_N2(L55)",IF(G70&lt;I70,_xlfn.CONCAT("bz_N2(L55)-",RIGHT(F70,LEN(F70) - FIND("-",F70))), _xlfn.CONCAT("bz_N2(L55)-",RIGHT(H70,LEN(H70) - FIND("-",H70)))))</f>
        <v>bz_N2(L55)-SHAQ BLUE</v>
      </c>
      <c r="D108" s="113" t="str">
        <f>IF(G52="","bz_O2(L58)",IF(G52&lt;I52,_xlfn.CONCAT("bz_O2(L58)-",RIGHT(F52,LEN(F52) - FIND("-",F52))), _xlfn.CONCAT("bz_O2(L58)-",RIGHT(H52,LEN(H52) - FIND("-",H52)))))</f>
        <v>bz_O2(L58)-FOOTHILL RED</v>
      </c>
      <c r="E108" s="113" t="str">
        <f>IF(G51="","bz_P2(L54)",IF(G51&lt;I51,_xlfn.CONCAT("bz_P2(L54)-",RIGHT(F51,LEN(F51) - FIND("-",F51))), _xlfn.CONCAT("bz_P2(L54)-",RIGHT(H51,LEN(H51) - FIND("-",H51)))))</f>
        <v>bz_P2(L54)-WEST VALLEY</v>
      </c>
    </row>
    <row r="109" spans="1:5" ht="14.1" customHeight="1">
      <c r="A109" s="60">
        <v>3</v>
      </c>
      <c r="B109" s="86" t="str">
        <f>IF(G69="","bz_M3(L51)",IF(G69&lt;I69,_xlfn.CONCAT("bz_M3(L51)-",RIGHT(F69,LEN(F69) - FIND("-",F69))), _xlfn.CONCAT("bz_M3(L51)-",RIGHT(H69,LEN(H69) - FIND("-",H69)))))</f>
        <v>bz_M3(L51)-TROJAN GOLD</v>
      </c>
      <c r="C109" s="86" t="str">
        <f>IF(G88="","bz_N3(L52)",IF(G88&lt;I88,_xlfn.CONCAT("bz_N3(L52)-",RIGHT(F88,LEN(F88) - FIND("-",F88))), _xlfn.CONCAT("bz_N3(L52)-",RIGHT(H88,LEN(H88) - FIND("-",H88)))))</f>
        <v>bz_N3(L52)-LA JOLLA UNITED C</v>
      </c>
      <c r="D109" s="113" t="str">
        <f>IF(G89="","bz_O3(L56)",IF(G89&lt;I89,_xlfn.CONCAT("bz_O3(L56)-",RIGHT(F89,LEN(F89) - FIND("-",F89))), _xlfn.CONCAT("bz_O3(L56)-",RIGHT(H89,LEN(H89) - FIND("-",H89)))))</f>
        <v>bz_O3(L56)-CAL REPUBLIC</v>
      </c>
      <c r="E109" s="113" t="str">
        <f>IF(G90="","bz_P3(L60)",IF(G90&lt;I90,_xlfn.CONCAT("bz_P3(L60)-",RIGHT(F90,LEN(F90) - FIND("-",F90))), _xlfn.CONCAT("bz_P3(L60)-",RIGHT(H90,LEN(H90) - FIND("-",H90)))))</f>
        <v>bz_P3(L60)-OCWPC</v>
      </c>
    </row>
    <row r="110" spans="1:5" ht="14.1" customHeight="1">
      <c r="B110" s="60"/>
      <c r="C110" s="60"/>
      <c r="D110" s="60"/>
      <c r="E110" s="60"/>
    </row>
    <row r="111" spans="1:5" ht="14.1" customHeight="1">
      <c r="B111" s="88" t="s">
        <v>966</v>
      </c>
      <c r="C111" s="88" t="s">
        <v>967</v>
      </c>
      <c r="D111" s="88" t="s">
        <v>968</v>
      </c>
      <c r="E111" s="88" t="s">
        <v>969</v>
      </c>
    </row>
    <row r="112" spans="1:5" ht="14.1" customHeight="1">
      <c r="A112" s="60">
        <v>1</v>
      </c>
      <c r="B112" s="113" t="str">
        <f>IF(G86="","bz_R1(L48)",IF(G86&lt;I86,_xlfn.CONCAT("bz_R1(L48)-",RIGHT(F86,LEN(F86) - FIND("-",F86))), _xlfn.CONCAT("bz_R1(L48)-",RIGHT(H86,LEN(H86) - FIND("-",H86)))))</f>
        <v>bz_R1(L48)-BACK BAY</v>
      </c>
      <c r="C112" s="113" t="str">
        <f>IF(G84="","bz_S1(L40)",IF(G84&lt;I84,_xlfn.CONCAT("bz_S1(L40)-",RIGHT(F84,LEN(F84) - FIND("-",F84))), _xlfn.CONCAT("bz_S1(L40)-",RIGHT(H84,LEN(H84) - FIND("-",H84)))))</f>
        <v>bz_S1(L40)-VEGAS PATRIOT</v>
      </c>
      <c r="D112" s="113" t="str">
        <f>IF(G82="","bz_T1(L32)",IF(G82&lt;I82,_xlfn.CONCAT("bz_T1(L32)-",RIGHT(F82,LEN(F82) - FIND("-",F82))), _xlfn.CONCAT("bz_T1(L32)-",RIGHT(H82,LEN(H82) - FIND("-",H82)))))</f>
        <v>bz_T1(L32)-WCAC UNITED A</v>
      </c>
      <c r="E112" s="86" t="str">
        <f>IF(G63="","bz_U1(L31)",IF(G63&lt;I63,_xlfn.CONCAT("bz_U1(L31)-",RIGHT(F63,LEN(F63) - FIND("-",F63))), _xlfn.CONCAT("bz_U1(L31)-",RIGHT(H63,LEN(H63) - FIND("-",H63)))))</f>
        <v>bz_U1(L31)-RISE</v>
      </c>
    </row>
    <row r="113" spans="1:15" ht="14.1" customHeight="1">
      <c r="A113" s="60">
        <v>2</v>
      </c>
      <c r="B113" s="113" t="str">
        <f>IF(G46="","bz_R2(L38)",IF(G46&lt;I46,_xlfn.CONCAT("bz_R2(L38)-",RIGHT(F46,LEN(F46) - FIND("-",F46))), _xlfn.CONCAT("bz_R2(L38)-",RIGHT(H46,LEN(H46) - FIND("-",H46)))))</f>
        <v>bz_R2(L38)-THIRD COAST AQUATICS</v>
      </c>
      <c r="C113" s="113" t="str">
        <f>IF(G48="","bz_S2(L46)",IF(G48&lt;I48,_xlfn.CONCAT("bz_S2(L46)-",RIGHT(F48,LEN(F48) - FIND("-",F48))), _xlfn.CONCAT("bz_S2(L46)-",RIGHT(H48,LEN(H48) - FIND("-",H48)))))</f>
        <v>bz_S2(L46)-MESA</v>
      </c>
      <c r="D113" s="86" t="str">
        <f>IF(G65="","bz_T2(L39)",IF(G65&lt;I65,_xlfn.CONCAT("bz_T2(L39)-",RIGHT(F65,LEN(F65) - FIND("-",F65))), _xlfn.CONCAT("bz_T2(L39)-",RIGHT(H65,LEN(H65) - FIND("-",H65)))))</f>
        <v>bz_T2(L39)-MAVERICKS</v>
      </c>
      <c r="E113" s="86" t="str">
        <f>IF(G67="","bz_U2(L47)",IF(G67&lt;I67,_xlfn.CONCAT("bz_U2(L47)-",RIGHT(F67,LEN(F67) - FIND("-",F67))), _xlfn.CONCAT("bz_U2(L47)-",RIGHT(H67,LEN(H67) - FIND("-",H67)))))</f>
        <v>bz_U2(L47)-GREAT LAKES AQUATICS</v>
      </c>
    </row>
    <row r="114" spans="1:15" ht="14.1" customHeight="1">
      <c r="A114" s="60">
        <v>3</v>
      </c>
      <c r="B114" s="86" t="str">
        <f>IF(G44="","bz_R3(L30)",IF(G44&lt;I44,_xlfn.CONCAT("bz_R3(L30)-",RIGHT(F44,LEN(F44) - FIND("-",F44))), _xlfn.CONCAT("bz_R3(L30)-",RIGHT(H44,LEN(H44) - FIND("-",H44)))))</f>
        <v>bz_R3(L30)-CENTRAL VALLEY UNITED</v>
      </c>
      <c r="C114" s="113" t="str">
        <f>IF(G25="","bz_S3(L29)",IF(G25&lt;I25,_xlfn.CONCAT("bz_S3(L29)-",RIGHT(F25,LEN(F25) - FIND("-",F25))), _xlfn.CONCAT("bz_S3(L29)-",RIGHT(H25,LEN(H25) - FIND("-",H25)))))</f>
        <v>bz_S3(L29)-PUNAHOU</v>
      </c>
      <c r="D114" s="113" t="str">
        <f>IF(G29="","bz_T3(L45)",IF(G29&lt;I29,_xlfn.CONCAT("bz_T3(L45)-",RIGHT(F29,LEN(F29) - FIND("-",F29))), _xlfn.CONCAT("bz_T3(L45)-",RIGHT(H29,LEN(H29) - FIND("-",H29)))))</f>
        <v>bz_T3(L45)-NEW TRIER</v>
      </c>
      <c r="E114" s="86" t="str">
        <f>IF(G27="","bz_U3(L37)",IF(G27&lt;I27,_xlfn.CONCAT("bz_U3(L37)-",RIGHT(F27,LEN(F27) - FIND("-",F27))), _xlfn.CONCAT("bz_U3(L37)-",RIGHT(H27,LEN(H27) - FIND("-",H27)))))</f>
        <v>bz_U3(L37)-808</v>
      </c>
    </row>
    <row r="115" spans="1:15" ht="14.1" customHeight="1" thickBot="1">
      <c r="B115" s="60"/>
      <c r="C115" s="60"/>
      <c r="D115" s="60"/>
      <c r="E115" s="60"/>
      <c r="F115" s="60"/>
      <c r="G115" s="64"/>
      <c r="H115" s="60"/>
      <c r="I115" s="60"/>
      <c r="J115" s="60"/>
      <c r="K115" s="60"/>
      <c r="L115" s="60"/>
    </row>
    <row r="116" spans="1:15" ht="14.1" customHeight="1" thickBot="1">
      <c r="B116" s="60"/>
      <c r="C116" s="60"/>
      <c r="D116" s="68" t="str">
        <f>'CHICLETS MASTER S2'!$AE$27</f>
        <v>ORANGE COAST COLLEGE 1</v>
      </c>
      <c r="E116" s="60"/>
      <c r="F116" s="60"/>
      <c r="G116" s="64"/>
      <c r="H116" s="60"/>
      <c r="I116" s="60"/>
      <c r="J116" s="60"/>
      <c r="K116" s="60"/>
      <c r="L116" s="60"/>
    </row>
    <row r="117" spans="1:15" ht="14.1" customHeight="1">
      <c r="A117" s="139" t="s">
        <v>124</v>
      </c>
      <c r="B117" s="139" t="s">
        <v>125</v>
      </c>
      <c r="C117" s="139" t="s">
        <v>126</v>
      </c>
      <c r="D117" s="139" t="s">
        <v>127</v>
      </c>
      <c r="E117" s="139" t="s">
        <v>128</v>
      </c>
      <c r="F117" s="139" t="s">
        <v>129</v>
      </c>
      <c r="G117" s="139" t="s">
        <v>130</v>
      </c>
      <c r="H117" s="139" t="s">
        <v>131</v>
      </c>
      <c r="I117" s="139" t="s">
        <v>130</v>
      </c>
      <c r="J117" s="139" t="s">
        <v>132</v>
      </c>
      <c r="K117" s="139" t="s">
        <v>133</v>
      </c>
      <c r="L117" s="139" t="s">
        <v>134</v>
      </c>
    </row>
    <row r="118" spans="1:15" ht="14.1" customHeight="1">
      <c r="A118" s="89">
        <f t="shared" ref="A118:A129" si="12">$A$93</f>
        <v>46227</v>
      </c>
      <c r="B118" s="70">
        <f>'CHICLETS MASTER S2'!X28</f>
        <v>0.29166666666666669</v>
      </c>
      <c r="C118" s="71" t="s">
        <v>218</v>
      </c>
      <c r="D118" s="119" t="str">
        <f t="shared" ref="D118:D129" si="13">$D$116</f>
        <v>ORANGE COAST COLLEGE 1</v>
      </c>
      <c r="E118" s="71">
        <v>61</v>
      </c>
      <c r="F118" s="90" t="str">
        <f>B97</f>
        <v>ag_M2(W43)-COMMERCE</v>
      </c>
      <c r="G118" s="90">
        <v>9</v>
      </c>
      <c r="H118" s="90" t="str">
        <f>B98</f>
        <v>ag_M3(W27)-CORONA DEL MAR</v>
      </c>
      <c r="I118" s="90">
        <v>15</v>
      </c>
      <c r="J118" s="90"/>
      <c r="K118" s="90"/>
      <c r="L118" s="90" t="str">
        <f t="shared" ref="L118:L129" si="14">IF(E118="","",$L$15&amp;"-"&amp;TEXT(E118,"000"))</f>
        <v>16BX-061</v>
      </c>
      <c r="O118" s="62" t="str">
        <f t="shared" ref="O118:O129" si="15">$K$257&amp;C118</f>
        <v>ag_Group</v>
      </c>
    </row>
    <row r="119" spans="1:15" ht="14.1" customHeight="1">
      <c r="A119" s="89">
        <f t="shared" si="12"/>
        <v>46227</v>
      </c>
      <c r="B119" s="70">
        <f>'CHICLETS MASTER S2'!X29</f>
        <v>0.3263888888888889</v>
      </c>
      <c r="C119" s="71" t="s">
        <v>218</v>
      </c>
      <c r="D119" s="119" t="str">
        <f t="shared" si="13"/>
        <v>ORANGE COAST COLLEGE 1</v>
      </c>
      <c r="E119" s="71">
        <v>65</v>
      </c>
      <c r="F119" s="90" t="str">
        <f>C97</f>
        <v>ag_N2(W35)-ECA A</v>
      </c>
      <c r="G119" s="90">
        <v>10</v>
      </c>
      <c r="H119" s="90" t="str">
        <f>C98</f>
        <v>ag_N3(W28)-VANGUARD SILVER</v>
      </c>
      <c r="I119" s="90">
        <v>6</v>
      </c>
      <c r="J119" s="90"/>
      <c r="K119" s="90"/>
      <c r="L119" s="90" t="str">
        <f t="shared" si="14"/>
        <v>16BX-065</v>
      </c>
      <c r="O119" s="62" t="str">
        <f t="shared" si="15"/>
        <v>ag_Group</v>
      </c>
    </row>
    <row r="120" spans="1:15" ht="14.1" customHeight="1">
      <c r="A120" s="89">
        <f t="shared" si="12"/>
        <v>46227</v>
      </c>
      <c r="B120" s="70">
        <f>'CHICLETS MASTER S2'!X30</f>
        <v>0.36111111111111099</v>
      </c>
      <c r="C120" s="71" t="s">
        <v>218</v>
      </c>
      <c r="D120" s="119" t="str">
        <f t="shared" si="13"/>
        <v>ORANGE COAST COLLEGE 1</v>
      </c>
      <c r="E120" s="71">
        <v>69</v>
      </c>
      <c r="F120" s="90" t="str">
        <f>C101</f>
        <v>ag_S1(W60)-PALOS VERDES BLACK</v>
      </c>
      <c r="G120" s="90">
        <v>8.3000000000000007</v>
      </c>
      <c r="H120" s="90" t="str">
        <f>C102</f>
        <v>ag_S2(W54)-VIPER PIGEON</v>
      </c>
      <c r="I120" s="90">
        <v>8.4</v>
      </c>
      <c r="J120" s="90"/>
      <c r="K120" s="90"/>
      <c r="L120" s="90" t="str">
        <f t="shared" si="14"/>
        <v>16BX-069</v>
      </c>
      <c r="O120" s="62" t="str">
        <f t="shared" si="15"/>
        <v>ag_Group</v>
      </c>
    </row>
    <row r="121" spans="1:15" ht="14.1" customHeight="1">
      <c r="A121" s="89">
        <f t="shared" si="12"/>
        <v>46227</v>
      </c>
      <c r="B121" s="70">
        <f>'CHICLETS MASTER S2'!X31</f>
        <v>0.39583333333333398</v>
      </c>
      <c r="C121" s="71" t="s">
        <v>218</v>
      </c>
      <c r="D121" s="119" t="str">
        <f t="shared" si="13"/>
        <v>ORANGE COAST COLLEGE 1</v>
      </c>
      <c r="E121" s="71">
        <v>73</v>
      </c>
      <c r="F121" s="90" t="str">
        <f>B101</f>
        <v>ag_R1(W56)-PUGET SOUND</v>
      </c>
      <c r="G121" s="90">
        <v>9</v>
      </c>
      <c r="H121" s="90" t="str">
        <f>B102</f>
        <v>ag_R2(W58)-LOWPO</v>
      </c>
      <c r="I121" s="90">
        <v>16</v>
      </c>
      <c r="J121" s="90"/>
      <c r="K121" s="90"/>
      <c r="L121" s="90" t="str">
        <f t="shared" si="14"/>
        <v>16BX-073</v>
      </c>
      <c r="O121" s="62" t="str">
        <f t="shared" si="15"/>
        <v>ag_Group</v>
      </c>
    </row>
    <row r="122" spans="1:15" ht="14.1" customHeight="1">
      <c r="A122" s="89">
        <f t="shared" si="12"/>
        <v>46227</v>
      </c>
      <c r="B122" s="70">
        <f>'CHICLETS MASTER S2'!X32</f>
        <v>0.43055555555555602</v>
      </c>
      <c r="C122" s="71" t="s">
        <v>218</v>
      </c>
      <c r="D122" s="119" t="str">
        <f t="shared" si="13"/>
        <v>ORANGE COAST COLLEGE 1</v>
      </c>
      <c r="E122" s="71">
        <v>77</v>
      </c>
      <c r="F122" s="90" t="str">
        <f>B96</f>
        <v>ag_M1(W33)-CARLSBAD A</v>
      </c>
      <c r="G122" s="90">
        <v>11</v>
      </c>
      <c r="H122" s="90" t="str">
        <f>B98</f>
        <v>ag_M3(W27)-CORONA DEL MAR</v>
      </c>
      <c r="I122" s="90">
        <v>6</v>
      </c>
      <c r="J122" s="90"/>
      <c r="K122" s="90"/>
      <c r="L122" s="90" t="str">
        <f t="shared" si="14"/>
        <v>16BX-077</v>
      </c>
      <c r="O122" s="62" t="str">
        <f t="shared" si="15"/>
        <v>ag_Group</v>
      </c>
    </row>
    <row r="123" spans="1:15" ht="14.1" customHeight="1">
      <c r="A123" s="89">
        <f t="shared" si="12"/>
        <v>46227</v>
      </c>
      <c r="B123" s="70">
        <f>'CHICLETS MASTER S2'!X33</f>
        <v>0.46527777777777801</v>
      </c>
      <c r="C123" s="71" t="s">
        <v>218</v>
      </c>
      <c r="D123" s="119" t="str">
        <f t="shared" si="13"/>
        <v>ORANGE COAST COLLEGE 1</v>
      </c>
      <c r="E123" s="71">
        <v>81</v>
      </c>
      <c r="F123" s="90" t="str">
        <f>C96</f>
        <v>ag_N1(W41)-CT PREMIER</v>
      </c>
      <c r="G123" s="90">
        <v>10</v>
      </c>
      <c r="H123" s="90" t="str">
        <f>C98</f>
        <v>ag_N3(W28)-VANGUARD SILVER</v>
      </c>
      <c r="I123" s="90">
        <v>7</v>
      </c>
      <c r="J123" s="90"/>
      <c r="K123" s="90"/>
      <c r="L123" s="90" t="str">
        <f t="shared" si="14"/>
        <v>16BX-081</v>
      </c>
      <c r="O123" s="62" t="str">
        <f t="shared" si="15"/>
        <v>ag_Group</v>
      </c>
    </row>
    <row r="124" spans="1:15" ht="14.1" customHeight="1">
      <c r="A124" s="89">
        <f t="shared" si="12"/>
        <v>46227</v>
      </c>
      <c r="B124" s="70">
        <f>'CHICLETS MASTER S2'!X34</f>
        <v>0.5</v>
      </c>
      <c r="C124" s="71" t="s">
        <v>218</v>
      </c>
      <c r="D124" s="119" t="str">
        <f t="shared" si="13"/>
        <v>ORANGE COAST COLLEGE 1</v>
      </c>
      <c r="E124" s="71">
        <v>85</v>
      </c>
      <c r="F124" s="90" t="str">
        <f>C101</f>
        <v>ag_S1(W60)-PALOS VERDES BLACK</v>
      </c>
      <c r="G124" s="90">
        <v>15</v>
      </c>
      <c r="H124" s="90" t="str">
        <f>C103</f>
        <v>ag_S3(W50)-SLAP</v>
      </c>
      <c r="I124" s="90">
        <v>14</v>
      </c>
      <c r="J124" s="90"/>
      <c r="K124" s="90"/>
      <c r="L124" s="90" t="str">
        <f t="shared" si="14"/>
        <v>16BX-085</v>
      </c>
      <c r="O124" s="62" t="str">
        <f t="shared" si="15"/>
        <v>ag_Group</v>
      </c>
    </row>
    <row r="125" spans="1:15" ht="14.1" customHeight="1">
      <c r="A125" s="89">
        <f t="shared" si="12"/>
        <v>46227</v>
      </c>
      <c r="B125" s="70">
        <f>'CHICLETS MASTER S2'!X35</f>
        <v>0.53472222222222199</v>
      </c>
      <c r="C125" s="71" t="s">
        <v>218</v>
      </c>
      <c r="D125" s="119" t="str">
        <f t="shared" si="13"/>
        <v>ORANGE COAST COLLEGE 1</v>
      </c>
      <c r="E125" s="71">
        <v>89</v>
      </c>
      <c r="F125" s="90" t="str">
        <f>B101</f>
        <v>ag_R1(W56)-PUGET SOUND</v>
      </c>
      <c r="G125" s="90">
        <v>7</v>
      </c>
      <c r="H125" s="90" t="str">
        <f>B103</f>
        <v>ag_R3(W49)-DAVIS WHITE</v>
      </c>
      <c r="I125" s="90">
        <v>4</v>
      </c>
      <c r="J125" s="90"/>
      <c r="K125" s="90"/>
      <c r="L125" s="90" t="str">
        <f t="shared" si="14"/>
        <v>16BX-089</v>
      </c>
      <c r="O125" s="62" t="str">
        <f t="shared" si="15"/>
        <v>ag_Group</v>
      </c>
    </row>
    <row r="126" spans="1:15" ht="14.1" customHeight="1">
      <c r="A126" s="89">
        <f t="shared" si="12"/>
        <v>46227</v>
      </c>
      <c r="B126" s="70">
        <f>'CHICLETS MASTER S2'!X36</f>
        <v>0.56944444444444497</v>
      </c>
      <c r="C126" s="71" t="s">
        <v>218</v>
      </c>
      <c r="D126" s="119" t="str">
        <f t="shared" si="13"/>
        <v>ORANGE COAST COLLEGE 1</v>
      </c>
      <c r="E126" s="71">
        <v>93</v>
      </c>
      <c r="F126" s="90" t="str">
        <f>B96</f>
        <v>ag_M1(W33)-CARLSBAD A</v>
      </c>
      <c r="G126" s="93">
        <v>13</v>
      </c>
      <c r="H126" s="90" t="str">
        <f>B97</f>
        <v>ag_M2(W43)-COMMERCE</v>
      </c>
      <c r="I126" s="90">
        <v>8</v>
      </c>
      <c r="J126" s="90"/>
      <c r="K126" s="90"/>
      <c r="L126" s="90" t="str">
        <f t="shared" si="14"/>
        <v>16BX-093</v>
      </c>
      <c r="O126" s="62" t="str">
        <f t="shared" si="15"/>
        <v>ag_Group</v>
      </c>
    </row>
    <row r="127" spans="1:15" ht="14.1" customHeight="1">
      <c r="A127" s="89">
        <f t="shared" si="12"/>
        <v>46227</v>
      </c>
      <c r="B127" s="70">
        <f>'CHICLETS MASTER S2'!X37</f>
        <v>0.60416666666666696</v>
      </c>
      <c r="C127" s="71" t="s">
        <v>218</v>
      </c>
      <c r="D127" s="119" t="str">
        <f t="shared" si="13"/>
        <v>ORANGE COAST COLLEGE 1</v>
      </c>
      <c r="E127" s="71">
        <v>97</v>
      </c>
      <c r="F127" s="90" t="str">
        <f>C96</f>
        <v>ag_N1(W41)-CT PREMIER</v>
      </c>
      <c r="G127" s="90">
        <v>10</v>
      </c>
      <c r="H127" s="90" t="str">
        <f>C97</f>
        <v>ag_N2(W35)-ECA A</v>
      </c>
      <c r="I127" s="90">
        <v>12</v>
      </c>
      <c r="J127" s="90"/>
      <c r="K127" s="90"/>
      <c r="L127" s="90" t="str">
        <f t="shared" si="14"/>
        <v>16BX-097</v>
      </c>
      <c r="O127" s="62" t="str">
        <f t="shared" si="15"/>
        <v>ag_Group</v>
      </c>
    </row>
    <row r="128" spans="1:15" ht="14.1" customHeight="1">
      <c r="A128" s="89">
        <f t="shared" si="12"/>
        <v>46227</v>
      </c>
      <c r="B128" s="70">
        <f>'CHICLETS MASTER S2'!X38</f>
        <v>0.63888888888888895</v>
      </c>
      <c r="C128" s="71" t="s">
        <v>218</v>
      </c>
      <c r="D128" s="119" t="str">
        <f t="shared" si="13"/>
        <v>ORANGE COAST COLLEGE 1</v>
      </c>
      <c r="E128" s="71">
        <v>101</v>
      </c>
      <c r="F128" s="90" t="str">
        <f>C102</f>
        <v>ag_S2(W54)-VIPER PIGEON</v>
      </c>
      <c r="G128" s="90">
        <v>12.3</v>
      </c>
      <c r="H128" s="90" t="str">
        <f>C103</f>
        <v>ag_S3(W50)-SLAP</v>
      </c>
      <c r="I128" s="90">
        <v>12.1</v>
      </c>
      <c r="J128" s="90"/>
      <c r="K128" s="90"/>
      <c r="L128" s="90" t="str">
        <f t="shared" si="14"/>
        <v>16BX-101</v>
      </c>
      <c r="O128" s="62" t="str">
        <f t="shared" si="15"/>
        <v>ag_Group</v>
      </c>
    </row>
    <row r="129" spans="1:15" ht="14.1" customHeight="1">
      <c r="A129" s="89">
        <f t="shared" si="12"/>
        <v>46227</v>
      </c>
      <c r="B129" s="70">
        <f>'CHICLETS MASTER S2'!X39</f>
        <v>0.67361111111111105</v>
      </c>
      <c r="C129" s="71" t="s">
        <v>218</v>
      </c>
      <c r="D129" s="119" t="str">
        <f t="shared" si="13"/>
        <v>ORANGE COAST COLLEGE 1</v>
      </c>
      <c r="E129" s="71">
        <v>105</v>
      </c>
      <c r="F129" s="90" t="str">
        <f>B102</f>
        <v>ag_R2(W58)-LOWPO</v>
      </c>
      <c r="G129" s="90">
        <v>7</v>
      </c>
      <c r="H129" s="90" t="str">
        <f>B103</f>
        <v>ag_R3(W49)-DAVIS WHITE</v>
      </c>
      <c r="I129" s="90">
        <v>6</v>
      </c>
      <c r="J129" s="90"/>
      <c r="K129" s="90"/>
      <c r="L129" s="90" t="str">
        <f t="shared" si="14"/>
        <v>16BX-105</v>
      </c>
      <c r="O129" s="62" t="str">
        <f t="shared" si="15"/>
        <v>ag_Group</v>
      </c>
    </row>
    <row r="130" spans="1:15" ht="14.1" customHeight="1">
      <c r="A130" s="75"/>
      <c r="B130" s="60" t="s">
        <v>139</v>
      </c>
      <c r="C130" s="60"/>
      <c r="D130" s="60"/>
      <c r="E130" s="60"/>
      <c r="F130" s="60"/>
      <c r="G130" s="64"/>
      <c r="H130" s="60"/>
      <c r="I130" s="60"/>
      <c r="J130" s="60"/>
      <c r="K130" s="60"/>
      <c r="L130" s="60"/>
    </row>
    <row r="131" spans="1:15" ht="14.1" customHeight="1">
      <c r="A131" s="120" t="s">
        <v>633</v>
      </c>
      <c r="B131" s="60" t="s">
        <v>139</v>
      </c>
      <c r="C131" s="60"/>
      <c r="D131" s="60"/>
      <c r="E131" s="60"/>
      <c r="F131" s="60"/>
      <c r="G131" s="64"/>
      <c r="H131" s="60"/>
      <c r="I131" s="60"/>
      <c r="J131" s="60"/>
      <c r="K131" s="60"/>
      <c r="L131" s="60"/>
    </row>
    <row r="132" spans="1:15" ht="14.1" customHeight="1">
      <c r="A132" s="89">
        <f>$A$93</f>
        <v>46227</v>
      </c>
      <c r="B132" s="70">
        <f>'CHICLETS MASTER S2'!X42</f>
        <v>0.77777777777777801</v>
      </c>
      <c r="C132" s="71" t="s">
        <v>219</v>
      </c>
      <c r="D132" s="119" t="str">
        <f>$D$116</f>
        <v>ORANGE COAST COLLEGE 1</v>
      </c>
      <c r="E132" s="71">
        <v>109</v>
      </c>
      <c r="F132" s="90" t="s">
        <v>1392</v>
      </c>
      <c r="G132" s="90">
        <v>10</v>
      </c>
      <c r="H132" s="331" t="s">
        <v>1393</v>
      </c>
      <c r="I132" s="90">
        <v>8</v>
      </c>
      <c r="J132" s="90">
        <v>129</v>
      </c>
      <c r="K132" s="90">
        <v>134</v>
      </c>
      <c r="L132" s="90" t="str">
        <f>IF(E132="","",$L$15&amp;"-"&amp;TEXT(E132,"000"))</f>
        <v>16BX-109</v>
      </c>
      <c r="O132" s="62" t="str">
        <f>$K$257&amp;C132</f>
        <v>ag_Play-in</v>
      </c>
    </row>
    <row r="133" spans="1:15" ht="14.1" customHeight="1">
      <c r="A133" s="89">
        <f>$A$93</f>
        <v>46227</v>
      </c>
      <c r="B133" s="70">
        <f>'CHICLETS MASTER S2'!X43</f>
        <v>0.8125</v>
      </c>
      <c r="C133" s="71" t="s">
        <v>219</v>
      </c>
      <c r="D133" s="119" t="str">
        <f>$D$116</f>
        <v>ORANGE COAST COLLEGE 1</v>
      </c>
      <c r="E133" s="71">
        <v>113</v>
      </c>
      <c r="F133" s="90" t="s">
        <v>1394</v>
      </c>
      <c r="G133" s="90">
        <v>8</v>
      </c>
      <c r="H133" s="90" t="s">
        <v>1395</v>
      </c>
      <c r="I133" s="90">
        <v>3</v>
      </c>
      <c r="J133" s="90">
        <v>121</v>
      </c>
      <c r="K133" s="90">
        <v>126</v>
      </c>
      <c r="L133" s="90" t="str">
        <f>IF(E133="","",$L$15&amp;"-"&amp;TEXT(E133,"000"))</f>
        <v>16BX-113</v>
      </c>
      <c r="O133" s="62" t="str">
        <f>$K$257&amp;C133</f>
        <v>ag_Play-in</v>
      </c>
    </row>
    <row r="134" spans="1:15" ht="14.1" customHeight="1" thickBot="1">
      <c r="A134" s="78"/>
      <c r="B134" s="79"/>
      <c r="C134" s="60"/>
      <c r="D134" s="60"/>
      <c r="E134" s="60"/>
      <c r="F134" s="60" t="s">
        <v>418</v>
      </c>
      <c r="G134" s="64" t="s">
        <v>418</v>
      </c>
      <c r="H134" s="60" t="s">
        <v>418</v>
      </c>
      <c r="I134" s="60"/>
      <c r="J134" s="60"/>
      <c r="K134" s="60"/>
      <c r="L134" s="60"/>
    </row>
    <row r="135" spans="1:15" ht="14.1" customHeight="1" thickBot="1">
      <c r="A135" s="78"/>
      <c r="B135" s="79"/>
      <c r="C135" s="60"/>
      <c r="D135" s="68" t="str">
        <f>'CHICLETS MASTER S2'!$AN$27</f>
        <v>SAN JUAN HILLS HS</v>
      </c>
      <c r="E135" s="60"/>
      <c r="F135" s="60"/>
      <c r="G135" s="64"/>
      <c r="H135" s="60"/>
      <c r="I135" s="60"/>
      <c r="J135" s="60"/>
      <c r="K135" s="60"/>
      <c r="L135" s="60"/>
    </row>
    <row r="136" spans="1:15" ht="14.1" customHeight="1">
      <c r="A136" s="139" t="s">
        <v>124</v>
      </c>
      <c r="B136" s="139" t="s">
        <v>125</v>
      </c>
      <c r="C136" s="139" t="s">
        <v>126</v>
      </c>
      <c r="D136" s="139" t="s">
        <v>127</v>
      </c>
      <c r="E136" s="139" t="s">
        <v>128</v>
      </c>
      <c r="F136" s="139" t="s">
        <v>129</v>
      </c>
      <c r="G136" s="139" t="s">
        <v>130</v>
      </c>
      <c r="H136" s="139" t="s">
        <v>131</v>
      </c>
      <c r="I136" s="139" t="s">
        <v>130</v>
      </c>
      <c r="J136" s="139" t="s">
        <v>132</v>
      </c>
      <c r="K136" s="139" t="s">
        <v>133</v>
      </c>
      <c r="L136" s="139" t="s">
        <v>134</v>
      </c>
    </row>
    <row r="137" spans="1:15" ht="14.1" customHeight="1">
      <c r="A137" s="89">
        <f t="shared" ref="A137:A148" si="16">$A$93</f>
        <v>46227</v>
      </c>
      <c r="B137" s="70">
        <f>'CHICLETS MASTER S2'!X28</f>
        <v>0.29166666666666669</v>
      </c>
      <c r="C137" s="71" t="s">
        <v>218</v>
      </c>
      <c r="D137" s="119" t="str">
        <f t="shared" ref="D137:D148" si="17">$D$135</f>
        <v>SAN JUAN HILLS HS</v>
      </c>
      <c r="E137" s="71">
        <v>62</v>
      </c>
      <c r="F137" s="90" t="str">
        <f>D97</f>
        <v>ag_O2(W42)-NORCAL BLACK</v>
      </c>
      <c r="G137" s="90">
        <v>12</v>
      </c>
      <c r="H137" s="90" t="str">
        <f>D98</f>
        <v>ag_O3(W36)-SD SHORES GOLD</v>
      </c>
      <c r="I137" s="93">
        <v>4</v>
      </c>
      <c r="J137" s="90"/>
      <c r="K137" s="90"/>
      <c r="L137" s="90" t="str">
        <f t="shared" ref="L137:L148" si="18">IF(E137="","",$L$15&amp;"-"&amp;TEXT(E137,"000"))</f>
        <v>16BX-062</v>
      </c>
      <c r="O137" s="62" t="str">
        <f t="shared" ref="O137:O148" si="19">$K$257&amp;C137</f>
        <v>ag_Group</v>
      </c>
    </row>
    <row r="138" spans="1:15" ht="14.1" customHeight="1">
      <c r="A138" s="89">
        <f t="shared" si="16"/>
        <v>46227</v>
      </c>
      <c r="B138" s="70">
        <f>'CHICLETS MASTER S2'!X29</f>
        <v>0.3263888888888889</v>
      </c>
      <c r="C138" s="71" t="s">
        <v>218</v>
      </c>
      <c r="D138" s="119" t="str">
        <f t="shared" si="17"/>
        <v>SAN JUAN HILLS HS</v>
      </c>
      <c r="E138" s="71">
        <v>66</v>
      </c>
      <c r="F138" s="90" t="str">
        <f>E97</f>
        <v>ag_P2(W34)-SAN CLEMENTE RED</v>
      </c>
      <c r="G138" s="90">
        <v>13</v>
      </c>
      <c r="H138" s="90" t="str">
        <f>E98</f>
        <v>ag_P3(W44)-DIABLO ALLIANCE</v>
      </c>
      <c r="I138" s="90">
        <v>8</v>
      </c>
      <c r="J138" s="90"/>
      <c r="K138" s="90"/>
      <c r="L138" s="90" t="str">
        <f t="shared" si="18"/>
        <v>16BX-066</v>
      </c>
      <c r="O138" s="62" t="str">
        <f t="shared" si="19"/>
        <v>ag_Group</v>
      </c>
    </row>
    <row r="139" spans="1:15" ht="14.1" customHeight="1">
      <c r="A139" s="89">
        <f t="shared" si="16"/>
        <v>46227</v>
      </c>
      <c r="B139" s="70">
        <f>'CHICLETS MASTER S2'!X30</f>
        <v>0.36111111111111099</v>
      </c>
      <c r="C139" s="71" t="s">
        <v>218</v>
      </c>
      <c r="D139" s="119" t="str">
        <f t="shared" si="17"/>
        <v>SAN JUAN HILLS HS</v>
      </c>
      <c r="E139" s="71">
        <v>70</v>
      </c>
      <c r="F139" s="90" t="str">
        <f>E101</f>
        <v>ag_U1(W52)-SAN JOSE EXPRESS BLUE</v>
      </c>
      <c r="G139" s="90">
        <v>6</v>
      </c>
      <c r="H139" s="90" t="str">
        <f>E102</f>
        <v>ag_U2(W55)-SHARKS</v>
      </c>
      <c r="I139" s="90">
        <v>7</v>
      </c>
      <c r="J139" s="90"/>
      <c r="K139" s="90"/>
      <c r="L139" s="90" t="str">
        <f t="shared" si="18"/>
        <v>16BX-070</v>
      </c>
      <c r="O139" s="62" t="str">
        <f t="shared" si="19"/>
        <v>ag_Group</v>
      </c>
    </row>
    <row r="140" spans="1:15" ht="14.1" customHeight="1">
      <c r="A140" s="89">
        <f t="shared" si="16"/>
        <v>46227</v>
      </c>
      <c r="B140" s="70">
        <f>'CHICLETS MASTER S2'!X31</f>
        <v>0.39583333333333398</v>
      </c>
      <c r="C140" s="71" t="s">
        <v>218</v>
      </c>
      <c r="D140" s="119" t="str">
        <f t="shared" si="17"/>
        <v>SAN JUAN HILLS HS</v>
      </c>
      <c r="E140" s="71">
        <v>74</v>
      </c>
      <c r="F140" s="90" t="str">
        <f>D101</f>
        <v>ag_T1(W51)-TEXAS THUNDER BLUE</v>
      </c>
      <c r="G140" s="90">
        <v>2</v>
      </c>
      <c r="H140" s="90" t="str">
        <f>D102</f>
        <v>ag_T2(W59)-STANFORD BLACK</v>
      </c>
      <c r="I140" s="90">
        <v>14</v>
      </c>
      <c r="J140" s="90"/>
      <c r="K140" s="90"/>
      <c r="L140" s="90" t="str">
        <f t="shared" si="18"/>
        <v>16BX-074</v>
      </c>
      <c r="O140" s="62" t="str">
        <f t="shared" si="19"/>
        <v>ag_Group</v>
      </c>
    </row>
    <row r="141" spans="1:15" ht="14.1" customHeight="1">
      <c r="A141" s="89">
        <f t="shared" si="16"/>
        <v>46227</v>
      </c>
      <c r="B141" s="70">
        <f>'CHICLETS MASTER S2'!X32</f>
        <v>0.43055555555555602</v>
      </c>
      <c r="C141" s="71" t="s">
        <v>218</v>
      </c>
      <c r="D141" s="119" t="str">
        <f t="shared" si="17"/>
        <v>SAN JUAN HILLS HS</v>
      </c>
      <c r="E141" s="71">
        <v>78</v>
      </c>
      <c r="F141" s="90" t="str">
        <f>D96</f>
        <v>ag_O1(W25)-ORWP</v>
      </c>
      <c r="G141" s="97">
        <v>13.3</v>
      </c>
      <c r="H141" s="90" t="str">
        <f>D98</f>
        <v>ag_O3(W36)-SD SHORES GOLD</v>
      </c>
      <c r="I141" s="97">
        <v>13.4</v>
      </c>
      <c r="J141" s="90"/>
      <c r="K141" s="90"/>
      <c r="L141" s="90" t="str">
        <f t="shared" si="18"/>
        <v>16BX-078</v>
      </c>
      <c r="O141" s="62" t="str">
        <f t="shared" si="19"/>
        <v>ag_Group</v>
      </c>
    </row>
    <row r="142" spans="1:15" ht="14.1" customHeight="1">
      <c r="A142" s="89">
        <f t="shared" si="16"/>
        <v>46227</v>
      </c>
      <c r="B142" s="70">
        <f>'CHICLETS MASTER S2'!X33</f>
        <v>0.46527777777777801</v>
      </c>
      <c r="C142" s="71" t="s">
        <v>218</v>
      </c>
      <c r="D142" s="119" t="str">
        <f t="shared" si="17"/>
        <v>SAN JUAN HILLS HS</v>
      </c>
      <c r="E142" s="71">
        <v>82</v>
      </c>
      <c r="F142" s="90" t="str">
        <f>E96</f>
        <v>ag_P1(W26)-CHAWP WHITE</v>
      </c>
      <c r="G142" s="90">
        <v>11</v>
      </c>
      <c r="H142" s="90" t="str">
        <f>E98</f>
        <v>ag_P3(W44)-DIABLO ALLIANCE</v>
      </c>
      <c r="I142" s="90">
        <v>7</v>
      </c>
      <c r="J142" s="90"/>
      <c r="K142" s="90"/>
      <c r="L142" s="90" t="str">
        <f t="shared" si="18"/>
        <v>16BX-082</v>
      </c>
      <c r="O142" s="62" t="str">
        <f t="shared" si="19"/>
        <v>ag_Group</v>
      </c>
    </row>
    <row r="143" spans="1:15" ht="14.1" customHeight="1">
      <c r="A143" s="89">
        <f t="shared" si="16"/>
        <v>46227</v>
      </c>
      <c r="B143" s="70">
        <f>'CHICLETS MASTER S2'!X34</f>
        <v>0.5</v>
      </c>
      <c r="C143" s="71" t="s">
        <v>218</v>
      </c>
      <c r="D143" s="119" t="str">
        <f t="shared" si="17"/>
        <v>SAN JUAN HILLS HS</v>
      </c>
      <c r="E143" s="71">
        <v>86</v>
      </c>
      <c r="F143" s="90" t="str">
        <f>E101</f>
        <v>ag_U1(W52)-SAN JOSE EXPRESS BLUE</v>
      </c>
      <c r="G143" s="90">
        <v>5</v>
      </c>
      <c r="H143" s="90" t="str">
        <f>E103</f>
        <v>ag_U3(W57)-ALAMEDA</v>
      </c>
      <c r="I143" s="90">
        <v>11</v>
      </c>
      <c r="J143" s="90"/>
      <c r="K143" s="90"/>
      <c r="L143" s="90" t="str">
        <f t="shared" si="18"/>
        <v>16BX-086</v>
      </c>
      <c r="O143" s="62" t="str">
        <f t="shared" si="19"/>
        <v>ag_Group</v>
      </c>
    </row>
    <row r="144" spans="1:15" ht="14.1" customHeight="1">
      <c r="A144" s="89">
        <f t="shared" si="16"/>
        <v>46227</v>
      </c>
      <c r="B144" s="70">
        <f>'CHICLETS MASTER S2'!X35</f>
        <v>0.53472222222222199</v>
      </c>
      <c r="C144" s="71" t="s">
        <v>218</v>
      </c>
      <c r="D144" s="119" t="str">
        <f t="shared" si="17"/>
        <v>SAN JUAN HILLS HS</v>
      </c>
      <c r="E144" s="71">
        <v>90</v>
      </c>
      <c r="F144" s="90" t="str">
        <f>D101</f>
        <v>ag_T1(W51)-TEXAS THUNDER BLUE</v>
      </c>
      <c r="G144" s="90">
        <v>6</v>
      </c>
      <c r="H144" s="90" t="str">
        <f>D103</f>
        <v>ag_T3(W53)-SOUTH COAST RED</v>
      </c>
      <c r="I144" s="90">
        <v>11</v>
      </c>
      <c r="J144" s="90"/>
      <c r="K144" s="90"/>
      <c r="L144" s="90" t="str">
        <f t="shared" si="18"/>
        <v>16BX-090</v>
      </c>
      <c r="O144" s="62" t="str">
        <f t="shared" si="19"/>
        <v>ag_Group</v>
      </c>
    </row>
    <row r="145" spans="1:15" ht="14.1" customHeight="1">
      <c r="A145" s="89">
        <f t="shared" si="16"/>
        <v>46227</v>
      </c>
      <c r="B145" s="70">
        <f>'CHICLETS MASTER S2'!X36</f>
        <v>0.56944444444444497</v>
      </c>
      <c r="C145" s="71" t="s">
        <v>218</v>
      </c>
      <c r="D145" s="119" t="str">
        <f t="shared" si="17"/>
        <v>SAN JUAN HILLS HS</v>
      </c>
      <c r="E145" s="71">
        <v>94</v>
      </c>
      <c r="F145" s="90" t="str">
        <f>D96</f>
        <v>ag_O1(W25)-ORWP</v>
      </c>
      <c r="G145" s="90">
        <v>11</v>
      </c>
      <c r="H145" s="90" t="str">
        <f>D97</f>
        <v>ag_O2(W42)-NORCAL BLACK</v>
      </c>
      <c r="I145" s="90">
        <v>12</v>
      </c>
      <c r="J145" s="90"/>
      <c r="K145" s="90"/>
      <c r="L145" s="90" t="str">
        <f t="shared" si="18"/>
        <v>16BX-094</v>
      </c>
      <c r="O145" s="62" t="str">
        <f t="shared" si="19"/>
        <v>ag_Group</v>
      </c>
    </row>
    <row r="146" spans="1:15" ht="14.1" customHeight="1">
      <c r="A146" s="89">
        <f t="shared" si="16"/>
        <v>46227</v>
      </c>
      <c r="B146" s="70">
        <f>'CHICLETS MASTER S2'!X37</f>
        <v>0.60416666666666696</v>
      </c>
      <c r="C146" s="71" t="s">
        <v>218</v>
      </c>
      <c r="D146" s="119" t="str">
        <f t="shared" si="17"/>
        <v>SAN JUAN HILLS HS</v>
      </c>
      <c r="E146" s="71">
        <v>98</v>
      </c>
      <c r="F146" s="90" t="str">
        <f>E96</f>
        <v>ag_P1(W26)-CHAWP WHITE</v>
      </c>
      <c r="G146" s="90">
        <v>8</v>
      </c>
      <c r="H146" s="90" t="str">
        <f>E97</f>
        <v>ag_P2(W34)-SAN CLEMENTE RED</v>
      </c>
      <c r="I146" s="90">
        <v>11</v>
      </c>
      <c r="J146" s="90"/>
      <c r="K146" s="90"/>
      <c r="L146" s="90" t="str">
        <f t="shared" si="18"/>
        <v>16BX-098</v>
      </c>
      <c r="O146" s="62" t="str">
        <f t="shared" si="19"/>
        <v>ag_Group</v>
      </c>
    </row>
    <row r="147" spans="1:15" ht="14.1" customHeight="1">
      <c r="A147" s="89">
        <f t="shared" si="16"/>
        <v>46227</v>
      </c>
      <c r="B147" s="70">
        <f>'CHICLETS MASTER S2'!X38</f>
        <v>0.63888888888888895</v>
      </c>
      <c r="C147" s="71" t="s">
        <v>218</v>
      </c>
      <c r="D147" s="119" t="str">
        <f t="shared" si="17"/>
        <v>SAN JUAN HILLS HS</v>
      </c>
      <c r="E147" s="71">
        <v>102</v>
      </c>
      <c r="F147" s="90" t="str">
        <f>E102</f>
        <v>ag_U2(W55)-SHARKS</v>
      </c>
      <c r="G147" s="90">
        <v>9</v>
      </c>
      <c r="H147" s="90" t="str">
        <f>E103</f>
        <v>ag_U3(W57)-ALAMEDA</v>
      </c>
      <c r="I147" s="90">
        <v>12</v>
      </c>
      <c r="J147" s="90"/>
      <c r="K147" s="90"/>
      <c r="L147" s="90" t="str">
        <f t="shared" si="18"/>
        <v>16BX-102</v>
      </c>
      <c r="O147" s="62" t="str">
        <f t="shared" si="19"/>
        <v>ag_Group</v>
      </c>
    </row>
    <row r="148" spans="1:15" ht="14.1" customHeight="1">
      <c r="A148" s="89">
        <f t="shared" si="16"/>
        <v>46227</v>
      </c>
      <c r="B148" s="70">
        <f>'CHICLETS MASTER S2'!X39</f>
        <v>0.67361111111111105</v>
      </c>
      <c r="C148" s="71" t="s">
        <v>218</v>
      </c>
      <c r="D148" s="119" t="str">
        <f t="shared" si="17"/>
        <v>SAN JUAN HILLS HS</v>
      </c>
      <c r="E148" s="71">
        <v>106</v>
      </c>
      <c r="F148" s="90" t="str">
        <f>D102</f>
        <v>ag_T2(W59)-STANFORD BLACK</v>
      </c>
      <c r="G148" s="90">
        <v>5.2</v>
      </c>
      <c r="H148" s="90" t="str">
        <f>D103</f>
        <v>ag_T3(W53)-SOUTH COAST RED</v>
      </c>
      <c r="I148" s="90">
        <v>5.4</v>
      </c>
      <c r="J148" s="90"/>
      <c r="K148" s="90"/>
      <c r="L148" s="90" t="str">
        <f t="shared" si="18"/>
        <v>16BX-106</v>
      </c>
      <c r="O148" s="62" t="str">
        <f t="shared" si="19"/>
        <v>ag_Group</v>
      </c>
    </row>
    <row r="149" spans="1:15" ht="14.1" customHeight="1">
      <c r="A149" s="75"/>
      <c r="B149" s="60" t="s">
        <v>139</v>
      </c>
      <c r="C149" s="60"/>
      <c r="D149" s="60"/>
      <c r="E149" s="60"/>
      <c r="F149" s="60"/>
      <c r="G149" s="64"/>
      <c r="H149" s="60"/>
      <c r="I149" s="60"/>
      <c r="J149" s="60"/>
      <c r="K149" s="60"/>
      <c r="L149" s="60"/>
    </row>
    <row r="150" spans="1:15" ht="14.1" customHeight="1">
      <c r="A150" s="120" t="s">
        <v>633</v>
      </c>
      <c r="B150" s="60" t="s">
        <v>139</v>
      </c>
      <c r="C150" s="60"/>
      <c r="D150" s="60"/>
      <c r="E150" s="60"/>
      <c r="F150" s="60"/>
      <c r="G150" s="64"/>
      <c r="H150" s="60"/>
      <c r="I150" s="60"/>
      <c r="J150" s="60"/>
      <c r="K150" s="60"/>
      <c r="L150" s="60"/>
    </row>
    <row r="151" spans="1:15" ht="14.1" customHeight="1">
      <c r="A151" s="89">
        <f>$A$93</f>
        <v>46227</v>
      </c>
      <c r="B151" s="70">
        <f>'CHICLETS MASTER S2'!X42</f>
        <v>0.77777777777777801</v>
      </c>
      <c r="C151" s="71" t="s">
        <v>219</v>
      </c>
      <c r="D151" s="119" t="str">
        <f>$D$135</f>
        <v>SAN JUAN HILLS HS</v>
      </c>
      <c r="E151" s="71">
        <v>110</v>
      </c>
      <c r="F151" s="90" t="s">
        <v>1396</v>
      </c>
      <c r="G151" s="90">
        <v>7.3</v>
      </c>
      <c r="H151" s="90" t="s">
        <v>1397</v>
      </c>
      <c r="I151" s="90">
        <v>7.2</v>
      </c>
      <c r="J151" s="90">
        <v>117</v>
      </c>
      <c r="K151" s="90">
        <v>138</v>
      </c>
      <c r="L151" s="90" t="str">
        <f>IF(E151="","",$L$15&amp;"-"&amp;TEXT(E151,"000"))</f>
        <v>16BX-110</v>
      </c>
      <c r="O151" s="62" t="str">
        <f>$K$257&amp;C151</f>
        <v>ag_Play-in</v>
      </c>
    </row>
    <row r="152" spans="1:15" ht="14.1" customHeight="1">
      <c r="A152" s="89">
        <f>$A$93</f>
        <v>46227</v>
      </c>
      <c r="B152" s="70">
        <f>'CHICLETS MASTER S2'!X43</f>
        <v>0.8125</v>
      </c>
      <c r="C152" s="71" t="s">
        <v>219</v>
      </c>
      <c r="D152" s="119" t="str">
        <f>$D$135</f>
        <v>SAN JUAN HILLS HS</v>
      </c>
      <c r="E152" s="71">
        <v>114</v>
      </c>
      <c r="F152" s="90" t="s">
        <v>1398</v>
      </c>
      <c r="G152" s="90">
        <v>6</v>
      </c>
      <c r="H152" s="90" t="s">
        <v>1399</v>
      </c>
      <c r="I152" s="90">
        <v>7</v>
      </c>
      <c r="J152" s="90">
        <v>125</v>
      </c>
      <c r="K152" s="90">
        <v>130</v>
      </c>
      <c r="L152" s="90" t="str">
        <f>IF(E152="","",$L$15&amp;"-"&amp;TEXT(E152,"000"))</f>
        <v>16BX-114</v>
      </c>
      <c r="O152" s="62" t="str">
        <f>$K$257&amp;C152</f>
        <v>ag_Play-in</v>
      </c>
    </row>
    <row r="153" spans="1:15" ht="14.1" customHeight="1" thickBot="1">
      <c r="A153" s="78"/>
      <c r="B153" s="79"/>
      <c r="C153" s="60"/>
      <c r="D153" s="60"/>
      <c r="E153" s="60"/>
      <c r="F153" s="60" t="s">
        <v>418</v>
      </c>
      <c r="G153" s="64"/>
      <c r="H153" s="60" t="s">
        <v>418</v>
      </c>
      <c r="I153" s="60"/>
      <c r="J153" s="60"/>
      <c r="K153" s="60"/>
      <c r="L153" s="60"/>
    </row>
    <row r="154" spans="1:15" ht="14.1" customHeight="1" thickBot="1">
      <c r="B154" s="60"/>
      <c r="C154" s="60"/>
      <c r="D154" s="68" t="str">
        <f>'CHICLETS MASTER S2'!$AQ$27</f>
        <v>LONG BEACH CC 2</v>
      </c>
      <c r="F154" s="60"/>
      <c r="G154" s="64"/>
      <c r="H154" s="60"/>
      <c r="I154" s="60"/>
      <c r="J154" s="60"/>
      <c r="K154" s="60"/>
      <c r="L154" s="60"/>
    </row>
    <row r="155" spans="1:15" ht="14.1" customHeight="1">
      <c r="A155" s="139" t="s">
        <v>124</v>
      </c>
      <c r="B155" s="139" t="s">
        <v>125</v>
      </c>
      <c r="C155" s="139" t="s">
        <v>126</v>
      </c>
      <c r="D155" s="139" t="s">
        <v>127</v>
      </c>
      <c r="E155" s="139" t="s">
        <v>128</v>
      </c>
      <c r="F155" s="139" t="s">
        <v>129</v>
      </c>
      <c r="G155" s="139" t="s">
        <v>130</v>
      </c>
      <c r="H155" s="139" t="s">
        <v>131</v>
      </c>
      <c r="I155" s="139" t="s">
        <v>130</v>
      </c>
      <c r="J155" s="139" t="s">
        <v>132</v>
      </c>
      <c r="K155" s="139" t="s">
        <v>133</v>
      </c>
      <c r="L155" s="139" t="s">
        <v>134</v>
      </c>
    </row>
    <row r="156" spans="1:15" ht="14.1" customHeight="1">
      <c r="A156" s="89">
        <f t="shared" ref="A156:A167" si="20">$A$93</f>
        <v>46227</v>
      </c>
      <c r="B156" s="70">
        <f>'CHICLETS MASTER S2'!X28</f>
        <v>0.29166666666666669</v>
      </c>
      <c r="C156" s="71" t="s">
        <v>218</v>
      </c>
      <c r="D156" s="119" t="str">
        <f t="shared" ref="D156:D167" si="21">$D$154</f>
        <v>LONG BEACH CC 2</v>
      </c>
      <c r="E156" s="71">
        <v>63</v>
      </c>
      <c r="F156" s="91" t="str">
        <f>C112</f>
        <v>bz_S1(L40)-VEGAS PATRIOT</v>
      </c>
      <c r="G156" s="92">
        <v>14</v>
      </c>
      <c r="H156" s="91" t="str">
        <f>C113</f>
        <v>bz_S2(L46)-MESA</v>
      </c>
      <c r="I156" s="92">
        <v>6</v>
      </c>
      <c r="J156" s="91"/>
      <c r="K156" s="91"/>
      <c r="L156" s="91" t="str">
        <f t="shared" ref="L156:L167" si="22">IF(E156="","",$L$15&amp;"-"&amp;TEXT(E156,"000"))</f>
        <v>16BX-063</v>
      </c>
      <c r="O156" s="62" t="str">
        <f t="shared" ref="O156:O167" si="23">$L$257&amp;C156</f>
        <v>bz_Group</v>
      </c>
    </row>
    <row r="157" spans="1:15" ht="14.1" customHeight="1">
      <c r="A157" s="89">
        <f t="shared" si="20"/>
        <v>46227</v>
      </c>
      <c r="B157" s="70">
        <f>'CHICLETS MASTER S2'!X29</f>
        <v>0.3263888888888889</v>
      </c>
      <c r="C157" s="71" t="s">
        <v>218</v>
      </c>
      <c r="D157" s="119" t="str">
        <f t="shared" si="21"/>
        <v>LONG BEACH CC 2</v>
      </c>
      <c r="E157" s="71">
        <v>67</v>
      </c>
      <c r="F157" s="91" t="str">
        <f>B112</f>
        <v>bz_R1(L48)-BACK BAY</v>
      </c>
      <c r="G157" s="92">
        <v>9</v>
      </c>
      <c r="H157" s="91" t="str">
        <f>B113</f>
        <v>bz_R2(L38)-THIRD COAST AQUATICS</v>
      </c>
      <c r="I157" s="92">
        <v>0</v>
      </c>
      <c r="J157" s="91"/>
      <c r="K157" s="91"/>
      <c r="L157" s="91" t="str">
        <f t="shared" si="22"/>
        <v>16BX-067</v>
      </c>
      <c r="O157" s="62" t="str">
        <f t="shared" si="23"/>
        <v>bz_Group</v>
      </c>
    </row>
    <row r="158" spans="1:15" ht="14.1" customHeight="1">
      <c r="A158" s="89">
        <f t="shared" si="20"/>
        <v>46227</v>
      </c>
      <c r="B158" s="70">
        <f>'CHICLETS MASTER S2'!X30</f>
        <v>0.36111111111111099</v>
      </c>
      <c r="C158" s="71" t="s">
        <v>218</v>
      </c>
      <c r="D158" s="119" t="str">
        <f t="shared" si="21"/>
        <v>LONG BEACH CC 2</v>
      </c>
      <c r="E158" s="71">
        <v>71</v>
      </c>
      <c r="F158" s="91" t="str">
        <f>B108</f>
        <v>bz_M2(L59)-CIU BLUE</v>
      </c>
      <c r="G158" s="92">
        <v>10</v>
      </c>
      <c r="H158" s="91" t="str">
        <f>B109</f>
        <v>bz_M3(L51)-TROJAN GOLD</v>
      </c>
      <c r="I158" s="92">
        <v>8</v>
      </c>
      <c r="J158" s="91"/>
      <c r="K158" s="91"/>
      <c r="L158" s="91" t="str">
        <f t="shared" si="22"/>
        <v>16BX-071</v>
      </c>
      <c r="O158" s="62" t="str">
        <f t="shared" si="23"/>
        <v>bz_Group</v>
      </c>
    </row>
    <row r="159" spans="1:15" ht="14.1" customHeight="1">
      <c r="A159" s="89">
        <f t="shared" si="20"/>
        <v>46227</v>
      </c>
      <c r="B159" s="70">
        <f>'CHICLETS MASTER S2'!X31</f>
        <v>0.39583333333333398</v>
      </c>
      <c r="C159" s="71" t="s">
        <v>218</v>
      </c>
      <c r="D159" s="119" t="str">
        <f t="shared" si="21"/>
        <v>LONG BEACH CC 2</v>
      </c>
      <c r="E159" s="71">
        <v>75</v>
      </c>
      <c r="F159" s="91" t="str">
        <f>C108</f>
        <v>bz_N2(L55)-SHAQ BLUE</v>
      </c>
      <c r="G159" s="92">
        <v>8</v>
      </c>
      <c r="H159" s="91" t="str">
        <f>C109</f>
        <v>bz_N3(L52)-LA JOLLA UNITED C</v>
      </c>
      <c r="I159" s="92">
        <v>1</v>
      </c>
      <c r="J159" s="91"/>
      <c r="K159" s="91"/>
      <c r="L159" s="91" t="str">
        <f t="shared" si="22"/>
        <v>16BX-075</v>
      </c>
      <c r="O159" s="62" t="str">
        <f t="shared" si="23"/>
        <v>bz_Group</v>
      </c>
    </row>
    <row r="160" spans="1:15" ht="14.1" customHeight="1">
      <c r="A160" s="89">
        <f t="shared" si="20"/>
        <v>46227</v>
      </c>
      <c r="B160" s="70">
        <f>'CHICLETS MASTER S2'!X32</f>
        <v>0.43055555555555602</v>
      </c>
      <c r="C160" s="71" t="s">
        <v>218</v>
      </c>
      <c r="D160" s="119" t="str">
        <f t="shared" si="21"/>
        <v>LONG BEACH CC 2</v>
      </c>
      <c r="E160" s="71">
        <v>79</v>
      </c>
      <c r="F160" s="91" t="str">
        <f>C112</f>
        <v>bz_S1(L40)-VEGAS PATRIOT</v>
      </c>
      <c r="G160" s="92">
        <v>6</v>
      </c>
      <c r="H160" s="91" t="str">
        <f>C114</f>
        <v>bz_S3(L29)-PUNAHOU</v>
      </c>
      <c r="I160" s="92">
        <v>18</v>
      </c>
      <c r="J160" s="91"/>
      <c r="K160" s="91"/>
      <c r="L160" s="91" t="str">
        <f t="shared" si="22"/>
        <v>16BX-079</v>
      </c>
      <c r="O160" s="62" t="str">
        <f t="shared" si="23"/>
        <v>bz_Group</v>
      </c>
    </row>
    <row r="161" spans="1:15" ht="14.1" customHeight="1">
      <c r="A161" s="89">
        <f t="shared" si="20"/>
        <v>46227</v>
      </c>
      <c r="B161" s="70">
        <f>'CHICLETS MASTER S2'!X33</f>
        <v>0.46527777777777801</v>
      </c>
      <c r="C161" s="71" t="s">
        <v>218</v>
      </c>
      <c r="D161" s="119" t="str">
        <f t="shared" si="21"/>
        <v>LONG BEACH CC 2</v>
      </c>
      <c r="E161" s="71">
        <v>83</v>
      </c>
      <c r="F161" s="91" t="str">
        <f>B112</f>
        <v>bz_R1(L48)-BACK BAY</v>
      </c>
      <c r="G161" s="121">
        <v>6.3</v>
      </c>
      <c r="H161" s="91" t="str">
        <f>B114</f>
        <v>bz_R3(L30)-CENTRAL VALLEY UNITED</v>
      </c>
      <c r="I161" s="121">
        <v>6</v>
      </c>
      <c r="J161" s="91"/>
      <c r="K161" s="91"/>
      <c r="L161" s="91" t="str">
        <f t="shared" si="22"/>
        <v>16BX-083</v>
      </c>
      <c r="O161" s="62" t="str">
        <f t="shared" si="23"/>
        <v>bz_Group</v>
      </c>
    </row>
    <row r="162" spans="1:15" ht="14.1" customHeight="1">
      <c r="A162" s="89">
        <f t="shared" si="20"/>
        <v>46227</v>
      </c>
      <c r="B162" s="70">
        <f>'CHICLETS MASTER S2'!X34</f>
        <v>0.5</v>
      </c>
      <c r="C162" s="71" t="s">
        <v>218</v>
      </c>
      <c r="D162" s="119" t="str">
        <f t="shared" si="21"/>
        <v>LONG BEACH CC 2</v>
      </c>
      <c r="E162" s="71">
        <v>87</v>
      </c>
      <c r="F162" s="91" t="str">
        <f>B107</f>
        <v>bz_M1(L53)-ASPHALT GREEN</v>
      </c>
      <c r="G162" s="92">
        <v>9</v>
      </c>
      <c r="H162" s="91" t="str">
        <f>B109</f>
        <v>bz_M3(L51)-TROJAN GOLD</v>
      </c>
      <c r="I162" s="92">
        <v>7</v>
      </c>
      <c r="J162" s="91"/>
      <c r="K162" s="91"/>
      <c r="L162" s="91" t="str">
        <f t="shared" si="22"/>
        <v>16BX-087</v>
      </c>
      <c r="O162" s="62" t="str">
        <f t="shared" si="23"/>
        <v>bz_Group</v>
      </c>
    </row>
    <row r="163" spans="1:15" ht="14.1" customHeight="1">
      <c r="A163" s="89">
        <f t="shared" si="20"/>
        <v>46227</v>
      </c>
      <c r="B163" s="70">
        <f>'CHICLETS MASTER S2'!X35</f>
        <v>0.53472222222222199</v>
      </c>
      <c r="C163" s="71" t="s">
        <v>218</v>
      </c>
      <c r="D163" s="119" t="str">
        <f t="shared" si="21"/>
        <v>LONG BEACH CC 2</v>
      </c>
      <c r="E163" s="71">
        <v>91</v>
      </c>
      <c r="F163" s="91" t="str">
        <f>C107</f>
        <v>bz_N1(L57)-PRAETORIAN BLACK</v>
      </c>
      <c r="G163" s="92">
        <v>9</v>
      </c>
      <c r="H163" s="91" t="str">
        <f>C109</f>
        <v>bz_N3(L52)-LA JOLLA UNITED C</v>
      </c>
      <c r="I163" s="92">
        <v>6</v>
      </c>
      <c r="J163" s="91"/>
      <c r="K163" s="91"/>
      <c r="L163" s="91" t="str">
        <f t="shared" si="22"/>
        <v>16BX-091</v>
      </c>
      <c r="O163" s="62" t="str">
        <f t="shared" si="23"/>
        <v>bz_Group</v>
      </c>
    </row>
    <row r="164" spans="1:15" ht="14.1" customHeight="1">
      <c r="A164" s="89">
        <f t="shared" si="20"/>
        <v>46227</v>
      </c>
      <c r="B164" s="70">
        <f>'CHICLETS MASTER S2'!X36</f>
        <v>0.56944444444444497</v>
      </c>
      <c r="C164" s="71" t="s">
        <v>218</v>
      </c>
      <c r="D164" s="119" t="str">
        <f t="shared" si="21"/>
        <v>LONG BEACH CC 2</v>
      </c>
      <c r="E164" s="71">
        <v>95</v>
      </c>
      <c r="F164" s="91" t="str">
        <f>C113</f>
        <v>bz_S2(L46)-MESA</v>
      </c>
      <c r="G164" s="92">
        <v>8</v>
      </c>
      <c r="H164" s="91" t="str">
        <f>C114</f>
        <v>bz_S3(L29)-PUNAHOU</v>
      </c>
      <c r="I164" s="92">
        <v>18</v>
      </c>
      <c r="J164" s="91"/>
      <c r="K164" s="91"/>
      <c r="L164" s="91" t="str">
        <f t="shared" si="22"/>
        <v>16BX-095</v>
      </c>
      <c r="O164" s="62" t="str">
        <f t="shared" si="23"/>
        <v>bz_Group</v>
      </c>
    </row>
    <row r="165" spans="1:15" ht="14.1" customHeight="1">
      <c r="A165" s="89">
        <f t="shared" si="20"/>
        <v>46227</v>
      </c>
      <c r="B165" s="70">
        <f>'CHICLETS MASTER S2'!X37</f>
        <v>0.60416666666666696</v>
      </c>
      <c r="C165" s="71" t="s">
        <v>218</v>
      </c>
      <c r="D165" s="119" t="str">
        <f t="shared" si="21"/>
        <v>LONG BEACH CC 2</v>
      </c>
      <c r="E165" s="71">
        <v>99</v>
      </c>
      <c r="F165" s="91" t="str">
        <f>B113</f>
        <v>bz_R2(L38)-THIRD COAST AQUATICS</v>
      </c>
      <c r="G165" s="92">
        <v>4</v>
      </c>
      <c r="H165" s="91" t="str">
        <f>B114</f>
        <v>bz_R3(L30)-CENTRAL VALLEY UNITED</v>
      </c>
      <c r="I165" s="92">
        <v>13</v>
      </c>
      <c r="J165" s="91"/>
      <c r="K165" s="91"/>
      <c r="L165" s="91" t="str">
        <f t="shared" si="22"/>
        <v>16BX-099</v>
      </c>
      <c r="O165" s="62" t="str">
        <f t="shared" si="23"/>
        <v>bz_Group</v>
      </c>
    </row>
    <row r="166" spans="1:15" ht="14.1" customHeight="1">
      <c r="A166" s="89">
        <f t="shared" si="20"/>
        <v>46227</v>
      </c>
      <c r="B166" s="70">
        <f>'CHICLETS MASTER S2'!X38</f>
        <v>0.63888888888888895</v>
      </c>
      <c r="C166" s="71" t="s">
        <v>218</v>
      </c>
      <c r="D166" s="119" t="str">
        <f t="shared" si="21"/>
        <v>LONG BEACH CC 2</v>
      </c>
      <c r="E166" s="71">
        <v>103</v>
      </c>
      <c r="F166" s="91" t="str">
        <f>B107</f>
        <v>bz_M1(L53)-ASPHALT GREEN</v>
      </c>
      <c r="G166" s="92">
        <v>11</v>
      </c>
      <c r="H166" s="91" t="str">
        <f>B108</f>
        <v>bz_M2(L59)-CIU BLUE</v>
      </c>
      <c r="I166" s="92">
        <v>7</v>
      </c>
      <c r="J166" s="91"/>
      <c r="K166" s="91"/>
      <c r="L166" s="91" t="str">
        <f t="shared" si="22"/>
        <v>16BX-103</v>
      </c>
      <c r="O166" s="62" t="str">
        <f t="shared" si="23"/>
        <v>bz_Group</v>
      </c>
    </row>
    <row r="167" spans="1:15" ht="14.1" customHeight="1">
      <c r="A167" s="89">
        <f t="shared" si="20"/>
        <v>46227</v>
      </c>
      <c r="B167" s="70">
        <f>'CHICLETS MASTER S2'!X39</f>
        <v>0.67361111111111105</v>
      </c>
      <c r="C167" s="71" t="s">
        <v>218</v>
      </c>
      <c r="D167" s="119" t="str">
        <f t="shared" si="21"/>
        <v>LONG BEACH CC 2</v>
      </c>
      <c r="E167" s="71">
        <v>107</v>
      </c>
      <c r="F167" s="91" t="str">
        <f>C107</f>
        <v>bz_N1(L57)-PRAETORIAN BLACK</v>
      </c>
      <c r="G167" s="92">
        <v>10</v>
      </c>
      <c r="H167" s="91" t="str">
        <f>C108</f>
        <v>bz_N2(L55)-SHAQ BLUE</v>
      </c>
      <c r="I167" s="92">
        <v>8</v>
      </c>
      <c r="J167" s="91"/>
      <c r="K167" s="91"/>
      <c r="L167" s="91" t="str">
        <f t="shared" si="22"/>
        <v>16BX-107</v>
      </c>
      <c r="O167" s="62" t="str">
        <f t="shared" si="23"/>
        <v>bz_Group</v>
      </c>
    </row>
    <row r="168" spans="1:15" ht="14.1" customHeight="1">
      <c r="A168" s="75"/>
      <c r="B168" s="60" t="s">
        <v>139</v>
      </c>
      <c r="C168" s="60"/>
      <c r="D168" s="60"/>
      <c r="E168" s="60"/>
      <c r="F168" s="60"/>
      <c r="G168" s="64"/>
      <c r="H168" s="60"/>
      <c r="I168" s="60"/>
      <c r="J168" s="60"/>
      <c r="K168" s="60"/>
      <c r="L168" s="60"/>
    </row>
    <row r="169" spans="1:15" ht="14.1" customHeight="1">
      <c r="A169" s="75"/>
      <c r="B169" s="60" t="s">
        <v>139</v>
      </c>
      <c r="C169" s="60"/>
      <c r="D169" s="60"/>
      <c r="E169" s="60"/>
      <c r="F169" s="60"/>
      <c r="G169" s="64"/>
      <c r="H169" s="60"/>
      <c r="I169" s="60"/>
      <c r="J169" s="60"/>
      <c r="K169" s="60"/>
      <c r="L169" s="60"/>
    </row>
    <row r="170" spans="1:15" ht="14.1" customHeight="1">
      <c r="A170" s="89">
        <f>$A$93</f>
        <v>46227</v>
      </c>
      <c r="B170" s="70">
        <f>'CHICLETS MASTER S2'!X42</f>
        <v>0.77777777777777801</v>
      </c>
      <c r="C170" s="71" t="s">
        <v>219</v>
      </c>
      <c r="D170" s="119" t="str">
        <f>$D$154</f>
        <v>LONG BEACH CC 2</v>
      </c>
      <c r="E170" s="71">
        <v>111</v>
      </c>
      <c r="F170" s="91" t="s">
        <v>1400</v>
      </c>
      <c r="G170" s="92">
        <v>13</v>
      </c>
      <c r="H170" s="91" t="s">
        <v>1401</v>
      </c>
      <c r="I170" s="92">
        <v>7</v>
      </c>
      <c r="J170" s="91">
        <v>131</v>
      </c>
      <c r="K170" s="91">
        <v>136</v>
      </c>
      <c r="L170" s="91" t="str">
        <f>IF(E170="","",$L$15&amp;"-"&amp;TEXT(E170,"000"))</f>
        <v>16BX-111</v>
      </c>
      <c r="O170" s="62" t="str">
        <f>$L$257&amp;C170</f>
        <v>bz_Play-in</v>
      </c>
    </row>
    <row r="171" spans="1:15" ht="14.1" customHeight="1">
      <c r="A171" s="89">
        <f>$A$93</f>
        <v>46227</v>
      </c>
      <c r="B171" s="70">
        <f>'CHICLETS MASTER S2'!X43</f>
        <v>0.8125</v>
      </c>
      <c r="C171" s="71" t="s">
        <v>219</v>
      </c>
      <c r="D171" s="119" t="str">
        <f>$D$154</f>
        <v>LONG BEACH CC 2</v>
      </c>
      <c r="E171" s="71">
        <v>115</v>
      </c>
      <c r="F171" s="91" t="s">
        <v>1402</v>
      </c>
      <c r="G171" s="92">
        <v>8</v>
      </c>
      <c r="H171" s="91" t="s">
        <v>1403</v>
      </c>
      <c r="I171" s="92">
        <v>10</v>
      </c>
      <c r="J171" s="91">
        <v>123</v>
      </c>
      <c r="K171" s="91">
        <v>128</v>
      </c>
      <c r="L171" s="91" t="str">
        <f>IF(E171="","",$L$15&amp;"-"&amp;TEXT(E171,"000"))</f>
        <v>16BX-115</v>
      </c>
      <c r="O171" s="62" t="str">
        <f>$L$257&amp;C171</f>
        <v>bz_Play-in</v>
      </c>
    </row>
    <row r="172" spans="1:15" ht="14.1" customHeight="1" thickBot="1">
      <c r="A172" s="78"/>
      <c r="B172" s="79"/>
      <c r="C172" s="60"/>
      <c r="D172" s="60"/>
      <c r="E172" s="60"/>
      <c r="F172" s="60" t="s">
        <v>418</v>
      </c>
      <c r="G172" s="64" t="s">
        <v>418</v>
      </c>
      <c r="H172" s="60" t="s">
        <v>418</v>
      </c>
      <c r="I172" s="60"/>
      <c r="J172" s="60"/>
      <c r="K172" s="60"/>
      <c r="L172" s="60"/>
    </row>
    <row r="173" spans="1:15" ht="14.1" customHeight="1" thickBot="1">
      <c r="A173" s="60"/>
      <c r="B173" s="60"/>
      <c r="C173" s="60"/>
      <c r="D173" s="68" t="str">
        <f>'CHICLETS MASTER S2'!$AP$27</f>
        <v>EDISON HS</v>
      </c>
      <c r="F173" s="60"/>
      <c r="G173" s="64"/>
      <c r="H173" s="60"/>
      <c r="I173" s="60"/>
    </row>
    <row r="174" spans="1:15" ht="14.1" customHeight="1">
      <c r="A174" s="139" t="s">
        <v>124</v>
      </c>
      <c r="B174" s="139" t="s">
        <v>125</v>
      </c>
      <c r="C174" s="139" t="s">
        <v>126</v>
      </c>
      <c r="D174" s="139" t="s">
        <v>127</v>
      </c>
      <c r="E174" s="139" t="s">
        <v>128</v>
      </c>
      <c r="F174" s="139" t="s">
        <v>129</v>
      </c>
      <c r="G174" s="139" t="s">
        <v>130</v>
      </c>
      <c r="H174" s="139" t="s">
        <v>131</v>
      </c>
      <c r="I174" s="139" t="s">
        <v>130</v>
      </c>
      <c r="J174" s="139" t="s">
        <v>132</v>
      </c>
      <c r="K174" s="139" t="s">
        <v>133</v>
      </c>
      <c r="L174" s="139" t="s">
        <v>134</v>
      </c>
    </row>
    <row r="175" spans="1:15" ht="14.1" customHeight="1">
      <c r="A175" s="89">
        <f t="shared" ref="A175:A186" si="24">$A$93</f>
        <v>46227</v>
      </c>
      <c r="B175" s="70">
        <f>'CHICLETS MASTER S2'!X28</f>
        <v>0.29166666666666669</v>
      </c>
      <c r="C175" s="71" t="s">
        <v>218</v>
      </c>
      <c r="D175" s="119" t="str">
        <f t="shared" ref="D175:D186" si="25">$D$173</f>
        <v>EDISON HS</v>
      </c>
      <c r="E175" s="71">
        <v>64</v>
      </c>
      <c r="F175" s="91" t="str">
        <f>E112</f>
        <v>bz_U1(L31)-RISE</v>
      </c>
      <c r="G175" s="92">
        <v>9</v>
      </c>
      <c r="H175" s="91" t="str">
        <f>E113</f>
        <v>bz_U2(L47)-GREAT LAKES AQUATICS</v>
      </c>
      <c r="I175" s="92">
        <v>10</v>
      </c>
      <c r="J175" s="91"/>
      <c r="K175" s="91"/>
      <c r="L175" s="91" t="str">
        <f t="shared" ref="L175:L186" si="26">IF(E175="","",$L$15&amp;"-"&amp;TEXT(E175,"000"))</f>
        <v>16BX-064</v>
      </c>
      <c r="O175" s="62" t="str">
        <f t="shared" ref="O175:O186" si="27">$L$257&amp;C175</f>
        <v>bz_Group</v>
      </c>
    </row>
    <row r="176" spans="1:15" ht="14.1" customHeight="1">
      <c r="A176" s="89">
        <f t="shared" si="24"/>
        <v>46227</v>
      </c>
      <c r="B176" s="70">
        <f>'CHICLETS MASTER S2'!X29</f>
        <v>0.3263888888888889</v>
      </c>
      <c r="C176" s="71" t="s">
        <v>218</v>
      </c>
      <c r="D176" s="119" t="str">
        <f t="shared" si="25"/>
        <v>EDISON HS</v>
      </c>
      <c r="E176" s="71">
        <v>68</v>
      </c>
      <c r="F176" s="91" t="str">
        <f>D112</f>
        <v>bz_T1(L32)-WCAC UNITED A</v>
      </c>
      <c r="G176" s="92">
        <v>11</v>
      </c>
      <c r="H176" s="91" t="str">
        <f>D113</f>
        <v>bz_T2(L39)-MAVERICKS</v>
      </c>
      <c r="I176" s="92">
        <v>8</v>
      </c>
      <c r="J176" s="91"/>
      <c r="K176" s="91"/>
      <c r="L176" s="91" t="str">
        <f t="shared" si="26"/>
        <v>16BX-068</v>
      </c>
      <c r="O176" s="62" t="str">
        <f t="shared" si="27"/>
        <v>bz_Group</v>
      </c>
    </row>
    <row r="177" spans="1:15" ht="14.1" customHeight="1">
      <c r="A177" s="89">
        <f t="shared" si="24"/>
        <v>46227</v>
      </c>
      <c r="B177" s="70">
        <f>'CHICLETS MASTER S2'!X30</f>
        <v>0.36111111111111099</v>
      </c>
      <c r="C177" s="71" t="s">
        <v>218</v>
      </c>
      <c r="D177" s="119" t="str">
        <f t="shared" si="25"/>
        <v>EDISON HS</v>
      </c>
      <c r="E177" s="71">
        <v>72</v>
      </c>
      <c r="F177" s="91" t="str">
        <f>D108</f>
        <v>bz_O2(L58)-FOOTHILL RED</v>
      </c>
      <c r="G177" s="92">
        <v>6</v>
      </c>
      <c r="H177" s="91" t="str">
        <f>D109</f>
        <v>bz_O3(L56)-CAL REPUBLIC</v>
      </c>
      <c r="I177" s="92">
        <v>7</v>
      </c>
      <c r="J177" s="91"/>
      <c r="K177" s="91"/>
      <c r="L177" s="91" t="str">
        <f t="shared" si="26"/>
        <v>16BX-072</v>
      </c>
      <c r="O177" s="62" t="str">
        <f t="shared" si="27"/>
        <v>bz_Group</v>
      </c>
    </row>
    <row r="178" spans="1:15" ht="14.1" customHeight="1">
      <c r="A178" s="89">
        <f t="shared" si="24"/>
        <v>46227</v>
      </c>
      <c r="B178" s="70">
        <f>'CHICLETS MASTER S2'!X31</f>
        <v>0.39583333333333398</v>
      </c>
      <c r="C178" s="71" t="s">
        <v>218</v>
      </c>
      <c r="D178" s="119" t="str">
        <f t="shared" si="25"/>
        <v>EDISON HS</v>
      </c>
      <c r="E178" s="71">
        <v>76</v>
      </c>
      <c r="F178" s="91" t="str">
        <f>E108</f>
        <v>bz_P2(L54)-WEST VALLEY</v>
      </c>
      <c r="G178" s="92">
        <v>6</v>
      </c>
      <c r="H178" s="91" t="str">
        <f>E109</f>
        <v>bz_P3(L60)-OCWPC</v>
      </c>
      <c r="I178" s="92">
        <v>9</v>
      </c>
      <c r="J178" s="91"/>
      <c r="K178" s="91"/>
      <c r="L178" s="91" t="str">
        <f t="shared" si="26"/>
        <v>16BX-076</v>
      </c>
      <c r="O178" s="62" t="str">
        <f t="shared" si="27"/>
        <v>bz_Group</v>
      </c>
    </row>
    <row r="179" spans="1:15" ht="14.1" customHeight="1">
      <c r="A179" s="89">
        <f t="shared" si="24"/>
        <v>46227</v>
      </c>
      <c r="B179" s="70">
        <f>'CHICLETS MASTER S2'!X32</f>
        <v>0.43055555555555602</v>
      </c>
      <c r="C179" s="71" t="s">
        <v>218</v>
      </c>
      <c r="D179" s="119" t="str">
        <f t="shared" si="25"/>
        <v>EDISON HS</v>
      </c>
      <c r="E179" s="71">
        <v>80</v>
      </c>
      <c r="F179" s="91" t="str">
        <f>E112</f>
        <v>bz_U1(L31)-RISE</v>
      </c>
      <c r="G179" s="92">
        <v>14</v>
      </c>
      <c r="H179" s="91" t="str">
        <f>E114</f>
        <v>bz_U3(L37)-808</v>
      </c>
      <c r="I179" s="92">
        <v>4</v>
      </c>
      <c r="J179" s="91"/>
      <c r="K179" s="91"/>
      <c r="L179" s="91" t="str">
        <f t="shared" si="26"/>
        <v>16BX-080</v>
      </c>
      <c r="O179" s="62" t="str">
        <f t="shared" si="27"/>
        <v>bz_Group</v>
      </c>
    </row>
    <row r="180" spans="1:15" ht="14.1" customHeight="1">
      <c r="A180" s="89">
        <f t="shared" si="24"/>
        <v>46227</v>
      </c>
      <c r="B180" s="70">
        <f>'CHICLETS MASTER S2'!X33</f>
        <v>0.46527777777777801</v>
      </c>
      <c r="C180" s="71" t="s">
        <v>218</v>
      </c>
      <c r="D180" s="119" t="str">
        <f t="shared" si="25"/>
        <v>EDISON HS</v>
      </c>
      <c r="E180" s="71">
        <v>84</v>
      </c>
      <c r="F180" s="91" t="str">
        <f>D112</f>
        <v>bz_T1(L32)-WCAC UNITED A</v>
      </c>
      <c r="G180" s="92">
        <v>20</v>
      </c>
      <c r="H180" s="91" t="str">
        <f>D114</f>
        <v>bz_T3(L45)-NEW TRIER</v>
      </c>
      <c r="I180" s="92">
        <v>4</v>
      </c>
      <c r="J180" s="91"/>
      <c r="K180" s="91"/>
      <c r="L180" s="91" t="str">
        <f t="shared" si="26"/>
        <v>16BX-084</v>
      </c>
      <c r="O180" s="62" t="str">
        <f t="shared" si="27"/>
        <v>bz_Group</v>
      </c>
    </row>
    <row r="181" spans="1:15" ht="14.1" customHeight="1">
      <c r="A181" s="89">
        <f t="shared" si="24"/>
        <v>46227</v>
      </c>
      <c r="B181" s="70">
        <f>'CHICLETS MASTER S2'!X34</f>
        <v>0.5</v>
      </c>
      <c r="C181" s="71" t="s">
        <v>218</v>
      </c>
      <c r="D181" s="119" t="str">
        <f t="shared" si="25"/>
        <v>EDISON HS</v>
      </c>
      <c r="E181" s="71">
        <v>88</v>
      </c>
      <c r="F181" s="91" t="str">
        <f>D107</f>
        <v>bz_O1(L49)-99 ALLIANCE</v>
      </c>
      <c r="G181" s="92">
        <v>11</v>
      </c>
      <c r="H181" s="91" t="str">
        <f>D109</f>
        <v>bz_O3(L56)-CAL REPUBLIC</v>
      </c>
      <c r="I181" s="92">
        <v>7</v>
      </c>
      <c r="J181" s="91"/>
      <c r="K181" s="91"/>
      <c r="L181" s="91" t="str">
        <f t="shared" si="26"/>
        <v>16BX-088</v>
      </c>
      <c r="O181" s="62" t="str">
        <f t="shared" si="27"/>
        <v>bz_Group</v>
      </c>
    </row>
    <row r="182" spans="1:15" ht="14.1" customHeight="1">
      <c r="A182" s="89">
        <f t="shared" si="24"/>
        <v>46227</v>
      </c>
      <c r="B182" s="70">
        <f>'CHICLETS MASTER S2'!X35</f>
        <v>0.53472222222222199</v>
      </c>
      <c r="C182" s="71" t="s">
        <v>218</v>
      </c>
      <c r="D182" s="119" t="str">
        <f t="shared" si="25"/>
        <v>EDISON HS</v>
      </c>
      <c r="E182" s="71">
        <v>92</v>
      </c>
      <c r="F182" s="91" t="str">
        <f>E107</f>
        <v>bz_P1(L50)-NEWPORT BEACH WHITE</v>
      </c>
      <c r="G182" s="92">
        <v>8</v>
      </c>
      <c r="H182" s="91" t="str">
        <f>E109</f>
        <v>bz_P3(L60)-OCWPC</v>
      </c>
      <c r="I182" s="92">
        <v>6</v>
      </c>
      <c r="J182" s="91"/>
      <c r="K182" s="91"/>
      <c r="L182" s="91" t="str">
        <f t="shared" si="26"/>
        <v>16BX-092</v>
      </c>
      <c r="O182" s="62" t="str">
        <f t="shared" si="27"/>
        <v>bz_Group</v>
      </c>
    </row>
    <row r="183" spans="1:15" ht="14.1" customHeight="1">
      <c r="A183" s="89">
        <f t="shared" si="24"/>
        <v>46227</v>
      </c>
      <c r="B183" s="70">
        <f>'CHICLETS MASTER S2'!X36</f>
        <v>0.56944444444444497</v>
      </c>
      <c r="C183" s="71" t="s">
        <v>218</v>
      </c>
      <c r="D183" s="119" t="str">
        <f t="shared" si="25"/>
        <v>EDISON HS</v>
      </c>
      <c r="E183" s="71">
        <v>96</v>
      </c>
      <c r="F183" s="91" t="str">
        <f>E113</f>
        <v>bz_U2(L47)-GREAT LAKES AQUATICS</v>
      </c>
      <c r="G183" s="92">
        <v>12</v>
      </c>
      <c r="H183" s="91" t="str">
        <f>E114</f>
        <v>bz_U3(L37)-808</v>
      </c>
      <c r="I183" s="92">
        <v>4</v>
      </c>
      <c r="J183" s="91"/>
      <c r="K183" s="91"/>
      <c r="L183" s="91" t="str">
        <f t="shared" si="26"/>
        <v>16BX-096</v>
      </c>
      <c r="O183" s="62" t="str">
        <f t="shared" si="27"/>
        <v>bz_Group</v>
      </c>
    </row>
    <row r="184" spans="1:15" ht="14.1" customHeight="1">
      <c r="A184" s="89">
        <f t="shared" si="24"/>
        <v>46227</v>
      </c>
      <c r="B184" s="70">
        <f>'CHICLETS MASTER S2'!X37</f>
        <v>0.60416666666666696</v>
      </c>
      <c r="C184" s="71" t="s">
        <v>218</v>
      </c>
      <c r="D184" s="119" t="str">
        <f t="shared" si="25"/>
        <v>EDISON HS</v>
      </c>
      <c r="E184" s="71">
        <v>100</v>
      </c>
      <c r="F184" s="91" t="str">
        <f>D113</f>
        <v>bz_T2(L39)-MAVERICKS</v>
      </c>
      <c r="G184" s="92">
        <v>13</v>
      </c>
      <c r="H184" s="91" t="str">
        <f>D114</f>
        <v>bz_T3(L45)-NEW TRIER</v>
      </c>
      <c r="I184" s="92">
        <v>3</v>
      </c>
      <c r="J184" s="91"/>
      <c r="K184" s="91"/>
      <c r="L184" s="91" t="str">
        <f t="shared" si="26"/>
        <v>16BX-100</v>
      </c>
      <c r="O184" s="62" t="str">
        <f t="shared" si="27"/>
        <v>bz_Group</v>
      </c>
    </row>
    <row r="185" spans="1:15" ht="14.1" customHeight="1">
      <c r="A185" s="89">
        <f t="shared" si="24"/>
        <v>46227</v>
      </c>
      <c r="B185" s="70">
        <f>'CHICLETS MASTER S2'!X38</f>
        <v>0.63888888888888895</v>
      </c>
      <c r="C185" s="71" t="s">
        <v>218</v>
      </c>
      <c r="D185" s="119" t="str">
        <f t="shared" si="25"/>
        <v>EDISON HS</v>
      </c>
      <c r="E185" s="71">
        <v>104</v>
      </c>
      <c r="F185" s="91" t="str">
        <f>D107</f>
        <v>bz_O1(L49)-99 ALLIANCE</v>
      </c>
      <c r="G185" s="92">
        <v>8</v>
      </c>
      <c r="H185" s="91" t="str">
        <f>D108</f>
        <v>bz_O2(L58)-FOOTHILL RED</v>
      </c>
      <c r="I185" s="92">
        <v>3</v>
      </c>
      <c r="J185" s="91"/>
      <c r="K185" s="91"/>
      <c r="L185" s="91" t="str">
        <f t="shared" si="26"/>
        <v>16BX-104</v>
      </c>
      <c r="O185" s="62" t="str">
        <f t="shared" si="27"/>
        <v>bz_Group</v>
      </c>
    </row>
    <row r="186" spans="1:15" ht="14.1" customHeight="1">
      <c r="A186" s="89">
        <f t="shared" si="24"/>
        <v>46227</v>
      </c>
      <c r="B186" s="70">
        <f>'CHICLETS MASTER S2'!X39</f>
        <v>0.67361111111111105</v>
      </c>
      <c r="C186" s="71" t="s">
        <v>218</v>
      </c>
      <c r="D186" s="119" t="str">
        <f t="shared" si="25"/>
        <v>EDISON HS</v>
      </c>
      <c r="E186" s="71">
        <v>108</v>
      </c>
      <c r="F186" s="91" t="str">
        <f>E107</f>
        <v>bz_P1(L50)-NEWPORT BEACH WHITE</v>
      </c>
      <c r="G186" s="92">
        <v>11</v>
      </c>
      <c r="H186" s="91" t="str">
        <f>E108</f>
        <v>bz_P2(L54)-WEST VALLEY</v>
      </c>
      <c r="I186" s="92">
        <v>1</v>
      </c>
      <c r="J186" s="91"/>
      <c r="K186" s="91"/>
      <c r="L186" s="91" t="str">
        <f t="shared" si="26"/>
        <v>16BX-108</v>
      </c>
      <c r="O186" s="62" t="str">
        <f t="shared" si="27"/>
        <v>bz_Group</v>
      </c>
    </row>
    <row r="187" spans="1:15" ht="14.1" customHeight="1">
      <c r="A187" s="75"/>
      <c r="B187" s="60" t="s">
        <v>139</v>
      </c>
      <c r="C187" s="60"/>
      <c r="D187" s="60"/>
      <c r="E187" s="60"/>
      <c r="F187" s="60"/>
      <c r="G187" s="64"/>
      <c r="H187" s="60"/>
      <c r="I187" s="60"/>
      <c r="J187" s="60"/>
      <c r="K187" s="60"/>
      <c r="L187" s="60"/>
    </row>
    <row r="188" spans="1:15" ht="14.1" customHeight="1">
      <c r="A188" s="75"/>
      <c r="B188" s="60" t="s">
        <v>139</v>
      </c>
      <c r="C188" s="60"/>
      <c r="D188" s="60"/>
      <c r="E188" s="60"/>
      <c r="F188" s="60"/>
      <c r="G188" s="64"/>
      <c r="H188" s="60"/>
      <c r="I188" s="60"/>
      <c r="J188" s="60"/>
      <c r="K188" s="60"/>
      <c r="L188" s="60"/>
    </row>
    <row r="189" spans="1:15" ht="14.1" customHeight="1">
      <c r="A189" s="89">
        <f>$A$93</f>
        <v>46227</v>
      </c>
      <c r="B189" s="70">
        <f>'CHICLETS MASTER S2'!X42</f>
        <v>0.77777777777777801</v>
      </c>
      <c r="C189" s="71" t="s">
        <v>219</v>
      </c>
      <c r="D189" s="119" t="str">
        <f>$D$173</f>
        <v>EDISON HS</v>
      </c>
      <c r="E189" s="71">
        <v>112</v>
      </c>
      <c r="F189" s="91" t="s">
        <v>1404</v>
      </c>
      <c r="G189" s="92">
        <v>11</v>
      </c>
      <c r="H189" s="91" t="s">
        <v>1405</v>
      </c>
      <c r="I189" s="92">
        <v>3</v>
      </c>
      <c r="J189" s="91">
        <v>119</v>
      </c>
      <c r="K189" s="91">
        <v>140</v>
      </c>
      <c r="L189" s="91" t="str">
        <f>IF(E189="","",$L$15&amp;"-"&amp;TEXT(E189,"000"))</f>
        <v>16BX-112</v>
      </c>
      <c r="O189" s="62" t="str">
        <f>$L$257&amp;C189</f>
        <v>bz_Play-in</v>
      </c>
    </row>
    <row r="190" spans="1:15" ht="14.1" customHeight="1">
      <c r="A190" s="89">
        <f>$A$93</f>
        <v>46227</v>
      </c>
      <c r="B190" s="70">
        <f>'CHICLETS MASTER S2'!X43</f>
        <v>0.8125</v>
      </c>
      <c r="C190" s="71" t="s">
        <v>219</v>
      </c>
      <c r="D190" s="119" t="str">
        <f>$D$173</f>
        <v>EDISON HS</v>
      </c>
      <c r="E190" s="71">
        <v>116</v>
      </c>
      <c r="F190" s="91" t="s">
        <v>1406</v>
      </c>
      <c r="G190" s="92">
        <v>5</v>
      </c>
      <c r="H190" s="91" t="s">
        <v>1407</v>
      </c>
      <c r="I190" s="92">
        <v>11</v>
      </c>
      <c r="J190" s="91">
        <v>127</v>
      </c>
      <c r="K190" s="91">
        <v>132</v>
      </c>
      <c r="L190" s="91" t="str">
        <f>IF(E190="","",$L$15&amp;"-"&amp;TEXT(E190,"000"))</f>
        <v>16BX-116</v>
      </c>
      <c r="O190" s="62" t="str">
        <f>$L$257&amp;C190</f>
        <v>bz_Play-in</v>
      </c>
    </row>
    <row r="191" spans="1:15" ht="14.1" customHeight="1" thickBot="1">
      <c r="F191" s="62" t="s">
        <v>418</v>
      </c>
      <c r="H191" s="62" t="s">
        <v>418</v>
      </c>
    </row>
    <row r="192" spans="1:15" ht="14.1" customHeight="1" thickTop="1" thickBot="1">
      <c r="A192" s="68" t="s">
        <v>236</v>
      </c>
      <c r="B192" s="82"/>
      <c r="C192" s="82"/>
      <c r="D192" s="82"/>
      <c r="E192" s="82"/>
      <c r="F192" s="82"/>
      <c r="G192" s="83"/>
      <c r="H192" s="82"/>
      <c r="I192" s="82"/>
      <c r="J192" s="82"/>
      <c r="K192" s="82"/>
      <c r="L192" s="82"/>
    </row>
    <row r="193" spans="1:15" ht="14.1" customHeight="1" thickBot="1">
      <c r="A193" s="61">
        <v>46228</v>
      </c>
      <c r="G193" s="62"/>
    </row>
    <row r="194" spans="1:15" ht="14.1" customHeight="1" thickBot="1">
      <c r="D194" s="68" t="str">
        <f>'CHICLETS MASTER S2'!$AN$51</f>
        <v>SAN JUAN HILLS HS</v>
      </c>
      <c r="G194" s="62"/>
    </row>
    <row r="195" spans="1:15" ht="14.1" customHeight="1">
      <c r="A195" s="139" t="s">
        <v>124</v>
      </c>
      <c r="B195" s="139" t="s">
        <v>125</v>
      </c>
      <c r="C195" s="139" t="s">
        <v>126</v>
      </c>
      <c r="D195" s="139" t="s">
        <v>127</v>
      </c>
      <c r="E195" s="139" t="s">
        <v>128</v>
      </c>
      <c r="F195" s="139" t="s">
        <v>129</v>
      </c>
      <c r="G195" s="139" t="s">
        <v>130</v>
      </c>
      <c r="H195" s="139" t="s">
        <v>131</v>
      </c>
      <c r="I195" s="139" t="s">
        <v>130</v>
      </c>
      <c r="J195" s="139" t="s">
        <v>132</v>
      </c>
      <c r="K195" s="139" t="s">
        <v>133</v>
      </c>
      <c r="L195" s="139" t="s">
        <v>134</v>
      </c>
    </row>
    <row r="196" spans="1:15" ht="14.1" customHeight="1">
      <c r="A196" s="69">
        <f t="shared" ref="A196:A207" si="28">$A$193</f>
        <v>46228</v>
      </c>
      <c r="B196" s="70">
        <f>'CHICLETS MASTER S2'!X53</f>
        <v>0.33333333333333331</v>
      </c>
      <c r="C196" s="71" t="s">
        <v>237</v>
      </c>
      <c r="D196" s="119" t="str">
        <f t="shared" ref="D196:D207" si="29">$D$194</f>
        <v>SAN JUAN HILLS HS</v>
      </c>
      <c r="E196" s="71">
        <v>117</v>
      </c>
      <c r="F196" s="90" t="s">
        <v>1408</v>
      </c>
      <c r="G196" s="90">
        <v>15</v>
      </c>
      <c r="H196" s="90" t="str">
        <f>IF(G151="","W110",IF(G151&gt;I151,_xlfn.CONCAT("W110-",RIGHT(F151,LEN(F151) - FIND("-",F151))), _xlfn.CONCAT("W110-",RIGHT(H151,LEN(H151) - FIND("-",H151)))))</f>
        <v>W110-ORWP</v>
      </c>
      <c r="I196" s="90">
        <v>13</v>
      </c>
      <c r="J196" s="90">
        <v>141</v>
      </c>
      <c r="K196" s="90">
        <v>149</v>
      </c>
      <c r="L196" s="90" t="str">
        <f t="shared" ref="L196:L207" si="30">IF(E196="","",$L$15&amp;"-"&amp;TEXT(E196,"000"))</f>
        <v>16BX-117</v>
      </c>
      <c r="O196" s="62" t="str">
        <f t="shared" ref="O196:O207" si="31">$K$257&amp;C196</f>
        <v>ag_5-8 v 9-12</v>
      </c>
    </row>
    <row r="197" spans="1:15" ht="14.1" customHeight="1">
      <c r="A197" s="69">
        <f t="shared" si="28"/>
        <v>46228</v>
      </c>
      <c r="B197" s="70">
        <f>'CHICLETS MASTER S2'!X54</f>
        <v>0.375</v>
      </c>
      <c r="C197" s="71" t="s">
        <v>237</v>
      </c>
      <c r="D197" s="119" t="str">
        <f t="shared" si="29"/>
        <v>SAN JUAN HILLS HS</v>
      </c>
      <c r="E197" s="71">
        <v>121</v>
      </c>
      <c r="F197" s="90" t="s">
        <v>1409</v>
      </c>
      <c r="G197" s="90">
        <v>9</v>
      </c>
      <c r="H197" s="90" t="str">
        <f>IF(G133="","W113",IF(G133&gt;I133,_xlfn.CONCAT("W113-",RIGHT(F133,LEN(F133) - FIND("-",F133))), _xlfn.CONCAT("W113-",RIGHT(H133,LEN(H133) - FIND("-",H133)))))</f>
        <v xml:space="preserve">W113-VANGUARD SILVER	</v>
      </c>
      <c r="I197" s="93">
        <v>10</v>
      </c>
      <c r="J197" s="90">
        <v>141</v>
      </c>
      <c r="K197" s="90">
        <v>149</v>
      </c>
      <c r="L197" s="90" t="str">
        <f t="shared" si="30"/>
        <v>16BX-121</v>
      </c>
      <c r="O197" s="62" t="str">
        <f t="shared" si="31"/>
        <v>ag_5-8 v 9-12</v>
      </c>
    </row>
    <row r="198" spans="1:15" ht="14.1" customHeight="1">
      <c r="A198" s="69">
        <f t="shared" si="28"/>
        <v>46228</v>
      </c>
      <c r="B198" s="70">
        <f>'CHICLETS MASTER S2'!X55</f>
        <v>0.41666666666666702</v>
      </c>
      <c r="C198" s="71" t="s">
        <v>237</v>
      </c>
      <c r="D198" s="119" t="str">
        <f t="shared" si="29"/>
        <v>SAN JUAN HILLS HS</v>
      </c>
      <c r="E198" s="71">
        <v>125</v>
      </c>
      <c r="F198" s="90" t="s">
        <v>1410</v>
      </c>
      <c r="G198" s="90">
        <v>4</v>
      </c>
      <c r="H198" s="90" t="str">
        <f>IF(G152="","W114",IF(G152&gt;I152,_xlfn.CONCAT("W114-",RIGHT(F152,LEN(F152) - FIND("-",F152))), _xlfn.CONCAT("W114-",RIGHT(H152,LEN(H152) - FIND("-",H152)))))</f>
        <v>W114-SOUTH COAST RED</v>
      </c>
      <c r="I198" s="90">
        <v>10</v>
      </c>
      <c r="J198" s="90">
        <v>145</v>
      </c>
      <c r="K198" s="90">
        <v>153</v>
      </c>
      <c r="L198" s="90" t="str">
        <f t="shared" si="30"/>
        <v>16BX-125</v>
      </c>
      <c r="O198" s="62" t="str">
        <f t="shared" si="31"/>
        <v>ag_5-8 v 9-12</v>
      </c>
    </row>
    <row r="199" spans="1:15" ht="14.1" customHeight="1">
      <c r="A199" s="69">
        <f t="shared" si="28"/>
        <v>46228</v>
      </c>
      <c r="B199" s="70">
        <f>'CHICLETS MASTER S2'!X56</f>
        <v>0.45833333333333298</v>
      </c>
      <c r="C199" s="71" t="s">
        <v>237</v>
      </c>
      <c r="D199" s="119" t="str">
        <f t="shared" si="29"/>
        <v>SAN JUAN HILLS HS</v>
      </c>
      <c r="E199" s="71">
        <v>129</v>
      </c>
      <c r="F199" s="90" t="s">
        <v>1411</v>
      </c>
      <c r="G199" s="90">
        <v>13</v>
      </c>
      <c r="H199" s="90" t="str">
        <f>IF(G132="","W109",IF(G132&gt;I132,_xlfn.CONCAT("W109-",RIGHT(F132,LEN(F132) - FIND("-",F132))), _xlfn.CONCAT("W109-",RIGHT(H132,LEN(H132) - FIND("-",H132)))))</f>
        <v>W109-COMMERCE</v>
      </c>
      <c r="I199" s="90">
        <v>12</v>
      </c>
      <c r="J199" s="90">
        <v>145</v>
      </c>
      <c r="K199" s="90">
        <v>153</v>
      </c>
      <c r="L199" s="90" t="str">
        <f t="shared" si="30"/>
        <v>16BX-129</v>
      </c>
      <c r="O199" s="62" t="str">
        <f t="shared" si="31"/>
        <v>ag_5-8 v 9-12</v>
      </c>
    </row>
    <row r="200" spans="1:15" ht="14.1" customHeight="1">
      <c r="A200" s="69">
        <f t="shared" si="28"/>
        <v>46228</v>
      </c>
      <c r="B200" s="70">
        <f>'CHICLETS MASTER S2'!X57</f>
        <v>0.5</v>
      </c>
      <c r="C200" s="71" t="s">
        <v>242</v>
      </c>
      <c r="D200" s="119" t="str">
        <f t="shared" si="29"/>
        <v>SAN JUAN HILLS HS</v>
      </c>
      <c r="E200" s="71">
        <v>133</v>
      </c>
      <c r="F200" s="90" t="s">
        <v>1412</v>
      </c>
      <c r="G200" s="90">
        <v>12</v>
      </c>
      <c r="H200" s="90" t="s">
        <v>1413</v>
      </c>
      <c r="I200" s="90">
        <v>10</v>
      </c>
      <c r="J200" s="90">
        <v>174</v>
      </c>
      <c r="K200" s="90">
        <v>157</v>
      </c>
      <c r="L200" s="90" t="str">
        <f t="shared" si="30"/>
        <v>16BX-133</v>
      </c>
      <c r="O200" s="62" t="str">
        <f t="shared" si="31"/>
        <v>ag_1-2 v 3-4</v>
      </c>
    </row>
    <row r="201" spans="1:15" ht="14.1" customHeight="1">
      <c r="A201" s="69">
        <f t="shared" si="28"/>
        <v>46228</v>
      </c>
      <c r="B201" s="70">
        <f>'CHICLETS MASTER S2'!X58</f>
        <v>0.54166666666666696</v>
      </c>
      <c r="C201" s="71" t="s">
        <v>242</v>
      </c>
      <c r="D201" s="119" t="str">
        <f t="shared" si="29"/>
        <v>SAN JUAN HILLS HS</v>
      </c>
      <c r="E201" s="71">
        <v>137</v>
      </c>
      <c r="F201" s="90" t="s">
        <v>1414</v>
      </c>
      <c r="G201" s="93">
        <v>9</v>
      </c>
      <c r="H201" s="90" t="s">
        <v>1415</v>
      </c>
      <c r="I201" s="90">
        <v>7</v>
      </c>
      <c r="J201" s="90">
        <v>173</v>
      </c>
      <c r="K201" s="90">
        <v>161</v>
      </c>
      <c r="L201" s="90" t="str">
        <f t="shared" si="30"/>
        <v>16BX-137</v>
      </c>
      <c r="O201" s="62" t="str">
        <f t="shared" si="31"/>
        <v>ag_1-2 v 3-4</v>
      </c>
    </row>
    <row r="202" spans="1:15" ht="14.1" customHeight="1">
      <c r="A202" s="69">
        <f t="shared" si="28"/>
        <v>46228</v>
      </c>
      <c r="B202" s="70">
        <f>'CHICLETS MASTER S2'!X59</f>
        <v>0.58333333333333304</v>
      </c>
      <c r="C202" s="71" t="s">
        <v>247</v>
      </c>
      <c r="D202" s="119" t="str">
        <f t="shared" si="29"/>
        <v>SAN JUAN HILLS HS</v>
      </c>
      <c r="E202" s="71">
        <v>141</v>
      </c>
      <c r="F202" s="90" t="str">
        <f>IF(G196="","W117",IF(G196&gt;I196,_xlfn.CONCAT("W117-",RIGHT(F196,LEN(F196) - FIND("-",F196))), _xlfn.CONCAT("W117-",RIGHT(H196,LEN(H196) - FIND("-",H196)))))</f>
        <v>W117-CHAWP WHITE</v>
      </c>
      <c r="G202" s="90">
        <v>10.5</v>
      </c>
      <c r="H202" s="90" t="str">
        <f>IF(G197="","W121",IF(G197&gt;I197,_xlfn.CONCAT("W121-",RIGHT(F197,LEN(F197) - FIND("-",F197))), _xlfn.CONCAT("W121-",RIGHT(H197,LEN(H197) - FIND("-",H197)))))</f>
        <v xml:space="preserve">W121-VANGUARD SILVER	</v>
      </c>
      <c r="I202" s="90">
        <v>10.4</v>
      </c>
      <c r="J202" s="90">
        <v>157</v>
      </c>
      <c r="K202" s="90">
        <v>185</v>
      </c>
      <c r="L202" s="90" t="str">
        <f t="shared" si="30"/>
        <v>16BX-141</v>
      </c>
      <c r="O202" s="62" t="str">
        <f t="shared" si="31"/>
        <v>ag_5-6 v 7-8</v>
      </c>
    </row>
    <row r="203" spans="1:15" ht="14.1" customHeight="1">
      <c r="A203" s="69">
        <f t="shared" si="28"/>
        <v>46228</v>
      </c>
      <c r="B203" s="70">
        <f>'CHICLETS MASTER S2'!X60</f>
        <v>0.625</v>
      </c>
      <c r="C203" s="71" t="s">
        <v>247</v>
      </c>
      <c r="D203" s="119" t="str">
        <f t="shared" si="29"/>
        <v>SAN JUAN HILLS HS</v>
      </c>
      <c r="E203" s="71">
        <v>145</v>
      </c>
      <c r="F203" s="90" t="str">
        <f>IF(G198="","W125",IF(G198&gt;I198,_xlfn.CONCAT("W125-",RIGHT(F198,LEN(F198) - FIND("-",F198))), _xlfn.CONCAT("W125-",RIGHT(H198,LEN(H198) - FIND("-",H198)))))</f>
        <v>W125-SOUTH COAST RED</v>
      </c>
      <c r="G203" s="90">
        <v>11</v>
      </c>
      <c r="H203" s="90" t="str">
        <f>IF(G199="","W129",IF(G199&gt;I199,_xlfn.CONCAT("W129-",RIGHT(F199,LEN(F199) - FIND("-",F199))), _xlfn.CONCAT("W129-",RIGHT(H199,LEN(H199) - FIND("-",H199)))))</f>
        <v>W129-CT PREMIER</v>
      </c>
      <c r="I203" s="90">
        <v>9</v>
      </c>
      <c r="J203" s="90">
        <v>161</v>
      </c>
      <c r="K203" s="90">
        <v>185</v>
      </c>
      <c r="L203" s="90" t="str">
        <f t="shared" si="30"/>
        <v>16BX-145</v>
      </c>
      <c r="O203" s="62" t="str">
        <f t="shared" si="31"/>
        <v>ag_5-6 v 7-8</v>
      </c>
    </row>
    <row r="204" spans="1:15" ht="14.1" customHeight="1">
      <c r="A204" s="69">
        <f t="shared" si="28"/>
        <v>46228</v>
      </c>
      <c r="B204" s="70">
        <f>'CHICLETS MASTER S2'!X61</f>
        <v>0.66666666666666696</v>
      </c>
      <c r="C204" s="71" t="s">
        <v>248</v>
      </c>
      <c r="D204" s="119" t="str">
        <f t="shared" si="29"/>
        <v>SAN JUAN HILLS HS</v>
      </c>
      <c r="E204" s="71">
        <v>149</v>
      </c>
      <c r="F204" s="90" t="str">
        <f>IF(G197="","L121",IF(G197&lt;I197,_xlfn.CONCAT("L121-",RIGHT(F197,LEN(F197) - FIND("-",F197))), _xlfn.CONCAT("L121-",RIGHT(H197,LEN(H197) - FIND("-",H197)))))</f>
        <v>L121-CORONA DEL MAR</v>
      </c>
      <c r="G204" s="90">
        <v>6</v>
      </c>
      <c r="H204" s="90" t="str">
        <f>IF(G196="","L117",IF(G196&lt;I196,_xlfn.CONCAT("L117-",RIGHT(F196,LEN(F196) - FIND("-",F196))), _xlfn.CONCAT("L117-",RIGHT(H196,LEN(H196) - FIND("-",H196)))))</f>
        <v>L117-ORWP</v>
      </c>
      <c r="I204" s="90">
        <v>10</v>
      </c>
      <c r="J204" s="90">
        <v>182</v>
      </c>
      <c r="K204" s="90">
        <v>181</v>
      </c>
      <c r="L204" s="90" t="str">
        <f t="shared" si="30"/>
        <v>16BX-149</v>
      </c>
      <c r="O204" s="62" t="str">
        <f t="shared" si="31"/>
        <v>ag_9-12 semi</v>
      </c>
    </row>
    <row r="205" spans="1:15" ht="14.1" customHeight="1">
      <c r="A205" s="69">
        <f t="shared" si="28"/>
        <v>46228</v>
      </c>
      <c r="B205" s="70">
        <f>'CHICLETS MASTER S2'!X62</f>
        <v>0.70833333333333304</v>
      </c>
      <c r="C205" s="71" t="s">
        <v>248</v>
      </c>
      <c r="D205" s="119" t="str">
        <f t="shared" si="29"/>
        <v>SAN JUAN HILLS HS</v>
      </c>
      <c r="E205" s="71">
        <v>153</v>
      </c>
      <c r="F205" s="90" t="str">
        <f>IF(G199="","L129",IF(G199&lt;I199,_xlfn.CONCAT("L129-",RIGHT(F199,LEN(F199) - FIND("-",F199))), _xlfn.CONCAT("L129-",RIGHT(H199,LEN(H199) - FIND("-",H199)))))</f>
        <v>L129-COMMERCE</v>
      </c>
      <c r="G205" s="90">
        <v>11</v>
      </c>
      <c r="H205" s="90" t="str">
        <f>IF(G198="","L125",IF(G198&lt;I198,_xlfn.CONCAT("L125-",RIGHT(F198,LEN(F198) - FIND("-",F198))), _xlfn.CONCAT("L125-",RIGHT(H198,LEN(H198) - FIND("-",H198)))))</f>
        <v>L125-SD SHORES GOLD</v>
      </c>
      <c r="I205" s="90">
        <v>10</v>
      </c>
      <c r="J205" s="90">
        <v>182</v>
      </c>
      <c r="K205" s="90">
        <v>181</v>
      </c>
      <c r="L205" s="90" t="str">
        <f t="shared" si="30"/>
        <v>16BX-153</v>
      </c>
      <c r="O205" s="62" t="str">
        <f t="shared" si="31"/>
        <v>ag_9-12 semi</v>
      </c>
    </row>
    <row r="206" spans="1:15" ht="14.1" customHeight="1">
      <c r="A206" s="69">
        <f t="shared" si="28"/>
        <v>46228</v>
      </c>
      <c r="B206" s="70">
        <f>'CHICLETS MASTER S2'!X63</f>
        <v>0.75</v>
      </c>
      <c r="C206" s="71" t="s">
        <v>439</v>
      </c>
      <c r="D206" s="119" t="str">
        <f t="shared" si="29"/>
        <v>SAN JUAN HILLS HS</v>
      </c>
      <c r="E206" s="71">
        <v>157</v>
      </c>
      <c r="F206" s="90" t="str">
        <f>IF(G200="","L133",IF(G200&lt;I200,_xlfn.CONCAT("L133-",RIGHT(F200,LEN(F200) - FIND("-",F200))), _xlfn.CONCAT("L133-",RIGHT(H200,LEN(H200) - FIND("-",H200)))))</f>
        <v>L133-NORCAL BLACK</v>
      </c>
      <c r="G206" s="90">
        <v>7</v>
      </c>
      <c r="H206" s="90" t="str">
        <f>IF(G202="","W141",IF(G202&gt;I202,_xlfn.CONCAT("W141-",RIGHT(F202,LEN(F202) - FIND("-",F202))), _xlfn.CONCAT("W141-",RIGHT(H202,LEN(H202) - FIND("-",H202)))))</f>
        <v>W141-CHAWP WHITE</v>
      </c>
      <c r="I206" s="90">
        <v>11</v>
      </c>
      <c r="J206" s="90">
        <v>173</v>
      </c>
      <c r="K206" s="90">
        <v>186</v>
      </c>
      <c r="L206" s="90" t="str">
        <f t="shared" si="30"/>
        <v>16BX-157</v>
      </c>
      <c r="O206" s="62" t="str">
        <f t="shared" si="31"/>
        <v>ag_play to semi</v>
      </c>
    </row>
    <row r="207" spans="1:15" ht="14.1" customHeight="1">
      <c r="A207" s="69">
        <f t="shared" si="28"/>
        <v>46228</v>
      </c>
      <c r="B207" s="70">
        <f>'CHICLETS MASTER S2'!X64</f>
        <v>0.79166666666666696</v>
      </c>
      <c r="C207" s="71" t="s">
        <v>439</v>
      </c>
      <c r="D207" s="119" t="str">
        <f t="shared" si="29"/>
        <v>SAN JUAN HILLS HS</v>
      </c>
      <c r="E207" s="71">
        <v>161</v>
      </c>
      <c r="F207" s="90" t="str">
        <f>IF(G201="","L137",IF(G201&lt;I201,_xlfn.CONCAT("L137-",RIGHT(F201,LEN(F201) - FIND("-",F201))), _xlfn.CONCAT("L137-",RIGHT(H201,LEN(H201) - FIND("-",H201)))))</f>
        <v>L137-SAN CLEMENTE RED</v>
      </c>
      <c r="G207" s="90">
        <v>7</v>
      </c>
      <c r="H207" s="90" t="str">
        <f>IF(G203="","W145",IF(G203&gt;I203,_xlfn.CONCAT("W145-",RIGHT(F203,LEN(F203) - FIND("-",F203))), _xlfn.CONCAT("W145-",RIGHT(H203,LEN(H203) - FIND("-",H203)))))</f>
        <v>W145-SOUTH COAST RED</v>
      </c>
      <c r="I207" s="90">
        <v>10</v>
      </c>
      <c r="J207" s="90">
        <v>174</v>
      </c>
      <c r="K207" s="90">
        <v>186</v>
      </c>
      <c r="L207" s="90" t="str">
        <f t="shared" si="30"/>
        <v>16BX-161</v>
      </c>
      <c r="O207" s="62" t="str">
        <f t="shared" si="31"/>
        <v>ag_play to semi</v>
      </c>
    </row>
    <row r="208" spans="1:15" ht="14.1" customHeight="1" thickBot="1">
      <c r="G208" s="62"/>
    </row>
    <row r="209" spans="1:15" ht="14.1" customHeight="1" thickBot="1">
      <c r="A209" s="78"/>
      <c r="B209" s="79"/>
      <c r="D209" s="68" t="str">
        <f>'CHICLETS MASTER S2'!$BF$51</f>
        <v>MARINA HS</v>
      </c>
      <c r="F209" s="62" t="s">
        <v>418</v>
      </c>
      <c r="G209" s="80" t="s">
        <v>418</v>
      </c>
      <c r="H209" s="62" t="s">
        <v>418</v>
      </c>
      <c r="I209" s="60"/>
      <c r="J209" s="60"/>
      <c r="K209" s="60"/>
      <c r="L209" s="60"/>
    </row>
    <row r="210" spans="1:15" ht="14.1" customHeight="1">
      <c r="A210" s="139" t="s">
        <v>124</v>
      </c>
      <c r="B210" s="139" t="s">
        <v>125</v>
      </c>
      <c r="C210" s="139" t="s">
        <v>126</v>
      </c>
      <c r="D210" s="139" t="str">
        <f>'CHICLETS MASTER S2'!$AQ$51</f>
        <v>LONG BEACH CC 2</v>
      </c>
      <c r="E210" s="139" t="s">
        <v>128</v>
      </c>
      <c r="F210" s="139" t="s">
        <v>129</v>
      </c>
      <c r="G210" s="139" t="s">
        <v>130</v>
      </c>
      <c r="H210" s="139" t="s">
        <v>131</v>
      </c>
      <c r="I210" s="139" t="s">
        <v>130</v>
      </c>
      <c r="J210" s="139" t="s">
        <v>132</v>
      </c>
      <c r="K210" s="139" t="s">
        <v>133</v>
      </c>
      <c r="L210" s="139" t="s">
        <v>134</v>
      </c>
    </row>
    <row r="211" spans="1:15" ht="14.1" customHeight="1">
      <c r="A211" s="69">
        <f t="shared" ref="A211:A254" si="32">$A$193</f>
        <v>46228</v>
      </c>
      <c r="B211" s="70">
        <f>'CHICLETS MASTER S2'!X53</f>
        <v>0.33333333333333331</v>
      </c>
      <c r="C211" s="71" t="s">
        <v>249</v>
      </c>
      <c r="D211" s="119" t="str">
        <f t="shared" ref="D211:D223" si="33">$D$209</f>
        <v>MARINA HS</v>
      </c>
      <c r="E211" s="71">
        <v>124</v>
      </c>
      <c r="F211" s="91" t="s">
        <v>1416</v>
      </c>
      <c r="G211" s="92">
        <v>15</v>
      </c>
      <c r="H211" s="91" t="s">
        <v>1417</v>
      </c>
      <c r="I211" s="92">
        <v>6</v>
      </c>
      <c r="J211" s="91"/>
      <c r="K211" s="91"/>
      <c r="L211" s="91" t="str">
        <f>IF(E211="","",$L$15&amp;"-"&amp;TEXT(E211,"000"))</f>
        <v>16BX-124</v>
      </c>
      <c r="O211" s="62" t="str">
        <f>$L$257&amp;C211</f>
        <v>bz_21-24 RR</v>
      </c>
    </row>
    <row r="212" spans="1:15" ht="14.1" customHeight="1">
      <c r="A212" s="69">
        <f t="shared" si="32"/>
        <v>46228</v>
      </c>
      <c r="B212" s="70">
        <f>'CHICLETS MASTER S2'!X54</f>
        <v>0.375</v>
      </c>
      <c r="C212" s="71" t="s">
        <v>249</v>
      </c>
      <c r="D212" s="119" t="str">
        <f t="shared" si="33"/>
        <v>MARINA HS</v>
      </c>
      <c r="E212" s="71">
        <v>118</v>
      </c>
      <c r="F212" s="90" t="s">
        <v>1418</v>
      </c>
      <c r="G212" s="90">
        <v>5.2</v>
      </c>
      <c r="H212" s="90" t="s">
        <v>1419</v>
      </c>
      <c r="I212" s="90">
        <v>5.4</v>
      </c>
      <c r="J212" s="90"/>
      <c r="K212" s="90"/>
      <c r="L212" s="90" t="str">
        <f t="shared" ref="L212:L223" si="34">IF(E212="","",$L$15&amp;"-"&amp;TEXT(E212,"000"))</f>
        <v>16BX-118</v>
      </c>
      <c r="O212" s="62" t="str">
        <f t="shared" ref="O212:O223" si="35">$K$257&amp;C212</f>
        <v>ag_21-24 RR</v>
      </c>
    </row>
    <row r="213" spans="1:15" ht="14.1" customHeight="1">
      <c r="A213" s="69">
        <f t="shared" si="32"/>
        <v>46228</v>
      </c>
      <c r="B213" s="70">
        <f>'CHICLETS MASTER S2'!X55</f>
        <v>0.41666666666666702</v>
      </c>
      <c r="C213" s="71" t="s">
        <v>249</v>
      </c>
      <c r="D213" s="119" t="str">
        <f t="shared" si="33"/>
        <v>MARINA HS</v>
      </c>
      <c r="E213" s="71">
        <v>122</v>
      </c>
      <c r="F213" s="90" t="s">
        <v>1420</v>
      </c>
      <c r="G213" s="90">
        <v>11</v>
      </c>
      <c r="H213" s="90" t="s">
        <v>1421</v>
      </c>
      <c r="I213" s="90">
        <v>12</v>
      </c>
      <c r="J213" s="90"/>
      <c r="K213" s="90"/>
      <c r="L213" s="90" t="str">
        <f t="shared" si="34"/>
        <v>16BX-122</v>
      </c>
      <c r="O213" s="62" t="str">
        <f t="shared" si="35"/>
        <v>ag_21-24 RR</v>
      </c>
    </row>
    <row r="214" spans="1:15" ht="14.1" customHeight="1">
      <c r="A214" s="69">
        <f t="shared" si="32"/>
        <v>46228</v>
      </c>
      <c r="B214" s="70">
        <f>'CHICLETS MASTER S2'!X56</f>
        <v>0.45833333333333298</v>
      </c>
      <c r="C214" s="71" t="s">
        <v>254</v>
      </c>
      <c r="D214" s="119" t="str">
        <f t="shared" si="33"/>
        <v>MARINA HS</v>
      </c>
      <c r="E214" s="71">
        <v>126</v>
      </c>
      <c r="F214" s="90" t="str">
        <f>IF(G133="","L113",IF(G133&lt;I133,_xlfn.CONCAT("L113-",RIGHT(F133,LEN(F133) - FIND("-",F133))), _xlfn.CONCAT("L113-",RIGHT(H133,LEN(H133) - FIND("-",H133)))))</f>
        <v>L113-LOWPO</v>
      </c>
      <c r="G214" s="93">
        <v>12</v>
      </c>
      <c r="H214" s="90" t="s">
        <v>1422</v>
      </c>
      <c r="I214" s="90">
        <v>14</v>
      </c>
      <c r="J214" s="90">
        <v>150</v>
      </c>
      <c r="K214" s="90">
        <v>154</v>
      </c>
      <c r="L214" s="90" t="str">
        <f t="shared" si="34"/>
        <v>16BX-126</v>
      </c>
      <c r="O214" s="62" t="str">
        <f t="shared" si="35"/>
        <v>ag_13-20 qtr</v>
      </c>
    </row>
    <row r="215" spans="1:15" ht="14.1" customHeight="1">
      <c r="A215" s="69">
        <f t="shared" si="32"/>
        <v>46228</v>
      </c>
      <c r="B215" s="70">
        <f>'CHICLETS MASTER S2'!X57</f>
        <v>0.5</v>
      </c>
      <c r="C215" s="71" t="s">
        <v>254</v>
      </c>
      <c r="D215" s="119" t="str">
        <f t="shared" si="33"/>
        <v>MARINA HS</v>
      </c>
      <c r="E215" s="71">
        <v>130</v>
      </c>
      <c r="F215" s="90" t="str">
        <f>IF(G152="","L114",IF(G152&lt;I152,_xlfn.CONCAT("L114-",RIGHT(F152,LEN(F152) - FIND("-",F152))), _xlfn.CONCAT("L114-",RIGHT(H152,LEN(H152) - FIND("-",H152)))))</f>
        <v>L114-DIABLO ALLIANCE</v>
      </c>
      <c r="G215" s="90">
        <v>11</v>
      </c>
      <c r="H215" s="331" t="s">
        <v>1423</v>
      </c>
      <c r="I215" s="90">
        <v>8</v>
      </c>
      <c r="J215" s="90">
        <v>150</v>
      </c>
      <c r="K215" s="90">
        <v>154</v>
      </c>
      <c r="L215" s="90" t="str">
        <f t="shared" si="34"/>
        <v>16BX-130</v>
      </c>
      <c r="O215" s="62" t="str">
        <f t="shared" si="35"/>
        <v>ag_13-20 qtr</v>
      </c>
    </row>
    <row r="216" spans="1:15" ht="14.1" customHeight="1">
      <c r="A216" s="69">
        <f t="shared" si="32"/>
        <v>46228</v>
      </c>
      <c r="B216" s="70">
        <f>'CHICLETS MASTER S2'!X58</f>
        <v>0.54166666666666696</v>
      </c>
      <c r="C216" s="71" t="s">
        <v>254</v>
      </c>
      <c r="D216" s="119" t="str">
        <f t="shared" si="33"/>
        <v>MARINA HS</v>
      </c>
      <c r="E216" s="71">
        <v>134</v>
      </c>
      <c r="F216" s="90" t="str">
        <f>IF(G132="","L109",IF(G132&lt;I132,_xlfn.CONCAT("L109-",RIGHT(F132,LEN(F132) - FIND("-",F132))), _xlfn.CONCAT("L109-",RIGHT(H132,LEN(H132) - FIND("-",H132)))))</f>
        <v>L109-VIPER PIGEON</v>
      </c>
      <c r="G216" s="90">
        <v>12</v>
      </c>
      <c r="H216" s="90" t="s">
        <v>1424</v>
      </c>
      <c r="I216" s="90">
        <v>14</v>
      </c>
      <c r="J216" s="90">
        <v>158</v>
      </c>
      <c r="K216" s="90">
        <v>162</v>
      </c>
      <c r="L216" s="90" t="str">
        <f t="shared" si="34"/>
        <v>16BX-134</v>
      </c>
      <c r="O216" s="62" t="str">
        <f t="shared" si="35"/>
        <v>ag_13-20 qtr</v>
      </c>
    </row>
    <row r="217" spans="1:15" ht="14.1" customHeight="1">
      <c r="A217" s="69">
        <f t="shared" si="32"/>
        <v>46228</v>
      </c>
      <c r="B217" s="70">
        <f>'CHICLETS MASTER S2'!X59</f>
        <v>0.58333333333333304</v>
      </c>
      <c r="C217" s="71" t="s">
        <v>254</v>
      </c>
      <c r="D217" s="119" t="str">
        <f t="shared" si="33"/>
        <v>MARINA HS</v>
      </c>
      <c r="E217" s="71">
        <v>138</v>
      </c>
      <c r="F217" s="90" t="str">
        <f>IF(G151="","L110",IF(G151&lt;I151,_xlfn.CONCAT("L110-",RIGHT(F151,LEN(F151) - FIND("-",F151))), _xlfn.CONCAT("L110-",RIGHT(H151,LEN(H151) - FIND("-",H151)))))</f>
        <v>L110-ALAMEDA</v>
      </c>
      <c r="G217" s="90">
        <v>17</v>
      </c>
      <c r="H217" s="90" t="s">
        <v>1425</v>
      </c>
      <c r="I217" s="90">
        <v>8</v>
      </c>
      <c r="J217" s="90">
        <v>158</v>
      </c>
      <c r="K217" s="90">
        <v>162</v>
      </c>
      <c r="L217" s="90" t="str">
        <f t="shared" si="34"/>
        <v>16BX-138</v>
      </c>
      <c r="O217" s="62" t="str">
        <f t="shared" si="35"/>
        <v>ag_13-20 qtr</v>
      </c>
    </row>
    <row r="218" spans="1:15" ht="14.1" customHeight="1">
      <c r="A218" s="69">
        <f t="shared" si="32"/>
        <v>46228</v>
      </c>
      <c r="B218" s="70">
        <f>'CHICLETS MASTER S2'!X60</f>
        <v>0.625</v>
      </c>
      <c r="C218" s="71" t="s">
        <v>249</v>
      </c>
      <c r="D218" s="119" t="str">
        <f t="shared" si="33"/>
        <v>MARINA HS</v>
      </c>
      <c r="E218" s="71">
        <v>142</v>
      </c>
      <c r="F218" s="90" t="s">
        <v>1418</v>
      </c>
      <c r="G218" s="90">
        <v>16</v>
      </c>
      <c r="H218" s="236" t="s">
        <v>1421</v>
      </c>
      <c r="I218" s="90">
        <v>15</v>
      </c>
      <c r="J218" s="90"/>
      <c r="K218" s="90"/>
      <c r="L218" s="90" t="str">
        <f t="shared" si="34"/>
        <v>16BX-142</v>
      </c>
      <c r="O218" s="62" t="str">
        <f t="shared" si="35"/>
        <v>ag_21-24 RR</v>
      </c>
    </row>
    <row r="219" spans="1:15" ht="14.1" customHeight="1">
      <c r="A219" s="69">
        <f t="shared" si="32"/>
        <v>46228</v>
      </c>
      <c r="B219" s="70">
        <f>'CHICLETS MASTER S2'!X61</f>
        <v>0.66666666666666696</v>
      </c>
      <c r="C219" s="71" t="s">
        <v>249</v>
      </c>
      <c r="D219" s="119" t="str">
        <f t="shared" si="33"/>
        <v>MARINA HS</v>
      </c>
      <c r="E219" s="71">
        <v>146</v>
      </c>
      <c r="F219" s="90" t="s">
        <v>1420</v>
      </c>
      <c r="G219" s="90">
        <v>11</v>
      </c>
      <c r="H219" s="90" t="s">
        <v>1419</v>
      </c>
      <c r="I219" s="90">
        <v>5</v>
      </c>
      <c r="J219" s="90"/>
      <c r="K219" s="90"/>
      <c r="L219" s="90" t="str">
        <f t="shared" si="34"/>
        <v>16BX-146</v>
      </c>
      <c r="O219" s="62" t="str">
        <f t="shared" si="35"/>
        <v>ag_21-24 RR</v>
      </c>
    </row>
    <row r="220" spans="1:15" ht="14.1" customHeight="1">
      <c r="A220" s="69">
        <f t="shared" si="32"/>
        <v>46228</v>
      </c>
      <c r="B220" s="70">
        <f>'CHICLETS MASTER S2'!X62</f>
        <v>0.70833333333333304</v>
      </c>
      <c r="C220" s="71" t="s">
        <v>259</v>
      </c>
      <c r="D220" s="119" t="str">
        <f t="shared" si="33"/>
        <v>MARINA HS</v>
      </c>
      <c r="E220" s="71">
        <v>150</v>
      </c>
      <c r="F220" s="90" t="str">
        <f>IF(G214="","W126",IF(G214&gt;I214,_xlfn.CONCAT("W126-",RIGHT(F214,LEN(F214) - FIND("-",F214))), _xlfn.CONCAT("W126-",RIGHT(H214,LEN(H214) - FIND("-",H214)))))</f>
        <v>W126-SHARKS</v>
      </c>
      <c r="G220" s="90">
        <v>11</v>
      </c>
      <c r="H220" s="90" t="str">
        <f>IF(G215="","W130",IF(G215&gt;I215,_xlfn.CONCAT("W130-",RIGHT(F215,LEN(F215) - FIND("-",F215))), _xlfn.CONCAT("W130-",RIGHT(H215,LEN(H215) - FIND("-",H215)))))</f>
        <v>W130-DIABLO ALLIANCE</v>
      </c>
      <c r="I220" s="90">
        <v>13</v>
      </c>
      <c r="J220" s="90">
        <v>178</v>
      </c>
      <c r="K220" s="90">
        <v>177</v>
      </c>
      <c r="L220" s="90" t="str">
        <f t="shared" si="34"/>
        <v>16BX-150</v>
      </c>
      <c r="O220" s="62" t="str">
        <f t="shared" si="35"/>
        <v>ag_13-16 semi</v>
      </c>
    </row>
    <row r="221" spans="1:15" ht="14.1" customHeight="1">
      <c r="A221" s="69">
        <f t="shared" si="32"/>
        <v>46228</v>
      </c>
      <c r="B221" s="70">
        <f>'CHICLETS MASTER S2'!X63</f>
        <v>0.75</v>
      </c>
      <c r="C221" s="71" t="s">
        <v>260</v>
      </c>
      <c r="D221" s="119" t="str">
        <f t="shared" si="33"/>
        <v>MARINA HS</v>
      </c>
      <c r="E221" s="71">
        <v>154</v>
      </c>
      <c r="F221" s="90" t="str">
        <f>IF(G215="","L130",IF(G215&lt;I215,_xlfn.CONCAT("L130-",RIGHT(F215,LEN(F215) - FIND("-",F215))), _xlfn.CONCAT("L130-",RIGHT(H215,LEN(H215) - FIND("-",H215)))))</f>
        <v>L130-PALOS VERDES BLACK</v>
      </c>
      <c r="G221" s="90">
        <v>7</v>
      </c>
      <c r="H221" s="90" t="str">
        <f>IF(G214="","L126",IF(G214&lt;I214,_xlfn.CONCAT("L126-",RIGHT(F214,LEN(F214) - FIND("-",F214))), _xlfn.CONCAT("L126-",RIGHT(H214,LEN(H214) - FIND("-",H214)))))</f>
        <v>L126-LOWPO</v>
      </c>
      <c r="I221" s="90">
        <v>10</v>
      </c>
      <c r="J221" s="90">
        <v>170</v>
      </c>
      <c r="K221" s="90">
        <v>169</v>
      </c>
      <c r="L221" s="90" t="str">
        <f t="shared" si="34"/>
        <v>16BX-154</v>
      </c>
      <c r="O221" s="62" t="str">
        <f t="shared" si="35"/>
        <v>ag_17-20 semi</v>
      </c>
    </row>
    <row r="222" spans="1:15" ht="14.1" customHeight="1">
      <c r="A222" s="69">
        <f t="shared" si="32"/>
        <v>46228</v>
      </c>
      <c r="B222" s="70">
        <f>'CHICLETS MASTER S2'!X64</f>
        <v>0.79166666666666696</v>
      </c>
      <c r="C222" s="71" t="s">
        <v>259</v>
      </c>
      <c r="D222" s="119" t="str">
        <f t="shared" si="33"/>
        <v>MARINA HS</v>
      </c>
      <c r="E222" s="71">
        <v>158</v>
      </c>
      <c r="F222" s="90" t="str">
        <f>IF(G216="","W134",IF(G216&gt;I216,_xlfn.CONCAT("W134-",RIGHT(F216,LEN(F216) - FIND("-",F216))), _xlfn.CONCAT("W134-",RIGHT(H216,LEN(H216) - FIND("-",H216)))))</f>
        <v>W134-STANFORD BLACK</v>
      </c>
      <c r="G222" s="90">
        <v>17</v>
      </c>
      <c r="H222" s="90" t="str">
        <f>IF(G217="","W138",IF(G217&gt;I217,_xlfn.CONCAT("W138-",RIGHT(F217,LEN(F217) - FIND("-",F217))), _xlfn.CONCAT("W138-",RIGHT(H217,LEN(H217) - FIND("-",H217)))))</f>
        <v>W138-ALAMEDA</v>
      </c>
      <c r="I222" s="90">
        <v>11</v>
      </c>
      <c r="J222" s="90">
        <v>178</v>
      </c>
      <c r="K222" s="90">
        <v>177</v>
      </c>
      <c r="L222" s="90" t="str">
        <f t="shared" si="34"/>
        <v>16BX-158</v>
      </c>
      <c r="O222" s="62" t="str">
        <f t="shared" si="35"/>
        <v>ag_13-16 semi</v>
      </c>
    </row>
    <row r="223" spans="1:15" ht="14.1" customHeight="1">
      <c r="A223" s="69">
        <f t="shared" si="32"/>
        <v>46228</v>
      </c>
      <c r="B223" s="70">
        <f>'CHICLETS MASTER S2'!X65</f>
        <v>0.83333333333333304</v>
      </c>
      <c r="C223" s="71" t="s">
        <v>260</v>
      </c>
      <c r="D223" s="119" t="str">
        <f t="shared" si="33"/>
        <v>MARINA HS</v>
      </c>
      <c r="E223" s="71">
        <v>162</v>
      </c>
      <c r="F223" s="90" t="str">
        <f>IF(G217="","L138",IF(G217&lt;I217,_xlfn.CONCAT("L138-",RIGHT(F217,LEN(F217) - FIND("-",F217))), _xlfn.CONCAT("L138-",RIGHT(H217,LEN(H217) - FIND("-",H217)))))</f>
        <v>L138-PUGET SOUND</v>
      </c>
      <c r="G223" s="90">
        <v>13</v>
      </c>
      <c r="H223" s="90" t="str">
        <f>IF(G216="","L134",IF(G216&lt;I216,_xlfn.CONCAT("L134-",RIGHT(F216,LEN(F216) - FIND("-",F216))), _xlfn.CONCAT("L134-",RIGHT(H216,LEN(H216) - FIND("-",H216)))))</f>
        <v>L134-VIPER PIGEON</v>
      </c>
      <c r="I223" s="90">
        <v>14</v>
      </c>
      <c r="J223" s="90">
        <v>170</v>
      </c>
      <c r="K223" s="90">
        <v>169</v>
      </c>
      <c r="L223" s="90" t="str">
        <f t="shared" si="34"/>
        <v>16BX-162</v>
      </c>
      <c r="O223" s="62" t="str">
        <f t="shared" si="35"/>
        <v>ag_17-20 semi</v>
      </c>
    </row>
    <row r="224" spans="1:15" ht="14.1" customHeight="1" thickBot="1">
      <c r="A224" s="78"/>
      <c r="B224" s="79"/>
      <c r="C224" s="60"/>
      <c r="D224" s="60"/>
      <c r="E224" s="60"/>
      <c r="F224" s="60"/>
      <c r="G224" s="64"/>
      <c r="H224" s="60"/>
      <c r="I224" s="60"/>
      <c r="J224" s="60"/>
      <c r="K224" s="60"/>
      <c r="L224" s="60"/>
    </row>
    <row r="225" spans="1:15" ht="14.1" customHeight="1" thickBot="1">
      <c r="B225" s="60"/>
      <c r="C225" s="60"/>
      <c r="D225" s="68" t="str">
        <f>'CHICLETS MASTER S2'!$AP$51</f>
        <v>EDISON HS</v>
      </c>
      <c r="E225" s="60"/>
      <c r="F225" s="60"/>
      <c r="G225" s="64"/>
      <c r="H225" s="60"/>
      <c r="I225" s="60"/>
      <c r="J225" s="60"/>
      <c r="K225" s="60"/>
      <c r="L225" s="60"/>
    </row>
    <row r="226" spans="1:15" ht="14.1" customHeight="1">
      <c r="A226" s="139" t="s">
        <v>124</v>
      </c>
      <c r="B226" s="139" t="s">
        <v>125</v>
      </c>
      <c r="C226" s="139" t="s">
        <v>126</v>
      </c>
      <c r="D226" s="139" t="s">
        <v>127</v>
      </c>
      <c r="E226" s="139" t="s">
        <v>128</v>
      </c>
      <c r="F226" s="139" t="s">
        <v>129</v>
      </c>
      <c r="G226" s="139" t="s">
        <v>130</v>
      </c>
      <c r="H226" s="139" t="s">
        <v>131</v>
      </c>
      <c r="I226" s="139" t="s">
        <v>130</v>
      </c>
      <c r="J226" s="139" t="s">
        <v>132</v>
      </c>
      <c r="K226" s="139" t="s">
        <v>133</v>
      </c>
      <c r="L226" s="139" t="s">
        <v>134</v>
      </c>
    </row>
    <row r="227" spans="1:15" ht="14.1" customHeight="1">
      <c r="A227" s="69">
        <f t="shared" si="32"/>
        <v>46228</v>
      </c>
      <c r="B227" s="70">
        <f>'CHICLETS MASTER S2'!X53</f>
        <v>0.33333333333333331</v>
      </c>
      <c r="C227" s="71" t="s">
        <v>249</v>
      </c>
      <c r="D227" s="119" t="str">
        <f t="shared" ref="D227:D239" si="36">$D$225</f>
        <v>EDISON HS</v>
      </c>
      <c r="E227" s="71">
        <v>120</v>
      </c>
      <c r="F227" s="91" t="s">
        <v>1426</v>
      </c>
      <c r="G227" s="92">
        <v>4</v>
      </c>
      <c r="H227" s="91" t="s">
        <v>1427</v>
      </c>
      <c r="I227" s="92">
        <v>7</v>
      </c>
      <c r="J227" s="91"/>
      <c r="K227" s="91"/>
      <c r="L227" s="91" t="str">
        <f>IF(E227="","",$L$15&amp;"-"&amp;TEXT(E227,"000"))</f>
        <v>16BX-120</v>
      </c>
      <c r="O227" s="62" t="str">
        <f t="shared" ref="O227:O239" si="37">$L$257&amp;C227</f>
        <v>bz_21-24 RR</v>
      </c>
    </row>
    <row r="228" spans="1:15" ht="14.1" customHeight="1">
      <c r="A228" s="69">
        <f t="shared" si="32"/>
        <v>46228</v>
      </c>
      <c r="B228" s="70">
        <f>'CHICLETS MASTER S2'!X54</f>
        <v>0.375</v>
      </c>
      <c r="C228" s="71" t="s">
        <v>237</v>
      </c>
      <c r="D228" s="119" t="str">
        <f t="shared" si="36"/>
        <v>EDISON HS</v>
      </c>
      <c r="E228" s="71">
        <v>119</v>
      </c>
      <c r="F228" s="91" t="s">
        <v>1428</v>
      </c>
      <c r="G228" s="92">
        <v>12</v>
      </c>
      <c r="H228" s="91" t="str">
        <f>IF(G189="","W112",IF(G189&gt;I189,_xlfn.CONCAT("W112-",RIGHT(F189,LEN(F189) - FIND("-",F189))), _xlfn.CONCAT("W112-",RIGHT(H189,LEN(H189) - FIND("-",H189)))))</f>
        <v>W112-FOOTHILL RED</v>
      </c>
      <c r="I228" s="92">
        <v>6</v>
      </c>
      <c r="J228" s="91">
        <v>143</v>
      </c>
      <c r="K228" s="91">
        <v>151</v>
      </c>
      <c r="L228" s="91" t="str">
        <f t="shared" ref="L228:L239" si="38">IF(E228="","",$L$15&amp;"-"&amp;TEXT(E228,"000"))</f>
        <v>16BX-119</v>
      </c>
      <c r="O228" s="62" t="str">
        <f t="shared" si="37"/>
        <v>bz_5-8 v 9-12</v>
      </c>
    </row>
    <row r="229" spans="1:15" ht="14.1" customHeight="1">
      <c r="A229" s="69">
        <f t="shared" si="32"/>
        <v>46228</v>
      </c>
      <c r="B229" s="70">
        <f>'CHICLETS MASTER S2'!X55</f>
        <v>0.41666666666666702</v>
      </c>
      <c r="C229" s="71" t="s">
        <v>237</v>
      </c>
      <c r="D229" s="119" t="str">
        <f t="shared" si="36"/>
        <v>EDISON HS</v>
      </c>
      <c r="E229" s="71">
        <v>123</v>
      </c>
      <c r="F229" s="91" t="s">
        <v>1429</v>
      </c>
      <c r="G229" s="92">
        <v>10</v>
      </c>
      <c r="H229" s="91" t="str">
        <f>IF(G171="","W115",IF(G171&gt;I171,_xlfn.CONCAT("W115-",RIGHT(F171,LEN(F171) - FIND("-",F171))), _xlfn.CONCAT("W115-",RIGHT(H171,LEN(H171) - FIND("-",H171)))))</f>
        <v>W115-BACK BAY</v>
      </c>
      <c r="I229" s="92">
        <v>3</v>
      </c>
      <c r="J229" s="91">
        <v>143</v>
      </c>
      <c r="K229" s="91">
        <v>151</v>
      </c>
      <c r="L229" s="91" t="str">
        <f t="shared" si="38"/>
        <v>16BX-123</v>
      </c>
      <c r="O229" s="62" t="str">
        <f t="shared" si="37"/>
        <v>bz_5-8 v 9-12</v>
      </c>
    </row>
    <row r="230" spans="1:15" ht="14.1" customHeight="1">
      <c r="A230" s="69">
        <f t="shared" si="32"/>
        <v>46228</v>
      </c>
      <c r="B230" s="70">
        <f>'CHICLETS MASTER S2'!X56</f>
        <v>0.45833333333333298</v>
      </c>
      <c r="C230" s="71" t="s">
        <v>237</v>
      </c>
      <c r="D230" s="119" t="str">
        <f t="shared" si="36"/>
        <v>EDISON HS</v>
      </c>
      <c r="E230" s="71">
        <v>127</v>
      </c>
      <c r="F230" s="91" t="s">
        <v>1430</v>
      </c>
      <c r="G230" s="92">
        <v>9</v>
      </c>
      <c r="H230" s="91" t="str">
        <f>IF(G190="","W116",IF(G190&gt;I190,_xlfn.CONCAT("W116-",RIGHT(F190,LEN(F190) - FIND("-",F190))), _xlfn.CONCAT("W116-",RIGHT(H190,LEN(H190) - FIND("-",H190)))))</f>
        <v>W116-WCAC UNITED A</v>
      </c>
      <c r="I230" s="92">
        <v>18</v>
      </c>
      <c r="J230" s="91">
        <v>147</v>
      </c>
      <c r="K230" s="91">
        <v>155</v>
      </c>
      <c r="L230" s="91" t="str">
        <f t="shared" si="38"/>
        <v>16BX-127</v>
      </c>
      <c r="O230" s="62" t="str">
        <f t="shared" si="37"/>
        <v>bz_5-8 v 9-12</v>
      </c>
    </row>
    <row r="231" spans="1:15" ht="14.1" customHeight="1">
      <c r="A231" s="69">
        <f t="shared" si="32"/>
        <v>46228</v>
      </c>
      <c r="B231" s="70">
        <f>'CHICLETS MASTER S2'!X57</f>
        <v>0.5</v>
      </c>
      <c r="C231" s="71" t="s">
        <v>237</v>
      </c>
      <c r="D231" s="119" t="str">
        <f t="shared" si="36"/>
        <v>EDISON HS</v>
      </c>
      <c r="E231" s="71">
        <v>131</v>
      </c>
      <c r="F231" s="91" t="s">
        <v>1431</v>
      </c>
      <c r="G231" s="121">
        <v>6</v>
      </c>
      <c r="H231" s="91" t="str">
        <f>IF(G170="","W111",IF(G170&gt;I170,_xlfn.CONCAT("W111-",RIGHT(F170,LEN(F170) - FIND("-",F170))), _xlfn.CONCAT("W111-",RIGHT(H170,LEN(H170) - FIND("-",H170)))))</f>
        <v>W111-TROJAN GOLD</v>
      </c>
      <c r="I231" s="121">
        <v>6.3</v>
      </c>
      <c r="J231" s="91">
        <v>147</v>
      </c>
      <c r="K231" s="91">
        <v>155</v>
      </c>
      <c r="L231" s="91" t="str">
        <f t="shared" si="38"/>
        <v>16BX-131</v>
      </c>
      <c r="O231" s="62" t="str">
        <f t="shared" si="37"/>
        <v>bz_5-8 v 9-12</v>
      </c>
    </row>
    <row r="232" spans="1:15" ht="14.1" customHeight="1">
      <c r="A232" s="69">
        <f t="shared" si="32"/>
        <v>46228</v>
      </c>
      <c r="B232" s="70">
        <f>'CHICLETS MASTER S2'!X58</f>
        <v>0.54166666666666696</v>
      </c>
      <c r="C232" s="71" t="s">
        <v>242</v>
      </c>
      <c r="D232" s="119" t="str">
        <f t="shared" si="36"/>
        <v>EDISON HS</v>
      </c>
      <c r="E232" s="71">
        <v>135</v>
      </c>
      <c r="F232" s="91" t="s">
        <v>1432</v>
      </c>
      <c r="G232" s="92">
        <v>10</v>
      </c>
      <c r="H232" s="91" t="s">
        <v>1433</v>
      </c>
      <c r="I232" s="92">
        <v>11</v>
      </c>
      <c r="J232" s="91">
        <v>172</v>
      </c>
      <c r="K232" s="91">
        <v>159</v>
      </c>
      <c r="L232" s="91" t="str">
        <f t="shared" si="38"/>
        <v>16BX-135</v>
      </c>
      <c r="O232" s="62" t="str">
        <f t="shared" si="37"/>
        <v>bz_1-2 v 3-4</v>
      </c>
    </row>
    <row r="233" spans="1:15" ht="14.1" customHeight="1">
      <c r="A233" s="69">
        <f t="shared" si="32"/>
        <v>46228</v>
      </c>
      <c r="B233" s="70">
        <f>'CHICLETS MASTER S2'!X59</f>
        <v>0.58333333333333304</v>
      </c>
      <c r="C233" s="71" t="s">
        <v>242</v>
      </c>
      <c r="D233" s="119" t="str">
        <f t="shared" si="36"/>
        <v>EDISON HS</v>
      </c>
      <c r="E233" s="71">
        <v>139</v>
      </c>
      <c r="F233" s="91" t="s">
        <v>1434</v>
      </c>
      <c r="G233" s="92">
        <v>8</v>
      </c>
      <c r="H233" s="91" t="s">
        <v>1435</v>
      </c>
      <c r="I233" s="92">
        <v>11</v>
      </c>
      <c r="J233" s="91">
        <v>171</v>
      </c>
      <c r="K233" s="91">
        <v>163</v>
      </c>
      <c r="L233" s="91" t="str">
        <f t="shared" si="38"/>
        <v>16BX-139</v>
      </c>
      <c r="O233" s="62" t="str">
        <f t="shared" si="37"/>
        <v>bz_1-2 v 3-4</v>
      </c>
    </row>
    <row r="234" spans="1:15" ht="14.1" customHeight="1">
      <c r="A234" s="69">
        <f t="shared" si="32"/>
        <v>46228</v>
      </c>
      <c r="B234" s="70">
        <f>'CHICLETS MASTER S2'!X60</f>
        <v>0.625</v>
      </c>
      <c r="C234" s="71" t="s">
        <v>247</v>
      </c>
      <c r="D234" s="119" t="str">
        <f t="shared" si="36"/>
        <v>EDISON HS</v>
      </c>
      <c r="E234" s="71">
        <v>143</v>
      </c>
      <c r="F234" s="91" t="str">
        <f>IF(G228="","W119",IF(G228&gt;I228,_xlfn.CONCAT("W119-",RIGHT(F228,LEN(F228) - FIND("-",F228))), _xlfn.CONCAT("W119-",RIGHT(H228,LEN(H228) - FIND("-",H228)))))</f>
        <v>W119-OCWPC</v>
      </c>
      <c r="G234" s="92">
        <v>17</v>
      </c>
      <c r="H234" s="91" t="str">
        <f>IF(G229="","W123",IF(G229&gt;I229,_xlfn.CONCAT("W123-",RIGHT(F229,LEN(F229) - FIND("-",F229))), _xlfn.CONCAT("W123-",RIGHT(H229,LEN(H229) - FIND("-",H229)))))</f>
        <v>W123-CIU BLUE</v>
      </c>
      <c r="I234" s="92">
        <v>6</v>
      </c>
      <c r="J234" s="91">
        <v>159</v>
      </c>
      <c r="K234" s="91">
        <v>188</v>
      </c>
      <c r="L234" s="91" t="str">
        <f t="shared" si="38"/>
        <v>16BX-143</v>
      </c>
      <c r="O234" s="62" t="str">
        <f t="shared" si="37"/>
        <v>bz_5-6 v 7-8</v>
      </c>
    </row>
    <row r="235" spans="1:15" ht="14.1" customHeight="1">
      <c r="A235" s="69">
        <f t="shared" si="32"/>
        <v>46228</v>
      </c>
      <c r="B235" s="70">
        <f>'CHICLETS MASTER S2'!X61</f>
        <v>0.66666666666666696</v>
      </c>
      <c r="C235" s="71" t="s">
        <v>247</v>
      </c>
      <c r="D235" s="119" t="str">
        <f t="shared" si="36"/>
        <v>EDISON HS</v>
      </c>
      <c r="E235" s="71">
        <v>147</v>
      </c>
      <c r="F235" s="91" t="str">
        <f>IF(G230="","W127",IF(G230&gt;I230,_xlfn.CONCAT("W127-",RIGHT(F230,LEN(F230) - FIND("-",F230))), _xlfn.CONCAT("W127-",RIGHT(H230,LEN(H230) - FIND("-",H230)))))</f>
        <v>W127-WCAC UNITED A</v>
      </c>
      <c r="G235" s="92">
        <v>10</v>
      </c>
      <c r="H235" s="91" t="str">
        <f>IF(G231="","W131",IF(G231&gt;I231,_xlfn.CONCAT("W131-",RIGHT(F231,LEN(F231) - FIND("-",F231))), _xlfn.CONCAT("W131-",RIGHT(H231,LEN(H231) - FIND("-",H231)))))</f>
        <v>W131-TROJAN GOLD</v>
      </c>
      <c r="I235" s="92">
        <v>9</v>
      </c>
      <c r="J235" s="91">
        <v>163</v>
      </c>
      <c r="K235" s="91">
        <v>188</v>
      </c>
      <c r="L235" s="91" t="str">
        <f t="shared" si="38"/>
        <v>16BX-147</v>
      </c>
      <c r="O235" s="62" t="str">
        <f t="shared" si="37"/>
        <v>bz_5-6 v 7-8</v>
      </c>
    </row>
    <row r="236" spans="1:15" ht="14.1" customHeight="1">
      <c r="A236" s="69">
        <f t="shared" si="32"/>
        <v>46228</v>
      </c>
      <c r="B236" s="70">
        <f>'CHICLETS MASTER S2'!X62</f>
        <v>0.70833333333333304</v>
      </c>
      <c r="C236" s="71" t="s">
        <v>248</v>
      </c>
      <c r="D236" s="119" t="str">
        <f t="shared" si="36"/>
        <v>EDISON HS</v>
      </c>
      <c r="E236" s="71">
        <v>151</v>
      </c>
      <c r="F236" s="91" t="str">
        <f>IF(G229="","L123",IF(G229&lt;I229,_xlfn.CONCAT("L123-",RIGHT(F229,LEN(F229) - FIND("-",F229))), _xlfn.CONCAT("L123-",RIGHT(H229,LEN(H229) - FIND("-",H229)))))</f>
        <v>L123-BACK BAY</v>
      </c>
      <c r="G236" s="92">
        <v>5</v>
      </c>
      <c r="H236" s="91" t="str">
        <f>IF(G228="","L119",IF(G228&lt;I228,_xlfn.CONCAT("L119-",RIGHT(F228,LEN(F228) - FIND("-",F228))), _xlfn.CONCAT("L119-",RIGHT(H228,LEN(H228) - FIND("-",H228)))))</f>
        <v>L119-FOOTHILL RED</v>
      </c>
      <c r="I236" s="92">
        <v>9</v>
      </c>
      <c r="J236" s="91">
        <v>183</v>
      </c>
      <c r="K236" s="91">
        <v>184</v>
      </c>
      <c r="L236" s="91" t="str">
        <f t="shared" si="38"/>
        <v>16BX-151</v>
      </c>
      <c r="O236" s="62" t="str">
        <f t="shared" si="37"/>
        <v>bz_9-12 semi</v>
      </c>
    </row>
    <row r="237" spans="1:15" ht="14.1" customHeight="1">
      <c r="A237" s="69">
        <f t="shared" si="32"/>
        <v>46228</v>
      </c>
      <c r="B237" s="70">
        <f>'CHICLETS MASTER S2'!X63</f>
        <v>0.75</v>
      </c>
      <c r="C237" s="71" t="s">
        <v>248</v>
      </c>
      <c r="D237" s="119" t="str">
        <f t="shared" si="36"/>
        <v>EDISON HS</v>
      </c>
      <c r="E237" s="71">
        <v>155</v>
      </c>
      <c r="F237" s="91" t="str">
        <f>IF(G231="","L131",IF(G231&lt;I231,_xlfn.CONCAT("L131-",RIGHT(F231,LEN(F231) - FIND("-",F231))), _xlfn.CONCAT("L131-",RIGHT(H231,LEN(H231) - FIND("-",H231)))))</f>
        <v>L131-SHAQ BLUE</v>
      </c>
      <c r="G237" s="92">
        <v>11</v>
      </c>
      <c r="H237" s="91" t="str">
        <f>IF(G230="","L127",IF(G230&lt;I230,_xlfn.CONCAT("L127-",RIGHT(F230,LEN(F230) - FIND("-",F230))), _xlfn.CONCAT("L127-",RIGHT(H230,LEN(H230) - FIND("-",H230)))))</f>
        <v>L127-CAL REPUBLIC</v>
      </c>
      <c r="I237" s="92">
        <v>5</v>
      </c>
      <c r="J237" s="91">
        <v>183</v>
      </c>
      <c r="K237" s="91">
        <v>184</v>
      </c>
      <c r="L237" s="91" t="str">
        <f t="shared" si="38"/>
        <v>16BX-155</v>
      </c>
      <c r="O237" s="62" t="str">
        <f t="shared" si="37"/>
        <v>bz_9-12 semi</v>
      </c>
    </row>
    <row r="238" spans="1:15" ht="14.1" customHeight="1">
      <c r="A238" s="69">
        <f t="shared" si="32"/>
        <v>46228</v>
      </c>
      <c r="B238" s="70">
        <f>'CHICLETS MASTER S2'!X64</f>
        <v>0.79166666666666696</v>
      </c>
      <c r="C238" s="71" t="s">
        <v>439</v>
      </c>
      <c r="D238" s="119" t="str">
        <f t="shared" si="36"/>
        <v>EDISON HS</v>
      </c>
      <c r="E238" s="71">
        <v>159</v>
      </c>
      <c r="F238" s="91" t="str">
        <f>IF(G232="","L135",IF(G232&lt;I232,_xlfn.CONCAT("L135-",RIGHT(F232,LEN(F232) - FIND("-",F232))), _xlfn.CONCAT("L135-",RIGHT(H232,LEN(H232) - FIND("-",H232)))))</f>
        <v>L135-PRAETORIAN BLACK</v>
      </c>
      <c r="G238" s="92">
        <v>8</v>
      </c>
      <c r="H238" s="91" t="str">
        <f>IF(G234="","W143",IF(G234&gt;I234,_xlfn.CONCAT("W143-",RIGHT(F234,LEN(F234) - FIND("-",F234))), _xlfn.CONCAT("W143-",RIGHT(H234,LEN(H234) - FIND("-",H234)))))</f>
        <v>W143-OCWPC</v>
      </c>
      <c r="I238" s="92">
        <v>10</v>
      </c>
      <c r="J238" s="91">
        <v>171</v>
      </c>
      <c r="K238" s="91">
        <v>187</v>
      </c>
      <c r="L238" s="91" t="str">
        <f t="shared" si="38"/>
        <v>16BX-159</v>
      </c>
      <c r="O238" s="62" t="str">
        <f t="shared" si="37"/>
        <v>bz_play to semi</v>
      </c>
    </row>
    <row r="239" spans="1:15" ht="14.1" customHeight="1">
      <c r="A239" s="69">
        <f t="shared" si="32"/>
        <v>46228</v>
      </c>
      <c r="B239" s="70">
        <f>'CHICLETS MASTER S2'!X65</f>
        <v>0.83333333333333304</v>
      </c>
      <c r="C239" s="71" t="s">
        <v>439</v>
      </c>
      <c r="D239" s="119" t="str">
        <f t="shared" si="36"/>
        <v>EDISON HS</v>
      </c>
      <c r="E239" s="71">
        <v>163</v>
      </c>
      <c r="F239" s="91" t="str">
        <f>IF(G233="","L139",IF(G233&lt;I233,_xlfn.CONCAT("L139-",RIGHT(F233,LEN(F233) - FIND("-",F233))), _xlfn.CONCAT("L139-",RIGHT(H233,LEN(H233) - FIND("-",H233)))))</f>
        <v>L139-ASPHALT GREEN</v>
      </c>
      <c r="G239" s="92">
        <v>17</v>
      </c>
      <c r="H239" s="91" t="str">
        <f>IF(G235="","W147",IF(G235&gt;I235,_xlfn.CONCAT("W147-",RIGHT(F235,LEN(F235) - FIND("-",F235))), _xlfn.CONCAT("W147-",RIGHT(H235,LEN(H235) - FIND("-",H235)))))</f>
        <v>W147-WCAC UNITED A</v>
      </c>
      <c r="I239" s="92">
        <v>7</v>
      </c>
      <c r="J239" s="91">
        <v>172</v>
      </c>
      <c r="K239" s="91">
        <v>187</v>
      </c>
      <c r="L239" s="91" t="str">
        <f t="shared" si="38"/>
        <v>16BX-163</v>
      </c>
      <c r="O239" s="62" t="str">
        <f t="shared" si="37"/>
        <v>bz_play to semi</v>
      </c>
    </row>
    <row r="240" spans="1:15" ht="14.1" customHeight="1" thickBot="1">
      <c r="G240" s="62"/>
    </row>
    <row r="241" spans="1:15" ht="14.1" customHeight="1" thickBot="1">
      <c r="A241" s="78"/>
      <c r="B241" s="79"/>
      <c r="C241" s="95"/>
      <c r="D241" s="68" t="str">
        <f>'CHICLETS MASTER S2'!$AQ$51</f>
        <v>LONG BEACH CC 2</v>
      </c>
      <c r="E241" s="60"/>
      <c r="F241" s="60"/>
      <c r="G241" s="64"/>
      <c r="H241" s="60"/>
      <c r="I241" s="60"/>
      <c r="J241" s="60"/>
      <c r="K241" s="60"/>
      <c r="L241" s="60"/>
    </row>
    <row r="242" spans="1:15" ht="14.1" customHeight="1">
      <c r="A242" s="139" t="s">
        <v>124</v>
      </c>
      <c r="B242" s="139" t="s">
        <v>125</v>
      </c>
      <c r="C242" s="139" t="s">
        <v>126</v>
      </c>
      <c r="D242" s="139" t="s">
        <v>127</v>
      </c>
      <c r="E242" s="139" t="s">
        <v>128</v>
      </c>
      <c r="F242" s="139" t="s">
        <v>129</v>
      </c>
      <c r="G242" s="139" t="s">
        <v>130</v>
      </c>
      <c r="H242" s="139" t="s">
        <v>131</v>
      </c>
      <c r="I242" s="139" t="s">
        <v>130</v>
      </c>
      <c r="J242" s="139" t="s">
        <v>132</v>
      </c>
      <c r="K242" s="139" t="s">
        <v>133</v>
      </c>
      <c r="L242" s="139" t="s">
        <v>134</v>
      </c>
    </row>
    <row r="243" spans="1:15" ht="14.1" customHeight="1">
      <c r="A243" s="69">
        <f t="shared" si="32"/>
        <v>46228</v>
      </c>
      <c r="B243" s="70">
        <f>'CHICLETS MASTER S2'!X53</f>
        <v>0.33333333333333331</v>
      </c>
      <c r="C243" s="71" t="s">
        <v>254</v>
      </c>
      <c r="D243" s="119" t="str">
        <f t="shared" ref="D243:D249" si="39">$D$241</f>
        <v>LONG BEACH CC 2</v>
      </c>
      <c r="E243" s="71">
        <v>128</v>
      </c>
      <c r="F243" s="91" t="str">
        <f>IF(G171="","L115",IF(G171&lt;I171,_xlfn.CONCAT("L115-",RIGHT(F171,LEN(F171) - FIND("-",F171))), _xlfn.CONCAT("L115-",RIGHT(H171,LEN(H171) - FIND("-",H171)))))</f>
        <v>L115-LA JOLLA UNITED C</v>
      </c>
      <c r="G243" s="92">
        <v>14</v>
      </c>
      <c r="H243" s="91" t="s">
        <v>1436</v>
      </c>
      <c r="I243" s="92">
        <v>10</v>
      </c>
      <c r="J243" s="91">
        <v>152</v>
      </c>
      <c r="K243" s="91">
        <v>156</v>
      </c>
      <c r="L243" s="91" t="str">
        <f t="shared" ref="L243:L254" si="40">IF(E243="","",$L$15&amp;"-"&amp;TEXT(E243,"000"))</f>
        <v>16BX-128</v>
      </c>
      <c r="O243" s="62" t="str">
        <f t="shared" ref="O243:O254" si="41">$L$257&amp;C243</f>
        <v>bz_13-20 qtr</v>
      </c>
    </row>
    <row r="244" spans="1:15" ht="14.1" customHeight="1">
      <c r="A244" s="69">
        <f t="shared" si="32"/>
        <v>46228</v>
      </c>
      <c r="B244" s="70">
        <f>'CHICLETS MASTER S2'!X54</f>
        <v>0.375</v>
      </c>
      <c r="C244" s="71" t="s">
        <v>254</v>
      </c>
      <c r="D244" s="119" t="str">
        <f t="shared" si="39"/>
        <v>LONG BEACH CC 2</v>
      </c>
      <c r="E244" s="71">
        <v>132</v>
      </c>
      <c r="F244" s="91" t="str">
        <f>IF(G190="","L116",IF(G190&lt;I190,_xlfn.CONCAT("L116-",RIGHT(F190,LEN(F190) - FIND("-",F190))), _xlfn.CONCAT("L116-",RIGHT(H190,LEN(H190) - FIND("-",H190)))))</f>
        <v>L116-WEST VALLEY</v>
      </c>
      <c r="G244" s="92">
        <v>13</v>
      </c>
      <c r="H244" s="91" t="s">
        <v>1437</v>
      </c>
      <c r="I244" s="92">
        <v>8</v>
      </c>
      <c r="J244" s="91">
        <v>152</v>
      </c>
      <c r="K244" s="91">
        <v>156</v>
      </c>
      <c r="L244" s="91" t="str">
        <f t="shared" si="40"/>
        <v>16BX-132</v>
      </c>
      <c r="O244" s="62" t="str">
        <f t="shared" si="41"/>
        <v>bz_13-20 qtr</v>
      </c>
    </row>
    <row r="245" spans="1:15" ht="14.1" customHeight="1">
      <c r="A245" s="69">
        <f t="shared" si="32"/>
        <v>46228</v>
      </c>
      <c r="B245" s="70">
        <f>'CHICLETS MASTER S2'!X55</f>
        <v>0.41666666666666702</v>
      </c>
      <c r="C245" s="71" t="s">
        <v>254</v>
      </c>
      <c r="D245" s="119" t="str">
        <f t="shared" si="39"/>
        <v>LONG BEACH CC 2</v>
      </c>
      <c r="E245" s="71">
        <v>136</v>
      </c>
      <c r="F245" s="91" t="str">
        <f>IF(G170="","L111",IF(G170&lt;I170,_xlfn.CONCAT("L111-",RIGHT(F170,LEN(F170) - FIND("-",F170))), _xlfn.CONCAT("L111-",RIGHT(H170,LEN(H170) - FIND("-",H170)))))</f>
        <v>L111-PUNAHOU</v>
      </c>
      <c r="G245" s="92">
        <v>13</v>
      </c>
      <c r="H245" s="91" t="s">
        <v>1438</v>
      </c>
      <c r="I245" s="92">
        <v>11</v>
      </c>
      <c r="J245" s="91">
        <v>160</v>
      </c>
      <c r="K245" s="91">
        <v>164</v>
      </c>
      <c r="L245" s="91" t="str">
        <f t="shared" si="40"/>
        <v>16BX-136</v>
      </c>
      <c r="O245" s="62" t="str">
        <f t="shared" si="41"/>
        <v>bz_13-20 qtr</v>
      </c>
    </row>
    <row r="246" spans="1:15" ht="14.1" customHeight="1">
      <c r="A246" s="69">
        <f t="shared" si="32"/>
        <v>46228</v>
      </c>
      <c r="B246" s="70">
        <f>'CHICLETS MASTER S2'!X56</f>
        <v>0.45833333333333298</v>
      </c>
      <c r="C246" s="71" t="s">
        <v>254</v>
      </c>
      <c r="D246" s="119" t="str">
        <f t="shared" si="39"/>
        <v>LONG BEACH CC 2</v>
      </c>
      <c r="E246" s="71">
        <v>140</v>
      </c>
      <c r="F246" s="91" t="str">
        <f>IF(G189="","L112",IF(G189&lt;I189,_xlfn.CONCAT("L112-",RIGHT(F189,LEN(F189) - FIND("-",F189))), _xlfn.CONCAT("L112-",RIGHT(H189,LEN(H189) - FIND("-",H189)))))</f>
        <v>L112-GREAT LAKES AQUATICS</v>
      </c>
      <c r="G246" s="92">
        <v>10</v>
      </c>
      <c r="H246" s="91" t="s">
        <v>1439</v>
      </c>
      <c r="I246" s="92">
        <v>9</v>
      </c>
      <c r="J246" s="91">
        <v>160</v>
      </c>
      <c r="K246" s="91">
        <v>164</v>
      </c>
      <c r="L246" s="91" t="str">
        <f t="shared" si="40"/>
        <v>16BX-140</v>
      </c>
      <c r="O246" s="62" t="str">
        <f t="shared" si="41"/>
        <v>bz_13-20 qtr</v>
      </c>
    </row>
    <row r="247" spans="1:15" ht="14.1" customHeight="1">
      <c r="A247" s="69">
        <f t="shared" si="32"/>
        <v>46228</v>
      </c>
      <c r="B247" s="70">
        <f>'CHICLETS MASTER S2'!X57</f>
        <v>0.5</v>
      </c>
      <c r="C247" s="71" t="s">
        <v>249</v>
      </c>
      <c r="D247" s="119" t="str">
        <f t="shared" si="39"/>
        <v>LONG BEACH CC 2</v>
      </c>
      <c r="E247" s="71">
        <v>144</v>
      </c>
      <c r="F247" s="91" t="s">
        <v>1426</v>
      </c>
      <c r="G247" s="92">
        <v>13</v>
      </c>
      <c r="H247" s="91" t="s">
        <v>1417</v>
      </c>
      <c r="I247" s="92">
        <v>6</v>
      </c>
      <c r="J247" s="91"/>
      <c r="K247" s="91"/>
      <c r="L247" s="91" t="str">
        <f t="shared" si="40"/>
        <v>16BX-144</v>
      </c>
      <c r="O247" s="62" t="str">
        <f t="shared" si="41"/>
        <v>bz_21-24 RR</v>
      </c>
    </row>
    <row r="248" spans="1:15" ht="14.1" customHeight="1">
      <c r="A248" s="69">
        <f t="shared" si="32"/>
        <v>46228</v>
      </c>
      <c r="B248" s="70">
        <f>'CHICLETS MASTER S2'!X58</f>
        <v>0.54166666666666696</v>
      </c>
      <c r="C248" s="71" t="s">
        <v>249</v>
      </c>
      <c r="D248" s="119" t="str">
        <f t="shared" si="39"/>
        <v>LONG BEACH CC 2</v>
      </c>
      <c r="E248" s="71">
        <v>148</v>
      </c>
      <c r="F248" s="91" t="s">
        <v>1416</v>
      </c>
      <c r="G248" s="92">
        <v>5</v>
      </c>
      <c r="H248" s="91" t="s">
        <v>1427</v>
      </c>
      <c r="I248" s="92">
        <v>8</v>
      </c>
      <c r="J248" s="91"/>
      <c r="K248" s="91"/>
      <c r="L248" s="91" t="str">
        <f t="shared" si="40"/>
        <v>16BX-148</v>
      </c>
      <c r="O248" s="62" t="str">
        <f t="shared" si="41"/>
        <v>bz_21-24 RR</v>
      </c>
    </row>
    <row r="249" spans="1:15" ht="14.1" customHeight="1">
      <c r="A249" s="69">
        <f t="shared" si="32"/>
        <v>46228</v>
      </c>
      <c r="B249" s="70">
        <f>'CHICLETS MASTER S2'!X59</f>
        <v>0.58333333333333304</v>
      </c>
      <c r="C249" s="71" t="s">
        <v>259</v>
      </c>
      <c r="D249" s="119" t="str">
        <f t="shared" si="39"/>
        <v>LONG BEACH CC 2</v>
      </c>
      <c r="E249" s="71">
        <v>152</v>
      </c>
      <c r="F249" s="91" t="str">
        <f>IF(G243="","W128",IF(G243&gt;I243,_xlfn.CONCAT("W128-",RIGHT(F243,LEN(F243) - FIND("-",F243))), _xlfn.CONCAT("W128-",RIGHT(H243,LEN(H243) - FIND("-",H243)))))</f>
        <v>W128-LA JOLLA UNITED C</v>
      </c>
      <c r="G249" s="92">
        <v>9</v>
      </c>
      <c r="H249" s="91" t="str">
        <f>IF(G244="","W132",IF(G244&gt;I244,_xlfn.CONCAT("W132-",RIGHT(F244,LEN(F244) - FIND("-",F244))), _xlfn.CONCAT("W132-",RIGHT(H244,LEN(H244) - FIND("-",H244)))))</f>
        <v>W132-WEST VALLEY</v>
      </c>
      <c r="I249" s="92">
        <v>6</v>
      </c>
      <c r="J249" s="91">
        <v>179</v>
      </c>
      <c r="K249" s="91">
        <v>180</v>
      </c>
      <c r="L249" s="91" t="str">
        <f t="shared" si="40"/>
        <v>16BX-152</v>
      </c>
      <c r="O249" s="62" t="str">
        <f t="shared" si="41"/>
        <v>bz_13-16 semi</v>
      </c>
    </row>
    <row r="250" spans="1:15" ht="14.1" customHeight="1">
      <c r="G250" s="62"/>
    </row>
    <row r="251" spans="1:15" ht="14.1" customHeight="1">
      <c r="G251" s="62"/>
    </row>
    <row r="252" spans="1:15" ht="14.1" customHeight="1">
      <c r="A252" s="69">
        <f t="shared" si="32"/>
        <v>46228</v>
      </c>
      <c r="B252" s="70">
        <f>'CHICLETS MASTER S2'!X62</f>
        <v>0.70833333333333304</v>
      </c>
      <c r="C252" s="71" t="s">
        <v>260</v>
      </c>
      <c r="D252" s="119" t="str">
        <f>$D$241</f>
        <v>LONG BEACH CC 2</v>
      </c>
      <c r="E252" s="71">
        <v>156</v>
      </c>
      <c r="F252" s="91" t="str">
        <f>IF(G244="","L132",IF(G244&lt;I244,_xlfn.CONCAT("L132-",RIGHT(F244,LEN(F244) - FIND("-",F244))), _xlfn.CONCAT("L132-",RIGHT(H244,LEN(H244) - FIND("-",H244)))))</f>
        <v>L132-VEGAS PATRIOT</v>
      </c>
      <c r="G252" s="92">
        <v>8</v>
      </c>
      <c r="H252" s="91" t="str">
        <f>IF(G243="","L128",IF(G243&lt;I243,_xlfn.CONCAT("L128-",RIGHT(F243,LEN(F243) - FIND("-",F243))), _xlfn.CONCAT("L128-",RIGHT(H243,LEN(H243) - FIND("-",H243)))))</f>
        <v>L128-RISE</v>
      </c>
      <c r="I252" s="92">
        <v>12</v>
      </c>
      <c r="J252" s="91">
        <v>175</v>
      </c>
      <c r="K252" s="91">
        <v>176</v>
      </c>
      <c r="L252" s="91" t="str">
        <f t="shared" si="40"/>
        <v>16BX-156</v>
      </c>
      <c r="O252" s="62" t="str">
        <f t="shared" si="41"/>
        <v>bz_17-20 semi</v>
      </c>
    </row>
    <row r="253" spans="1:15" ht="14.1" customHeight="1">
      <c r="A253" s="69">
        <f t="shared" si="32"/>
        <v>46228</v>
      </c>
      <c r="B253" s="70">
        <f>'CHICLETS MASTER S2'!X63</f>
        <v>0.75</v>
      </c>
      <c r="C253" s="71" t="s">
        <v>259</v>
      </c>
      <c r="D253" s="119" t="str">
        <f>$D$241</f>
        <v>LONG BEACH CC 2</v>
      </c>
      <c r="E253" s="71">
        <v>160</v>
      </c>
      <c r="F253" s="91" t="str">
        <f>IF(G245="","W136",IF(G245&gt;I245,_xlfn.CONCAT("W136-",RIGHT(F245,LEN(F245) - FIND("-",F245))), _xlfn.CONCAT("W136-",RIGHT(H245,LEN(H245) - FIND("-",H245)))))</f>
        <v>W136-PUNAHOU</v>
      </c>
      <c r="G253" s="92">
        <v>8</v>
      </c>
      <c r="H253" s="91" t="str">
        <f>IF(G246="","W140",IF(G246&gt;I246,_xlfn.CONCAT("W140-",RIGHT(F246,LEN(F246) - FIND("-",F246))), _xlfn.CONCAT("W140-",RIGHT(H246,LEN(H246) - FIND("-",H246)))))</f>
        <v>W140-GREAT LAKES AQUATICS</v>
      </c>
      <c r="I253" s="92">
        <v>7</v>
      </c>
      <c r="J253" s="91">
        <v>179</v>
      </c>
      <c r="K253" s="91">
        <v>180</v>
      </c>
      <c r="L253" s="91" t="str">
        <f t="shared" si="40"/>
        <v>16BX-160</v>
      </c>
      <c r="O253" s="62" t="str">
        <f t="shared" si="41"/>
        <v>bz_13-16 semi</v>
      </c>
    </row>
    <row r="254" spans="1:15" ht="14.1" customHeight="1">
      <c r="A254" s="69">
        <f t="shared" si="32"/>
        <v>46228</v>
      </c>
      <c r="B254" s="70">
        <f>'CHICLETS MASTER S2'!X64</f>
        <v>0.79166666666666696</v>
      </c>
      <c r="C254" s="71" t="s">
        <v>260</v>
      </c>
      <c r="D254" s="119" t="str">
        <f>$D$241</f>
        <v>LONG BEACH CC 2</v>
      </c>
      <c r="E254" s="71">
        <v>164</v>
      </c>
      <c r="F254" s="91" t="str">
        <f>IF(G246="","L140",IF(G246&lt;I246,_xlfn.CONCAT("L140-",RIGHT(F246,LEN(F246) - FIND("-",F246))), _xlfn.CONCAT("L140-",RIGHT(H246,LEN(H246) - FIND("-",H246)))))</f>
        <v>L140-CENTRAL VALLEY UNITED</v>
      </c>
      <c r="G254" s="92">
        <v>10</v>
      </c>
      <c r="H254" s="91" t="str">
        <f>IF(G245="","L136",IF(G245&lt;I245,_xlfn.CONCAT("L136-",RIGHT(F245,LEN(F245) - FIND("-",F245))), _xlfn.CONCAT("L136-",RIGHT(H245,LEN(H245) - FIND("-",H245)))))</f>
        <v>L136-MAVERICKS</v>
      </c>
      <c r="I254" s="92">
        <v>13</v>
      </c>
      <c r="J254" s="91">
        <v>175</v>
      </c>
      <c r="K254" s="91">
        <v>176</v>
      </c>
      <c r="L254" s="91" t="str">
        <f t="shared" si="40"/>
        <v>16BX-164</v>
      </c>
      <c r="O254" s="62" t="str">
        <f t="shared" si="41"/>
        <v>bz_17-20 semi</v>
      </c>
    </row>
    <row r="255" spans="1:15" ht="14.1" customHeight="1" thickBot="1">
      <c r="G255" s="62"/>
    </row>
    <row r="256" spans="1:15" ht="14.1" customHeight="1" thickTop="1" thickBot="1">
      <c r="A256" s="68" t="s">
        <v>267</v>
      </c>
      <c r="B256" s="82"/>
      <c r="C256" s="82"/>
      <c r="D256" s="82"/>
      <c r="E256" s="82"/>
      <c r="F256" s="82"/>
      <c r="G256" s="83"/>
      <c r="H256" s="82"/>
      <c r="I256" s="82"/>
      <c r="J256" s="82"/>
      <c r="K256" s="82"/>
      <c r="L256" s="82"/>
    </row>
    <row r="257" spans="1:15" ht="14.1" customHeight="1" thickBot="1">
      <c r="A257" s="61">
        <v>46229</v>
      </c>
      <c r="G257" s="62"/>
      <c r="K257" s="62" t="s">
        <v>1034</v>
      </c>
      <c r="L257" s="62" t="s">
        <v>1035</v>
      </c>
    </row>
    <row r="258" spans="1:15" ht="14.1" customHeight="1" thickBot="1">
      <c r="A258" s="60"/>
      <c r="B258" s="60"/>
      <c r="C258" s="60"/>
      <c r="D258" s="65" t="str">
        <f>'CHICLETS MASTER S2'!$AQ$72</f>
        <v>LONG BEACH CC 2</v>
      </c>
      <c r="E258" s="60"/>
      <c r="F258" s="60"/>
      <c r="G258" s="64"/>
      <c r="H258" s="60"/>
      <c r="I258" s="64"/>
      <c r="J258" s="60"/>
      <c r="K258" s="60"/>
      <c r="L258" s="60"/>
    </row>
    <row r="259" spans="1:15" ht="14.1" customHeight="1">
      <c r="A259" s="139" t="s">
        <v>124</v>
      </c>
      <c r="B259" s="139" t="s">
        <v>125</v>
      </c>
      <c r="C259" s="139" t="s">
        <v>126</v>
      </c>
      <c r="D259" s="139" t="s">
        <v>127</v>
      </c>
      <c r="E259" s="139" t="s">
        <v>128</v>
      </c>
      <c r="F259" s="139" t="s">
        <v>129</v>
      </c>
      <c r="G259" s="139" t="s">
        <v>130</v>
      </c>
      <c r="H259" s="139" t="s">
        <v>131</v>
      </c>
      <c r="I259" s="139" t="s">
        <v>130</v>
      </c>
      <c r="J259" s="139" t="s">
        <v>132</v>
      </c>
      <c r="K259" s="139" t="s">
        <v>133</v>
      </c>
      <c r="L259" s="139" t="s">
        <v>134</v>
      </c>
    </row>
    <row r="260" spans="1:15" ht="14.1" customHeight="1">
      <c r="A260" s="69">
        <f t="shared" ref="A260:A282" si="42">$A$257</f>
        <v>46229</v>
      </c>
      <c r="B260" s="70">
        <f>'CHICLETS MASTER S2'!X73</f>
        <v>0.29166666666666669</v>
      </c>
      <c r="C260" s="71" t="s">
        <v>249</v>
      </c>
      <c r="D260" s="119" t="str">
        <f t="shared" ref="D260" si="43">$D$258</f>
        <v>LONG BEACH CC 2</v>
      </c>
      <c r="E260" s="71">
        <v>165</v>
      </c>
      <c r="F260" s="90" t="s">
        <v>1420</v>
      </c>
      <c r="G260" s="93">
        <v>7</v>
      </c>
      <c r="H260" s="90" t="s">
        <v>1418</v>
      </c>
      <c r="I260" s="93">
        <v>8</v>
      </c>
      <c r="J260" s="90"/>
      <c r="K260" s="90"/>
      <c r="L260" s="90" t="str">
        <f>$L$15&amp;"-"&amp;TEXT(E260,"000")</f>
        <v>16BX-165</v>
      </c>
      <c r="N260" s="62" t="str">
        <f>$K$257&amp;C260</f>
        <v>ag_21-24 RR</v>
      </c>
      <c r="O260" s="62" t="str">
        <f>$K$257&amp;C260</f>
        <v>ag_21-24 RR</v>
      </c>
    </row>
    <row r="261" spans="1:15" ht="14.1" customHeight="1">
      <c r="A261" s="69">
        <f t="shared" si="42"/>
        <v>46229</v>
      </c>
      <c r="B261" s="70">
        <f>'CHICLETS MASTER S2'!X74</f>
        <v>0.33333333333333298</v>
      </c>
      <c r="C261" s="71" t="s">
        <v>249</v>
      </c>
      <c r="D261" s="119" t="str">
        <f>$D$258</f>
        <v>LONG BEACH CC 2</v>
      </c>
      <c r="E261" s="71">
        <v>166</v>
      </c>
      <c r="F261" s="90" t="s">
        <v>1419</v>
      </c>
      <c r="G261" s="93">
        <v>8</v>
      </c>
      <c r="H261" s="90" t="s">
        <v>1421</v>
      </c>
      <c r="I261" s="93">
        <v>11</v>
      </c>
      <c r="J261" s="90"/>
      <c r="K261" s="90"/>
      <c r="L261" s="90" t="str">
        <f t="shared" ref="L261" si="44">$L$15&amp;"-"&amp;TEXT(E261,"000")</f>
        <v>16BX-166</v>
      </c>
      <c r="N261" s="62" t="str">
        <f t="shared" ref="N261" si="45">$K$257&amp;C261</f>
        <v>ag_21-24 RR</v>
      </c>
      <c r="O261" s="62" t="str">
        <f t="shared" ref="O261" si="46">$K$257&amp;C261</f>
        <v>ag_21-24 RR</v>
      </c>
    </row>
    <row r="262" spans="1:15" ht="14.1" customHeight="1">
      <c r="A262" s="69">
        <f t="shared" si="42"/>
        <v>46229</v>
      </c>
      <c r="B262" s="70">
        <f>'CHICLETS MASTER S2'!X75</f>
        <v>0.375</v>
      </c>
      <c r="C262" s="71" t="s">
        <v>284</v>
      </c>
      <c r="D262" s="119" t="str">
        <f t="shared" ref="D262" si="47">$D$258</f>
        <v>LONG BEACH CC 2</v>
      </c>
      <c r="E262" s="94">
        <v>181</v>
      </c>
      <c r="F262" s="122" t="str">
        <f>IF(G204="","L149",IF(G204&lt;I204,_xlfn.CONCAT("L149-",RIGHT(F204,LEN(F204) - FIND("-",F204))), _xlfn.CONCAT("L149-",RIGHT(H204,LEN(H204) - FIND("-",H204)))))</f>
        <v>L149-CORONA DEL MAR</v>
      </c>
      <c r="G262" s="123">
        <v>12</v>
      </c>
      <c r="H262" s="90" t="str">
        <f>IF(G205="","L153",IF(G205&lt;I205,_xlfn.CONCAT("L153-",RIGHT(F205,LEN(F205) - FIND("-",F205))), _xlfn.CONCAT("L153-",RIGHT(H205,LEN(H205) - FIND("-",H205)))))</f>
        <v>L153-SD SHORES GOLD</v>
      </c>
      <c r="I262" s="93">
        <v>14</v>
      </c>
      <c r="J262" s="90" t="s">
        <v>1171</v>
      </c>
      <c r="K262" s="90" t="s">
        <v>1172</v>
      </c>
      <c r="L262" s="90" t="str">
        <f>$L$15&amp;"-"&amp;TEXT(E262,"000")</f>
        <v>16BX-181</v>
      </c>
      <c r="N262" s="62" t="str">
        <f>$K$257&amp;C262</f>
        <v>ag_11th</v>
      </c>
      <c r="O262" s="62" t="str">
        <f>$K$257&amp;C262</f>
        <v>ag_11th</v>
      </c>
    </row>
    <row r="263" spans="1:15" ht="14.1" customHeight="1">
      <c r="A263" s="69">
        <f t="shared" si="42"/>
        <v>46229</v>
      </c>
      <c r="B263" s="70">
        <f>'CHICLETS MASTER S2'!X76</f>
        <v>0.41666666666666702</v>
      </c>
      <c r="C263" s="71" t="s">
        <v>287</v>
      </c>
      <c r="D263" s="119" t="str">
        <f t="shared" ref="D263:D266" si="48">$D$258</f>
        <v>LONG BEACH CC 2</v>
      </c>
      <c r="E263" s="71">
        <v>178</v>
      </c>
      <c r="F263" s="90" t="str">
        <f>IF(G220="","W150",IF(G220&gt;I220,_xlfn.CONCAT("W150-",RIGHT(F220,LEN(F220) - FIND("-",F220))), _xlfn.CONCAT("W150-",RIGHT(H220,LEN(H220) - FIND("-",H220)))))</f>
        <v>W150-DIABLO ALLIANCE</v>
      </c>
      <c r="G263" s="97">
        <v>6.4</v>
      </c>
      <c r="H263" s="90" t="str">
        <f>IF(G222="","W158",IF(G222&gt;I222,_xlfn.CONCAT("W158-",RIGHT(F222,LEN(F222) - FIND("-",F222))), _xlfn.CONCAT("W158-",RIGHT(H222,LEN(H222) - FIND("-",H222)))))</f>
        <v>W158-STANFORD BLACK</v>
      </c>
      <c r="I263" s="97">
        <v>6.3</v>
      </c>
      <c r="J263" s="90" t="s">
        <v>1173</v>
      </c>
      <c r="K263" s="90" t="s">
        <v>1174</v>
      </c>
      <c r="L263" s="90" t="str">
        <f>$L$15&amp;"-"&amp;TEXT(E263,"000")</f>
        <v>16BX-178</v>
      </c>
      <c r="N263" s="62" t="str">
        <f>$K$257&amp;C263</f>
        <v>ag_13th</v>
      </c>
      <c r="O263" s="62" t="str">
        <f>$K$257&amp;C263</f>
        <v>ag_13th</v>
      </c>
    </row>
    <row r="264" spans="1:15" ht="14.1" customHeight="1">
      <c r="A264" s="69">
        <f t="shared" si="42"/>
        <v>46229</v>
      </c>
      <c r="B264" s="70">
        <f>'CHICLETS MASTER S2'!X77</f>
        <v>0.45833333333333298</v>
      </c>
      <c r="C264" s="71" t="s">
        <v>290</v>
      </c>
      <c r="D264" s="119" t="str">
        <f t="shared" si="48"/>
        <v>LONG BEACH CC 2</v>
      </c>
      <c r="E264" s="71">
        <v>177</v>
      </c>
      <c r="F264" s="90" t="str">
        <f>IF(G220="","L150",IF(G220&lt;I220,_xlfn.CONCAT("L150-",RIGHT(F220,LEN(F220) - FIND("-",F220))), _xlfn.CONCAT("L150-",RIGHT(H220,LEN(H220) - FIND("-",H220)))))</f>
        <v>L150-SHARKS</v>
      </c>
      <c r="G264" s="93">
        <v>13</v>
      </c>
      <c r="H264" s="90" t="str">
        <f>IF(G222="","L158",IF(G222&lt;I222,_xlfn.CONCAT("L158-",RIGHT(F222,LEN(F222) - FIND("-",F222))), _xlfn.CONCAT("L158-",RIGHT(H222,LEN(H222) - FIND("-",H222)))))</f>
        <v>L158-ALAMEDA</v>
      </c>
      <c r="I264" s="93">
        <v>14</v>
      </c>
      <c r="J264" s="90" t="s">
        <v>1175</v>
      </c>
      <c r="K264" s="90" t="s">
        <v>1176</v>
      </c>
      <c r="L264" s="90" t="str">
        <f>$L$15&amp;"-"&amp;TEXT(E264,"000")</f>
        <v>16BX-177</v>
      </c>
      <c r="N264" s="62" t="str">
        <f>$K$257&amp;C264</f>
        <v>ag_15th</v>
      </c>
      <c r="O264" s="62" t="str">
        <f>$K$257&amp;C264</f>
        <v>ag_15th</v>
      </c>
    </row>
    <row r="265" spans="1:15" ht="14.1" customHeight="1">
      <c r="A265" s="69">
        <f t="shared" si="42"/>
        <v>46229</v>
      </c>
      <c r="B265" s="70">
        <f>'CHICLETS MASTER S2'!X78</f>
        <v>0.5</v>
      </c>
      <c r="C265" s="71" t="s">
        <v>293</v>
      </c>
      <c r="D265" s="119" t="str">
        <f t="shared" si="48"/>
        <v>LONG BEACH CC 2</v>
      </c>
      <c r="E265" s="71">
        <v>170</v>
      </c>
      <c r="F265" s="90" t="str">
        <f>IF(G221="","W154",IF(G221&gt;I221,_xlfn.CONCAT("W154-",RIGHT(F221,LEN(F221) - FIND("-",F221))), _xlfn.CONCAT("W154-",RIGHT(H221,LEN(H221) - FIND("-",H221)))))</f>
        <v>W154-LOWPO</v>
      </c>
      <c r="G265" s="93">
        <v>11</v>
      </c>
      <c r="H265" s="90" t="str">
        <f>IF(G223="","W162",IF(G223&gt;I223,_xlfn.CONCAT("W162-",RIGHT(F223,LEN(F223) - FIND("-",F223))), _xlfn.CONCAT("W162-",RIGHT(H223,LEN(H223) - FIND("-",H223)))))</f>
        <v>W162-VIPER PIGEON</v>
      </c>
      <c r="I265" s="93">
        <v>8</v>
      </c>
      <c r="J265" s="90" t="s">
        <v>1177</v>
      </c>
      <c r="K265" s="90" t="s">
        <v>1178</v>
      </c>
      <c r="L265" s="90" t="str">
        <f>$L$15&amp;"-"&amp;TEXT(E265,"000")</f>
        <v>16BX-170</v>
      </c>
      <c r="N265" s="62" t="str">
        <f>$K$257&amp;C265</f>
        <v>ag_17th</v>
      </c>
      <c r="O265" s="62" t="str">
        <f>$K$257&amp;C265</f>
        <v>ag_17th</v>
      </c>
    </row>
    <row r="266" spans="1:15" ht="14.1" customHeight="1">
      <c r="A266" s="69">
        <f t="shared" si="42"/>
        <v>46229</v>
      </c>
      <c r="B266" s="70">
        <f>'CHICLETS MASTER S2'!X79</f>
        <v>0.54166666666666696</v>
      </c>
      <c r="C266" s="71" t="s">
        <v>296</v>
      </c>
      <c r="D266" s="119" t="str">
        <f t="shared" si="48"/>
        <v>LONG BEACH CC 2</v>
      </c>
      <c r="E266" s="71">
        <v>169</v>
      </c>
      <c r="F266" s="90" t="str">
        <f>IF(G221="","L154",IF(G221&lt;I221,_xlfn.CONCAT("L154-",RIGHT(F221,LEN(F221) - FIND("-",F221))), _xlfn.CONCAT("L154-",RIGHT(H221,LEN(H221) - FIND("-",H221)))))</f>
        <v>L154-PALOS VERDES BLACK</v>
      </c>
      <c r="G266" s="93">
        <v>15</v>
      </c>
      <c r="H266" s="90" t="str">
        <f>IF(G223="","L162",IF(G223&lt;I223,_xlfn.CONCAT("L162-",RIGHT(F223,LEN(F223) - FIND("-",F223))), _xlfn.CONCAT("L162-",RIGHT(H223,LEN(H223) - FIND("-",H223)))))</f>
        <v>L162-PUGET SOUND</v>
      </c>
      <c r="I266" s="93">
        <v>8</v>
      </c>
      <c r="J266" s="90" t="s">
        <v>1179</v>
      </c>
      <c r="K266" s="90" t="s">
        <v>1180</v>
      </c>
      <c r="L266" s="90" t="str">
        <f>$L$15&amp;"-"&amp;TEXT(E266,"000")</f>
        <v>16BX-169</v>
      </c>
      <c r="N266" s="62" t="str">
        <f>$K$257&amp;C266</f>
        <v>ag_19th</v>
      </c>
      <c r="O266" s="62" t="str">
        <f>$K$257&amp;C266</f>
        <v>ag_19th</v>
      </c>
    </row>
    <row r="267" spans="1:15" ht="14.1" customHeight="1" thickBot="1"/>
    <row r="268" spans="1:15" ht="14.1" customHeight="1" thickBot="1">
      <c r="A268" s="60"/>
      <c r="B268" s="60"/>
      <c r="C268" s="60"/>
      <c r="D268" s="65" t="str">
        <f>'CHICLETS MASTER S2'!$AN$72</f>
        <v>SAN JUAN HILLS HS</v>
      </c>
      <c r="E268" s="60"/>
      <c r="F268" s="60"/>
      <c r="G268" s="64"/>
      <c r="H268" s="60"/>
      <c r="I268" s="64"/>
      <c r="J268" s="60"/>
      <c r="K268" s="60"/>
      <c r="L268" s="60"/>
    </row>
    <row r="269" spans="1:15" ht="14.1" customHeight="1">
      <c r="A269" s="139" t="s">
        <v>124</v>
      </c>
      <c r="B269" s="139" t="s">
        <v>125</v>
      </c>
      <c r="C269" s="139" t="s">
        <v>126</v>
      </c>
      <c r="D269" s="139" t="s">
        <v>127</v>
      </c>
      <c r="E269" s="139" t="s">
        <v>128</v>
      </c>
      <c r="F269" s="141" t="s">
        <v>129</v>
      </c>
      <c r="G269" s="141" t="s">
        <v>130</v>
      </c>
      <c r="H269" s="141" t="s">
        <v>131</v>
      </c>
      <c r="I269" s="139" t="s">
        <v>130</v>
      </c>
      <c r="J269" s="139" t="s">
        <v>132</v>
      </c>
      <c r="K269" s="139" t="s">
        <v>133</v>
      </c>
      <c r="L269" s="139" t="s">
        <v>134</v>
      </c>
    </row>
    <row r="270" spans="1:15" ht="14.1" customHeight="1">
      <c r="A270" s="69">
        <f t="shared" ref="A270:A285" si="49">$A$257</f>
        <v>46229</v>
      </c>
      <c r="B270" s="70">
        <f>'CHICLETS MASTER S2'!X73</f>
        <v>0.29166666666666669</v>
      </c>
      <c r="C270" s="71" t="s">
        <v>249</v>
      </c>
      <c r="D270" s="119" t="str">
        <f>$D$268</f>
        <v>SAN JUAN HILLS HS</v>
      </c>
      <c r="E270" s="94">
        <v>167</v>
      </c>
      <c r="F270" s="124" t="s">
        <v>1416</v>
      </c>
      <c r="G270" s="125">
        <v>9</v>
      </c>
      <c r="H270" s="124" t="s">
        <v>1426</v>
      </c>
      <c r="I270" s="126">
        <v>12</v>
      </c>
      <c r="J270" s="91"/>
      <c r="K270" s="91"/>
      <c r="L270" s="91" t="str">
        <f t="shared" ref="L270:L285" si="50">$L$15&amp;"-"&amp;TEXT(E270,"000")</f>
        <v>16BX-167</v>
      </c>
      <c r="N270" s="62" t="str">
        <f t="shared" ref="N270:N285" si="51">$L$257&amp;C270</f>
        <v>bz_21-24 RR</v>
      </c>
      <c r="O270" s="62" t="str">
        <f t="shared" ref="O270:O285" si="52">$L$257&amp;C270</f>
        <v>bz_21-24 RR</v>
      </c>
    </row>
    <row r="271" spans="1:15" ht="14.1" customHeight="1">
      <c r="A271" s="69">
        <f t="shared" si="49"/>
        <v>46229</v>
      </c>
      <c r="B271" s="70">
        <f>'CHICLETS MASTER S2'!X74</f>
        <v>0.33333333333333298</v>
      </c>
      <c r="C271" s="71" t="s">
        <v>249</v>
      </c>
      <c r="D271" s="119" t="str">
        <f>$D$268</f>
        <v>SAN JUAN HILLS HS</v>
      </c>
      <c r="E271" s="94">
        <v>168</v>
      </c>
      <c r="F271" s="124" t="s">
        <v>1427</v>
      </c>
      <c r="G271" s="125">
        <v>11</v>
      </c>
      <c r="H271" s="124" t="s">
        <v>1417</v>
      </c>
      <c r="I271" s="126">
        <v>6</v>
      </c>
      <c r="J271" s="91"/>
      <c r="K271" s="91"/>
      <c r="L271" s="91" t="str">
        <f t="shared" si="50"/>
        <v>16BX-168</v>
      </c>
      <c r="N271" s="62" t="str">
        <f t="shared" si="51"/>
        <v>bz_21-24 RR</v>
      </c>
      <c r="O271" s="62" t="str">
        <f t="shared" si="52"/>
        <v>bz_21-24 RR</v>
      </c>
    </row>
    <row r="272" spans="1:15" ht="14.1" customHeight="1">
      <c r="A272" s="69">
        <f t="shared" si="49"/>
        <v>46229</v>
      </c>
      <c r="B272" s="70">
        <f>'CHICLETS MASTER S2'!X75</f>
        <v>0.375</v>
      </c>
      <c r="C272" s="71" t="s">
        <v>287</v>
      </c>
      <c r="D272" s="119" t="str">
        <f>$D$268</f>
        <v>SAN JUAN HILLS HS</v>
      </c>
      <c r="E272" s="71">
        <v>179</v>
      </c>
      <c r="F272" s="91" t="str">
        <f>IF(G249="","W152",IF(G249&gt;I249,_xlfn.CONCAT("W152-",RIGHT(F249,LEN(F249) - FIND("-",F249))), _xlfn.CONCAT("W152-",RIGHT(H249,LEN(H249) - FIND("-",H249)))))</f>
        <v>W152-LA JOLLA UNITED C</v>
      </c>
      <c r="G272" s="92">
        <v>14</v>
      </c>
      <c r="H272" s="91" t="str">
        <f>IF(G253="","W160",IF(G253&gt;I253,_xlfn.CONCAT("W160-",RIGHT(F253,LEN(F253) - FIND("-",F253))), _xlfn.CONCAT("W160-",RIGHT(H253,LEN(H253) - FIND("-",H253)))))</f>
        <v>W160-PUNAHOU</v>
      </c>
      <c r="I272" s="92">
        <v>8</v>
      </c>
      <c r="J272" s="91" t="s">
        <v>1145</v>
      </c>
      <c r="K272" s="91" t="s">
        <v>1146</v>
      </c>
      <c r="L272" s="91" t="str">
        <f>$L$15&amp;"-"&amp;TEXT(E272,"000")</f>
        <v>16BX-179</v>
      </c>
      <c r="N272" s="62" t="str">
        <f>$L$257&amp;C272</f>
        <v>bz_13th</v>
      </c>
      <c r="O272" s="62" t="str">
        <f>$L$257&amp;C272</f>
        <v>bz_13th</v>
      </c>
    </row>
    <row r="273" spans="1:15" ht="14.1" customHeight="1">
      <c r="A273" s="69">
        <f t="shared" si="49"/>
        <v>46229</v>
      </c>
      <c r="B273" s="70">
        <f>'CHICLETS MASTER S2'!X76</f>
        <v>0.41666666666666702</v>
      </c>
      <c r="C273" s="71" t="s">
        <v>290</v>
      </c>
      <c r="D273" s="119" t="str">
        <f>$D$268</f>
        <v>SAN JUAN HILLS HS</v>
      </c>
      <c r="E273" s="94">
        <v>180</v>
      </c>
      <c r="F273" s="91" t="str">
        <f>IF(G249="","L152",IF(G249&lt;I249,_xlfn.CONCAT("L152-",RIGHT(F249,LEN(F249) - FIND("-",F249))), _xlfn.CONCAT("L152-",RIGHT(H249,LEN(H249) - FIND("-",H249)))))</f>
        <v>L152-WEST VALLEY</v>
      </c>
      <c r="G273" s="92">
        <v>7</v>
      </c>
      <c r="H273" s="91" t="str">
        <f>IF(G253="","L160",IF(G253&lt;I253,_xlfn.CONCAT("L160-",RIGHT(F253,LEN(F253) - FIND("-",F253))), _xlfn.CONCAT("L160-",RIGHT(H253,LEN(H253) - FIND("-",H253)))))</f>
        <v>L160-GREAT LAKES AQUATICS</v>
      </c>
      <c r="I273" s="92">
        <v>13</v>
      </c>
      <c r="J273" s="91" t="s">
        <v>1147</v>
      </c>
      <c r="K273" s="91" t="s">
        <v>1148</v>
      </c>
      <c r="L273" s="91" t="str">
        <f>$L$15&amp;"-"&amp;TEXT(E273,"000")</f>
        <v>16BX-180</v>
      </c>
      <c r="N273" s="62" t="str">
        <f>$L$257&amp;C273</f>
        <v>bz_15th</v>
      </c>
      <c r="O273" s="62" t="str">
        <f>$L$257&amp;C273</f>
        <v>bz_15th</v>
      </c>
    </row>
    <row r="274" spans="1:15" ht="14.1" customHeight="1">
      <c r="A274" s="69">
        <f t="shared" si="49"/>
        <v>46229</v>
      </c>
      <c r="B274" s="70">
        <f>'CHICLETS MASTER S2'!X77</f>
        <v>0.45833333333333298</v>
      </c>
      <c r="C274" s="71" t="s">
        <v>293</v>
      </c>
      <c r="D274" s="119" t="str">
        <f t="shared" ref="D274:D275" si="53">$D$268</f>
        <v>SAN JUAN HILLS HS</v>
      </c>
      <c r="E274" s="71">
        <v>175</v>
      </c>
      <c r="F274" s="91" t="str">
        <f>IF(G252="","W156",IF(G252&gt;I252,_xlfn.CONCAT("W156-",RIGHT(F252,LEN(F252) - FIND("-",F252))), _xlfn.CONCAT("W156-",RIGHT(H252,LEN(H252) - FIND("-",H252)))))</f>
        <v>W156-RISE</v>
      </c>
      <c r="G274" s="92">
        <v>10</v>
      </c>
      <c r="H274" s="91" t="str">
        <f>IF(G254="","W164",IF(G254&gt;I254,_xlfn.CONCAT("W164-",RIGHT(F254,LEN(F254) - FIND("-",F254))), _xlfn.CONCAT("W164-",RIGHT(H254,LEN(H254) - FIND("-",H254)))))</f>
        <v>W164-MAVERICKS</v>
      </c>
      <c r="I274" s="92">
        <v>8</v>
      </c>
      <c r="J274" s="91" t="s">
        <v>1153</v>
      </c>
      <c r="K274" s="91" t="s">
        <v>1154</v>
      </c>
      <c r="L274" s="91" t="str">
        <f>$L$15&amp;"-"&amp;TEXT(E274,"000")</f>
        <v>16BX-175</v>
      </c>
      <c r="N274" s="62" t="str">
        <f>$L$257&amp;C274</f>
        <v>bz_17th</v>
      </c>
      <c r="O274" s="62" t="str">
        <f>$L$257&amp;C274</f>
        <v>bz_17th</v>
      </c>
    </row>
    <row r="275" spans="1:15" ht="14.1" customHeight="1">
      <c r="A275" s="69">
        <f t="shared" si="49"/>
        <v>46229</v>
      </c>
      <c r="B275" s="70">
        <f>'CHICLETS MASTER S2'!X78</f>
        <v>0.5</v>
      </c>
      <c r="C275" s="71" t="s">
        <v>296</v>
      </c>
      <c r="D275" s="119" t="str">
        <f t="shared" si="53"/>
        <v>SAN JUAN HILLS HS</v>
      </c>
      <c r="E275" s="71">
        <v>176</v>
      </c>
      <c r="F275" s="91" t="str">
        <f>IF(G252="","L156",IF(G252&lt;I252,_xlfn.CONCAT("L156-",RIGHT(F252,LEN(F252) - FIND("-",F252))), _xlfn.CONCAT("L156-",RIGHT(H252,LEN(H252) - FIND("-",H252)))))</f>
        <v>L156-VEGAS PATRIOT</v>
      </c>
      <c r="G275" s="92">
        <v>8</v>
      </c>
      <c r="H275" s="91" t="str">
        <f>IF(G254="","L164",IF(G254&lt;I254,_xlfn.CONCAT("L164-",RIGHT(F254,LEN(F254) - FIND("-",F254))), _xlfn.CONCAT("L164-",RIGHT(H254,LEN(H254) - FIND("-",H254)))))</f>
        <v>L164-CENTRAL VALLEY UNITED</v>
      </c>
      <c r="I275" s="92">
        <v>14</v>
      </c>
      <c r="J275" s="91" t="s">
        <v>1155</v>
      </c>
      <c r="K275" s="91" t="s">
        <v>1156</v>
      </c>
      <c r="L275" s="91" t="str">
        <f>$L$15&amp;"-"&amp;TEXT(E275,"000")</f>
        <v>16BX-176</v>
      </c>
      <c r="N275" s="62" t="str">
        <f>$L$257&amp;C275</f>
        <v>bz_19th</v>
      </c>
      <c r="O275" s="62" t="str">
        <f>$L$257&amp;C275</f>
        <v>bz_19th</v>
      </c>
    </row>
    <row r="276" spans="1:15" ht="14.1" customHeight="1" thickBot="1"/>
    <row r="277" spans="1:15" ht="14.1" customHeight="1" thickBot="1">
      <c r="A277" s="60"/>
      <c r="B277" s="60"/>
      <c r="C277" s="60"/>
      <c r="D277" s="65" t="str">
        <f>'CHICLETS MASTER S2'!$BF$72</f>
        <v>MARINA HS</v>
      </c>
      <c r="E277" s="60"/>
      <c r="F277" s="60"/>
      <c r="G277" s="64"/>
      <c r="H277" s="60"/>
      <c r="I277" s="64"/>
      <c r="J277" s="60"/>
      <c r="K277" s="60"/>
      <c r="L277" s="60"/>
    </row>
    <row r="278" spans="1:15" ht="14.1" customHeight="1">
      <c r="A278" s="139" t="s">
        <v>124</v>
      </c>
      <c r="B278" s="139" t="s">
        <v>125</v>
      </c>
      <c r="C278" s="139" t="s">
        <v>126</v>
      </c>
      <c r="D278" s="139" t="s">
        <v>127</v>
      </c>
      <c r="E278" s="139" t="s">
        <v>128</v>
      </c>
      <c r="F278" s="141" t="s">
        <v>129</v>
      </c>
      <c r="G278" s="141" t="s">
        <v>130</v>
      </c>
      <c r="H278" s="141" t="s">
        <v>131</v>
      </c>
      <c r="I278" s="139" t="s">
        <v>130</v>
      </c>
      <c r="J278" s="139" t="s">
        <v>132</v>
      </c>
      <c r="K278" s="139" t="s">
        <v>133</v>
      </c>
      <c r="L278" s="139" t="s">
        <v>134</v>
      </c>
    </row>
    <row r="279" spans="1:15" ht="14.1" customHeight="1">
      <c r="A279" s="69">
        <f t="shared" si="49"/>
        <v>46229</v>
      </c>
      <c r="B279" s="70">
        <f>'CHICLETS MASTER S2'!X73</f>
        <v>0.29166666666666669</v>
      </c>
      <c r="C279" s="71" t="s">
        <v>284</v>
      </c>
      <c r="D279" s="119" t="str">
        <f t="shared" ref="D279:D285" si="54">$D$277</f>
        <v>MARINA HS</v>
      </c>
      <c r="E279" s="71">
        <v>184</v>
      </c>
      <c r="F279" s="91" t="str">
        <f>IF(G236="","L151",IF(G236&lt;I236,_xlfn.CONCAT("L151-",RIGHT(F236,LEN(F236) - FIND("-",F236))), _xlfn.CONCAT("L151-",RIGHT(H236,LEN(H236) - FIND("-",H236)))))</f>
        <v>L151-BACK BAY</v>
      </c>
      <c r="G279" s="92">
        <v>8</v>
      </c>
      <c r="H279" s="91" t="str">
        <f>IF(G237="","L155",IF(G237&lt;I237,_xlfn.CONCAT("L155-",RIGHT(F237,LEN(F237) - FIND("-",F237))), _xlfn.CONCAT("L155-",RIGHT(H237,LEN(H237) - FIND("-",H237)))))</f>
        <v>L155-CAL REPUBLIC</v>
      </c>
      <c r="I279" s="92">
        <v>14</v>
      </c>
      <c r="J279" s="91" t="s">
        <v>1167</v>
      </c>
      <c r="K279" s="91" t="s">
        <v>1168</v>
      </c>
      <c r="L279" s="91" t="str">
        <f>$L$15&amp;"-"&amp;TEXT(E279,"000")</f>
        <v>16BX-184</v>
      </c>
      <c r="N279" s="62" t="str">
        <f>$L$257&amp;C279</f>
        <v>bz_11th</v>
      </c>
      <c r="O279" s="62" t="str">
        <f>$L$257&amp;C279</f>
        <v>bz_11th</v>
      </c>
    </row>
    <row r="280" spans="1:15" ht="14.1" customHeight="1">
      <c r="A280" s="69">
        <f t="shared" ref="A280:A296" si="55">$A$257</f>
        <v>46229</v>
      </c>
      <c r="B280" s="70">
        <f>'CHICLETS MASTER S2'!X74</f>
        <v>0.33333333333333298</v>
      </c>
      <c r="C280" s="71" t="s">
        <v>272</v>
      </c>
      <c r="D280" s="119" t="str">
        <f t="shared" si="54"/>
        <v>MARINA HS</v>
      </c>
      <c r="E280" s="71">
        <v>186</v>
      </c>
      <c r="F280" s="127" t="str">
        <f>IF(G206="","L157",IF(G206&lt;I206,_xlfn.CONCAT("L157-",RIGHT(F206,LEN(F206) - FIND("-",F206))), _xlfn.CONCAT("L157-",RIGHT(H206,LEN(H206) - FIND("-",H206)))))</f>
        <v>L157-NORCAL BLACK</v>
      </c>
      <c r="G280" s="93">
        <v>11</v>
      </c>
      <c r="H280" s="90" t="str">
        <f>IF(G207="","L161",IF(G207&lt;I207,_xlfn.CONCAT("L161-",RIGHT(F207,LEN(F207) - FIND("-",F207))), _xlfn.CONCAT("L161-",RIGHT(H207,LEN(H207) - FIND("-",H207)))))</f>
        <v>L161-SAN CLEMENTE RED</v>
      </c>
      <c r="I280" s="93">
        <v>18</v>
      </c>
      <c r="J280" s="90" t="s">
        <v>1149</v>
      </c>
      <c r="K280" s="90" t="s">
        <v>1150</v>
      </c>
      <c r="L280" s="90" t="str">
        <f>$L$15&amp;"-"&amp;TEXT(E280,"000")</f>
        <v>16BX-186</v>
      </c>
      <c r="N280" s="62" t="str">
        <f>$K$257&amp;C280</f>
        <v>ag_5th</v>
      </c>
      <c r="O280" s="62" t="str">
        <f>$K$257&amp;C280</f>
        <v>ag_5th</v>
      </c>
    </row>
    <row r="281" spans="1:15" ht="14.1" customHeight="1">
      <c r="A281" s="69">
        <f t="shared" si="42"/>
        <v>46229</v>
      </c>
      <c r="B281" s="70">
        <f>'CHICLETS MASTER S2'!X75</f>
        <v>0.375</v>
      </c>
      <c r="C281" s="71" t="s">
        <v>269</v>
      </c>
      <c r="D281" s="119" t="str">
        <f t="shared" si="54"/>
        <v>MARINA HS</v>
      </c>
      <c r="E281" s="71">
        <v>185</v>
      </c>
      <c r="F281" s="90" t="str">
        <f>IF(G202="","L141",IF(G202&lt;I202,_xlfn.CONCAT("L141-",RIGHT(F202,LEN(F202) - FIND("-",F202))), _xlfn.CONCAT("L141-",RIGHT(H202,LEN(H202) - FIND("-",H202)))))</f>
        <v xml:space="preserve">L141-VANGUARD SILVER	</v>
      </c>
      <c r="G281" s="93">
        <v>17</v>
      </c>
      <c r="H281" s="90" t="str">
        <f>IF(G203="","L145",IF(G203&lt;I203,_xlfn.CONCAT("L145-",RIGHT(F203,LEN(F203) - FIND("-",F203))), _xlfn.CONCAT("L145-",RIGHT(H203,LEN(H203) - FIND("-",H203)))))</f>
        <v>L145-CT PREMIER</v>
      </c>
      <c r="I281" s="93">
        <v>14</v>
      </c>
      <c r="J281" s="90" t="s">
        <v>1151</v>
      </c>
      <c r="K281" s="90" t="s">
        <v>1152</v>
      </c>
      <c r="L281" s="90" t="str">
        <f>$L$15&amp;"-"&amp;TEXT(E281,"000")</f>
        <v>16BX-185</v>
      </c>
      <c r="N281" s="62" t="str">
        <f>$K$257&amp;C281</f>
        <v>ag_7th</v>
      </c>
      <c r="O281" s="62" t="str">
        <f>$K$257&amp;C281</f>
        <v>ag_7th</v>
      </c>
    </row>
    <row r="282" spans="1:15" ht="14.1" customHeight="1">
      <c r="A282" s="69">
        <f t="shared" si="42"/>
        <v>46229</v>
      </c>
      <c r="B282" s="70">
        <f>'CHICLETS MASTER S2'!X76</f>
        <v>0.41666666666666702</v>
      </c>
      <c r="C282" s="71" t="s">
        <v>281</v>
      </c>
      <c r="D282" s="119" t="str">
        <f t="shared" si="54"/>
        <v>MARINA HS</v>
      </c>
      <c r="E282" s="71">
        <v>182</v>
      </c>
      <c r="F282" s="90" t="str">
        <f>IF(G204="","W149",IF(G204&gt;I204,_xlfn.CONCAT("W149-",RIGHT(F204,LEN(F204) - FIND("-",F204))), _xlfn.CONCAT("W149-",RIGHT(H204,LEN(H204) - FIND("-",H204)))))</f>
        <v>W149-ORWP</v>
      </c>
      <c r="G282" s="93">
        <v>10</v>
      </c>
      <c r="H282" s="90" t="str">
        <f>IF(G205="","W153",IF(G205&gt;I205,_xlfn.CONCAT("W153-",RIGHT(F205,LEN(F205) - FIND("-",F205))), _xlfn.CONCAT("W153-",RIGHT(H205,LEN(H205) - FIND("-",H205)))))</f>
        <v>W153-COMMERCE</v>
      </c>
      <c r="I282" s="93">
        <v>13</v>
      </c>
      <c r="J282" s="90" t="s">
        <v>1169</v>
      </c>
      <c r="K282" s="90" t="s">
        <v>1170</v>
      </c>
      <c r="L282" s="90" t="str">
        <f>$L$15&amp;"-"&amp;TEXT(E282,"000")</f>
        <v>16BX-182</v>
      </c>
      <c r="N282" s="62" t="str">
        <f>$K$257&amp;C282</f>
        <v>ag_9th</v>
      </c>
      <c r="O282" s="62" t="str">
        <f>$K$257&amp;C282</f>
        <v>ag_9th</v>
      </c>
    </row>
    <row r="283" spans="1:15" ht="14.1" customHeight="1">
      <c r="A283" s="69">
        <f t="shared" si="49"/>
        <v>46229</v>
      </c>
      <c r="B283" s="70">
        <f>'CHICLETS MASTER S2'!X77</f>
        <v>0.45833333333333298</v>
      </c>
      <c r="C283" s="71" t="s">
        <v>272</v>
      </c>
      <c r="D283" s="119" t="str">
        <f t="shared" si="54"/>
        <v>MARINA HS</v>
      </c>
      <c r="E283" s="71">
        <v>187</v>
      </c>
      <c r="F283" s="91" t="str">
        <f>IF(G238="","L159",IF(G238&lt;I238,_xlfn.CONCAT("L159-",RIGHT(F238,LEN(F238) - FIND("-",F238))), _xlfn.CONCAT("L159-",RIGHT(H238,LEN(H238) - FIND("-",H238)))))</f>
        <v>L159-PRAETORIAN BLACK</v>
      </c>
      <c r="G283" s="121">
        <v>11.2</v>
      </c>
      <c r="H283" s="91" t="str">
        <f>IF(G239="","L163",IF(G239&lt;I239,_xlfn.CONCAT("L163-",RIGHT(F239,LEN(F239) - FIND("-",F239))), _xlfn.CONCAT("L163-",RIGHT(H239,LEN(H239) - FIND("-",H239)))))</f>
        <v>L163-WCAC UNITED A</v>
      </c>
      <c r="I283" s="121">
        <v>11.3</v>
      </c>
      <c r="J283" s="91" t="s">
        <v>1163</v>
      </c>
      <c r="K283" s="91" t="s">
        <v>1164</v>
      </c>
      <c r="L283" s="91" t="str">
        <f t="shared" si="50"/>
        <v>16BX-187</v>
      </c>
      <c r="N283" s="62" t="str">
        <f t="shared" si="51"/>
        <v>bz_5th</v>
      </c>
      <c r="O283" s="62" t="str">
        <f t="shared" si="52"/>
        <v>bz_5th</v>
      </c>
    </row>
    <row r="284" spans="1:15" ht="14.1" customHeight="1">
      <c r="A284" s="69">
        <f t="shared" si="49"/>
        <v>46229</v>
      </c>
      <c r="B284" s="70">
        <f>'CHICLETS MASTER S2'!X78</f>
        <v>0.5</v>
      </c>
      <c r="C284" s="71" t="s">
        <v>269</v>
      </c>
      <c r="D284" s="119" t="str">
        <f t="shared" si="54"/>
        <v>MARINA HS</v>
      </c>
      <c r="E284" s="71">
        <v>188</v>
      </c>
      <c r="F284" s="91" t="str">
        <f>IF(G234="","L143",IF(G234&lt;I234,_xlfn.CONCAT("L143-",RIGHT(F234,LEN(F234) - FIND("-",F234))), _xlfn.CONCAT("L143-",RIGHT(H234,LEN(H234) - FIND("-",H234)))))</f>
        <v>L143-CIU BLUE</v>
      </c>
      <c r="G284" s="92">
        <v>9</v>
      </c>
      <c r="H284" s="91" t="str">
        <f>IF(G235="","L147",IF(G235&lt;I235,_xlfn.CONCAT("L147-",RIGHT(F235,LEN(F235) - FIND("-",F235))), _xlfn.CONCAT("L147-",RIGHT(H235,LEN(H235) - FIND("-",H235)))))</f>
        <v>L147-TROJAN GOLD</v>
      </c>
      <c r="I284" s="92">
        <v>10</v>
      </c>
      <c r="J284" s="91" t="s">
        <v>1161</v>
      </c>
      <c r="K284" s="91" t="s">
        <v>1162</v>
      </c>
      <c r="L284" s="91" t="str">
        <f t="shared" si="50"/>
        <v>16BX-188</v>
      </c>
      <c r="N284" s="62" t="str">
        <f t="shared" si="51"/>
        <v>bz_7th</v>
      </c>
      <c r="O284" s="62" t="str">
        <f t="shared" si="52"/>
        <v>bz_7th</v>
      </c>
    </row>
    <row r="285" spans="1:15" ht="14.1" customHeight="1">
      <c r="A285" s="69">
        <f t="shared" si="49"/>
        <v>46229</v>
      </c>
      <c r="B285" s="70">
        <f>'CHICLETS MASTER S2'!X79</f>
        <v>0.54166666666666696</v>
      </c>
      <c r="C285" s="71" t="s">
        <v>281</v>
      </c>
      <c r="D285" s="119" t="str">
        <f t="shared" si="54"/>
        <v>MARINA HS</v>
      </c>
      <c r="E285" s="71">
        <v>183</v>
      </c>
      <c r="F285" s="128" t="str">
        <f>IF(G236="","W151",IF(G236&gt;I236,_xlfn.CONCAT("W151-",RIGHT(F236,LEN(F236) - FIND("-",F236))), _xlfn.CONCAT("W151-",RIGHT(H236,LEN(H236) - FIND("-",H236)))))</f>
        <v>W151-FOOTHILL RED</v>
      </c>
      <c r="G285" s="374">
        <v>15.5</v>
      </c>
      <c r="H285" s="128" t="str">
        <f>IF(G237="","W155",IF(G237&gt;I237,_xlfn.CONCAT("W155-",RIGHT(F237,LEN(F237) - FIND("-",F237))), _xlfn.CONCAT("W155-",RIGHT(H237,LEN(H237) - FIND("-",H237)))))</f>
        <v>W155-SHAQ BLUE</v>
      </c>
      <c r="I285" s="121">
        <v>15.4</v>
      </c>
      <c r="J285" s="91" t="s">
        <v>1165</v>
      </c>
      <c r="K285" s="91" t="s">
        <v>1166</v>
      </c>
      <c r="L285" s="91" t="str">
        <f t="shared" si="50"/>
        <v>16BX-183</v>
      </c>
      <c r="N285" s="62" t="str">
        <f t="shared" si="51"/>
        <v>bz_9th</v>
      </c>
      <c r="O285" s="62" t="str">
        <f t="shared" si="52"/>
        <v>bz_9th</v>
      </c>
    </row>
    <row r="286" spans="1:15" ht="14.1" customHeight="1" thickBot="1"/>
    <row r="287" spans="1:15" ht="14.1" customHeight="1" thickBot="1">
      <c r="A287" s="60"/>
      <c r="B287" s="60"/>
      <c r="C287" s="60"/>
      <c r="D287" s="65" t="str">
        <f>'CHICLETS MASTER S2'!$AO$72</f>
        <v>PORTOLA HS 1</v>
      </c>
      <c r="E287" s="60"/>
      <c r="F287" s="60"/>
      <c r="G287" s="64"/>
      <c r="H287" s="60"/>
      <c r="I287" s="64"/>
      <c r="J287" s="60"/>
      <c r="K287" s="60"/>
      <c r="L287" s="60"/>
    </row>
    <row r="288" spans="1:15" ht="14.1" customHeight="1">
      <c r="A288" s="139" t="s">
        <v>124</v>
      </c>
      <c r="B288" s="139" t="s">
        <v>125</v>
      </c>
      <c r="C288" s="139" t="s">
        <v>126</v>
      </c>
      <c r="D288" s="139" t="s">
        <v>127</v>
      </c>
      <c r="E288" s="139" t="s">
        <v>128</v>
      </c>
      <c r="F288" s="139" t="s">
        <v>129</v>
      </c>
      <c r="G288" s="139" t="s">
        <v>130</v>
      </c>
      <c r="H288" s="139" t="s">
        <v>131</v>
      </c>
      <c r="I288" s="139" t="s">
        <v>130</v>
      </c>
      <c r="J288" s="139" t="s">
        <v>132</v>
      </c>
      <c r="K288" s="139" t="s">
        <v>133</v>
      </c>
      <c r="L288" s="139" t="s">
        <v>134</v>
      </c>
    </row>
    <row r="289" spans="1:15" ht="14.1" customHeight="1">
      <c r="A289" s="69">
        <f t="shared" si="55"/>
        <v>46229</v>
      </c>
      <c r="B289" s="130">
        <f>'CHICLETS MASTER S2'!X73</f>
        <v>0.29166666666666669</v>
      </c>
      <c r="C289" s="71" t="s">
        <v>268</v>
      </c>
      <c r="D289" s="99" t="str">
        <f t="shared" ref="D289:D296" si="56">$D$287</f>
        <v>PORTOLA HS 1</v>
      </c>
      <c r="E289" s="71">
        <v>171</v>
      </c>
      <c r="F289" s="91" t="str">
        <f>IF(G233="","W139",IF(G233&gt;I233,_xlfn.CONCAT("W139-",RIGHT(F233,LEN(F233) - FIND("-",F233))), _xlfn.CONCAT("W139-",RIGHT(H233,LEN(H233) - FIND("-",H233)))))</f>
        <v>W139-NEWPORT BEACH WHITE</v>
      </c>
      <c r="G289" s="92">
        <v>9</v>
      </c>
      <c r="H289" s="91" t="str">
        <f>IF(G238="","W159",IF(G238&gt;I238,_xlfn.CONCAT("W159-",RIGHT(F238,LEN(F238) - FIND("-",F238))), _xlfn.CONCAT("W159-",RIGHT(H238,LEN(H238) - FIND("-",H238)))))</f>
        <v>W159-OCWPC</v>
      </c>
      <c r="I289" s="92">
        <v>3</v>
      </c>
      <c r="J289" s="91">
        <v>190</v>
      </c>
      <c r="K289" s="91">
        <v>189</v>
      </c>
      <c r="L289" s="91" t="str">
        <f t="shared" ref="L289:L296" si="57">$L$15&amp;"-"&amp;TEXT(E289,"000")</f>
        <v>16BX-171</v>
      </c>
      <c r="N289" s="62" t="str">
        <f>$L$257&amp;C289</f>
        <v>bz_semi</v>
      </c>
      <c r="O289" s="62" t="str">
        <f>$L$257&amp;C289</f>
        <v>bz_semi</v>
      </c>
    </row>
    <row r="290" spans="1:15" ht="14.1" customHeight="1">
      <c r="A290" s="69">
        <f t="shared" si="55"/>
        <v>46229</v>
      </c>
      <c r="B290" s="130">
        <f>'CHICLETS MASTER S2'!X74</f>
        <v>0.33333333333333298</v>
      </c>
      <c r="C290" s="71" t="s">
        <v>268</v>
      </c>
      <c r="D290" s="99" t="str">
        <f t="shared" si="56"/>
        <v>PORTOLA HS 1</v>
      </c>
      <c r="E290" s="71">
        <v>172</v>
      </c>
      <c r="F290" s="91" t="str">
        <f>IF(G232="","W135",IF(G232&gt;I232,_xlfn.CONCAT("W135-",RIGHT(F232,LEN(F232) - FIND("-",F232))), _xlfn.CONCAT("W135-",RIGHT(H232,LEN(H232) - FIND("-",H232)))))</f>
        <v>W135-99 ALLIANCE</v>
      </c>
      <c r="G290" s="92">
        <v>12</v>
      </c>
      <c r="H290" s="91" t="str">
        <f>IF(G239="","W163",IF(G239&gt;I239,_xlfn.CONCAT("W163-",RIGHT(F239,LEN(F239) - FIND("-",F239))), _xlfn.CONCAT("W163-",RIGHT(H239,LEN(H239) - FIND("-",H239)))))</f>
        <v>W163-ASPHALT GREEN</v>
      </c>
      <c r="I290" s="92">
        <v>11</v>
      </c>
      <c r="J290" s="91">
        <v>190</v>
      </c>
      <c r="K290" s="91">
        <v>189</v>
      </c>
      <c r="L290" s="91" t="str">
        <f t="shared" si="57"/>
        <v>16BX-172</v>
      </c>
      <c r="N290" s="62" t="str">
        <f>$L$257&amp;C290</f>
        <v>bz_semi</v>
      </c>
      <c r="O290" s="62" t="str">
        <f>$L$257&amp;C290</f>
        <v>bz_semi</v>
      </c>
    </row>
    <row r="291" spans="1:15" ht="14.1" customHeight="1">
      <c r="A291" s="69">
        <f t="shared" si="55"/>
        <v>46229</v>
      </c>
      <c r="B291" s="130">
        <f>'CHICLETS MASTER S2'!X75</f>
        <v>0.375</v>
      </c>
      <c r="C291" s="71" t="s">
        <v>268</v>
      </c>
      <c r="D291" s="99" t="str">
        <f t="shared" si="56"/>
        <v>PORTOLA HS 1</v>
      </c>
      <c r="E291" s="71">
        <v>173</v>
      </c>
      <c r="F291" s="90" t="str">
        <f>IF(G201="","W137",IF(G201&gt;I201,_xlfn.CONCAT("W137-",RIGHT(F201,LEN(F201) - FIND("-",F201))), _xlfn.CONCAT("W137-",RIGHT(H201,LEN(H201) - FIND("-",H201)))))</f>
        <v>W137-CARLSBAD A</v>
      </c>
      <c r="G291" s="93">
        <v>10</v>
      </c>
      <c r="H291" s="90" t="str">
        <f>IF(G206="","W157",IF(G206&gt;I206,_xlfn.CONCAT("W157-",RIGHT(F206,LEN(F206) - FIND("-",F206))), _xlfn.CONCAT("W157-",RIGHT(H206,LEN(H206) - FIND("-",H206)))))</f>
        <v>W157-CHAWP WHITE</v>
      </c>
      <c r="I291" s="93">
        <v>11</v>
      </c>
      <c r="J291" s="90">
        <v>192</v>
      </c>
      <c r="K291" s="90">
        <v>191</v>
      </c>
      <c r="L291" s="90" t="str">
        <f t="shared" si="57"/>
        <v>16BX-173</v>
      </c>
      <c r="N291" s="62" t="str">
        <f>$K$257&amp;C291</f>
        <v>ag_semi</v>
      </c>
      <c r="O291" s="62" t="str">
        <f>$K$257&amp;C291</f>
        <v>ag_semi</v>
      </c>
    </row>
    <row r="292" spans="1:15" ht="14.1" customHeight="1">
      <c r="A292" s="69">
        <f t="shared" si="55"/>
        <v>46229</v>
      </c>
      <c r="B292" s="130">
        <f>'CHICLETS MASTER S2'!X76</f>
        <v>0.41666666666666702</v>
      </c>
      <c r="C292" s="71" t="s">
        <v>268</v>
      </c>
      <c r="D292" s="99" t="str">
        <f t="shared" si="56"/>
        <v>PORTOLA HS 1</v>
      </c>
      <c r="E292" s="71">
        <v>174</v>
      </c>
      <c r="F292" s="90" t="str">
        <f>IF(G200="","W133",IF(G200&gt;I200,_xlfn.CONCAT("W133-",RIGHT(F200,LEN(F200) - FIND("-",F200))), _xlfn.CONCAT("W133-",RIGHT(H200,LEN(H200) - FIND("-",H200)))))</f>
        <v>W133-ECA A</v>
      </c>
      <c r="G292" s="93">
        <v>7</v>
      </c>
      <c r="H292" s="90" t="str">
        <f>IF(G207="","W161",IF(G207&gt;I207,_xlfn.CONCAT("W161-",RIGHT(F207,LEN(F207) - FIND("-",F207))), _xlfn.CONCAT("W161-",RIGHT(H207,LEN(H207) - FIND("-",H207)))))</f>
        <v>W161-SOUTH COAST RED</v>
      </c>
      <c r="I292" s="93">
        <v>8</v>
      </c>
      <c r="J292" s="90">
        <v>192</v>
      </c>
      <c r="K292" s="90">
        <v>191</v>
      </c>
      <c r="L292" s="90" t="str">
        <f t="shared" si="57"/>
        <v>16BX-174</v>
      </c>
      <c r="N292" s="62" t="str">
        <f>$K$257&amp;C292</f>
        <v>ag_semi</v>
      </c>
      <c r="O292" s="62" t="str">
        <f>$K$257&amp;C292</f>
        <v>ag_semi</v>
      </c>
    </row>
    <row r="293" spans="1:15" ht="14.1" customHeight="1">
      <c r="A293" s="69">
        <f t="shared" si="55"/>
        <v>46229</v>
      </c>
      <c r="B293" s="130">
        <f>'CHICLETS MASTER S2'!X77</f>
        <v>0.45833333333333298</v>
      </c>
      <c r="C293" s="71" t="s">
        <v>275</v>
      </c>
      <c r="D293" s="99" t="str">
        <f t="shared" si="56"/>
        <v>PORTOLA HS 1</v>
      </c>
      <c r="E293" s="71">
        <v>189</v>
      </c>
      <c r="F293" s="91" t="str">
        <f>IF(G289="","L171",IF(G289&lt;I289,_xlfn.CONCAT("L171-",RIGHT(F289,LEN(F289) - FIND("-",F289))), _xlfn.CONCAT("L171-",RIGHT(H289,LEN(H289) - FIND("-",H289)))))</f>
        <v>L171-OCWPC</v>
      </c>
      <c r="G293" s="92">
        <v>16</v>
      </c>
      <c r="H293" s="91" t="str">
        <f>IF(G290="","L172",IF(G290&lt;I290,_xlfn.CONCAT("L172-",RIGHT(F290,LEN(F290) - FIND("-",F290))), _xlfn.CONCAT("L172-",RIGHT(H290,LEN(H290) - FIND("-",H290)))))</f>
        <v>L172-ASPHALT GREEN</v>
      </c>
      <c r="I293" s="92">
        <v>13</v>
      </c>
      <c r="J293" s="91" t="s">
        <v>1181</v>
      </c>
      <c r="K293" s="91" t="s">
        <v>1182</v>
      </c>
      <c r="L293" s="91" t="str">
        <f t="shared" si="57"/>
        <v>16BX-189</v>
      </c>
      <c r="N293" s="62" t="str">
        <f>$L$257&amp;C293</f>
        <v>bz_3rd</v>
      </c>
      <c r="O293" s="62" t="str">
        <f>$L$257&amp;C293</f>
        <v>bz_3rd</v>
      </c>
    </row>
    <row r="294" spans="1:15" ht="14.1" customHeight="1">
      <c r="A294" s="69">
        <f t="shared" si="55"/>
        <v>46229</v>
      </c>
      <c r="B294" s="130">
        <f>'CHICLETS MASTER S2'!X78</f>
        <v>0.5</v>
      </c>
      <c r="C294" s="71" t="s">
        <v>278</v>
      </c>
      <c r="D294" s="99" t="str">
        <f t="shared" si="56"/>
        <v>PORTOLA HS 1</v>
      </c>
      <c r="E294" s="71">
        <v>190</v>
      </c>
      <c r="F294" s="91" t="str">
        <f>IF(G289="","W171",IF(G289&gt;I289,_xlfn.CONCAT("W171-",RIGHT(F289,LEN(F289) - FIND("-",F289))), _xlfn.CONCAT("W171-",RIGHT(H289,LEN(H289) - FIND("-",H289)))))</f>
        <v>W171-NEWPORT BEACH WHITE</v>
      </c>
      <c r="G294" s="92">
        <v>13</v>
      </c>
      <c r="H294" s="91" t="str">
        <f>IF(G290="","W172",IF(G290&gt;I290,_xlfn.CONCAT("W172-",RIGHT(F290,LEN(F290) - FIND("-",F290))), _xlfn.CONCAT("W172-",RIGHT(H290,LEN(H290) - FIND("-",H290)))))</f>
        <v>W172-99 ALLIANCE</v>
      </c>
      <c r="I294" s="92">
        <v>9</v>
      </c>
      <c r="J294" s="91" t="s">
        <v>1183</v>
      </c>
      <c r="K294" s="91" t="s">
        <v>1184</v>
      </c>
      <c r="L294" s="91" t="str">
        <f t="shared" si="57"/>
        <v>16BX-190</v>
      </c>
      <c r="N294" s="62" t="str">
        <f>$L$257&amp;C294</f>
        <v>bz_1st</v>
      </c>
      <c r="O294" s="62" t="str">
        <f>$L$257&amp;C294</f>
        <v>bz_1st</v>
      </c>
    </row>
    <row r="295" spans="1:15" ht="14.1" customHeight="1">
      <c r="A295" s="69">
        <f t="shared" si="55"/>
        <v>46229</v>
      </c>
      <c r="B295" s="130">
        <f>'CHICLETS MASTER S2'!X79</f>
        <v>0.54166666666666696</v>
      </c>
      <c r="C295" s="71" t="s">
        <v>275</v>
      </c>
      <c r="D295" s="99" t="str">
        <f t="shared" si="56"/>
        <v>PORTOLA HS 1</v>
      </c>
      <c r="E295" s="71">
        <v>191</v>
      </c>
      <c r="F295" s="90" t="str">
        <f>IF(G291="","L173",IF(G291&lt;I291,_xlfn.CONCAT("L173-",RIGHT(F291,LEN(F291) - FIND("-",F291))), _xlfn.CONCAT("L173-",RIGHT(H291,LEN(H291) - FIND("-",H291)))))</f>
        <v>L173-CARLSBAD A</v>
      </c>
      <c r="G295" s="93">
        <v>14</v>
      </c>
      <c r="H295" s="90" t="str">
        <f>IF(G292="","L174",IF(G292&lt;I292,_xlfn.CONCAT("L174-",RIGHT(F292,LEN(F292) - FIND("-",F292))), _xlfn.CONCAT("L174-",RIGHT(H292,LEN(H292) - FIND("-",H292)))))</f>
        <v>L174-ECA A</v>
      </c>
      <c r="I295" s="93">
        <v>10</v>
      </c>
      <c r="J295" s="90" t="s">
        <v>1185</v>
      </c>
      <c r="K295" s="90" t="s">
        <v>1186</v>
      </c>
      <c r="L295" s="90" t="str">
        <f t="shared" si="57"/>
        <v>16BX-191</v>
      </c>
      <c r="N295" s="62" t="str">
        <f>$K$257&amp;C295</f>
        <v>ag_3rd</v>
      </c>
      <c r="O295" s="62" t="str">
        <f>$K$257&amp;C295</f>
        <v>ag_3rd</v>
      </c>
    </row>
    <row r="296" spans="1:15" ht="14.1" customHeight="1">
      <c r="A296" s="69">
        <f t="shared" si="55"/>
        <v>46229</v>
      </c>
      <c r="B296" s="130">
        <f>'CHICLETS MASTER S2'!X80</f>
        <v>0.58333333333333304</v>
      </c>
      <c r="C296" s="71" t="s">
        <v>278</v>
      </c>
      <c r="D296" s="99" t="str">
        <f t="shared" si="56"/>
        <v>PORTOLA HS 1</v>
      </c>
      <c r="E296" s="71">
        <v>192</v>
      </c>
      <c r="F296" s="90" t="str">
        <f>IF(G291="","W173",IF(G291&gt;I291,_xlfn.CONCAT("W173-",RIGHT(F291,LEN(F291) - FIND("-",F291))), _xlfn.CONCAT("W173-",RIGHT(H291,LEN(H291) - FIND("-",H291)))))</f>
        <v>W173-CHAWP WHITE</v>
      </c>
      <c r="G296" s="93">
        <v>11</v>
      </c>
      <c r="H296" s="90" t="str">
        <f>IF(G292="","W174",IF(G292&gt;I292,_xlfn.CONCAT("W174-",RIGHT(F292,LEN(F292) - FIND("-",F292))), _xlfn.CONCAT("W174-",RIGHT(H292,LEN(H292) - FIND("-",H292)))))</f>
        <v>W174-SOUTH COAST RED</v>
      </c>
      <c r="I296" s="93">
        <v>9</v>
      </c>
      <c r="J296" s="90" t="s">
        <v>1187</v>
      </c>
      <c r="K296" s="90" t="s">
        <v>1188</v>
      </c>
      <c r="L296" s="90" t="str">
        <f t="shared" si="57"/>
        <v>16BX-192</v>
      </c>
      <c r="N296" s="62" t="str">
        <f>$K$257&amp;C296</f>
        <v>ag_1st</v>
      </c>
      <c r="O296" s="62" t="str">
        <f>$K$257&amp;C296</f>
        <v>ag_1st</v>
      </c>
    </row>
    <row r="298" spans="1:15" ht="14.1" customHeight="1">
      <c r="A298" s="90" t="s">
        <v>1189</v>
      </c>
      <c r="C298" s="91" t="s">
        <v>1190</v>
      </c>
    </row>
    <row r="299" spans="1:15" ht="14.1" customHeight="1">
      <c r="A299" s="90" t="s">
        <v>278</v>
      </c>
      <c r="B299" s="131" t="str">
        <f>IF(G296="","W192",IF(G296&gt;I296,_xlfn.CONCAT("W192-",RIGHT(F296,LEN(F296) - FIND("-",F296))), _xlfn.CONCAT("W192-",RIGHT(H296,LEN(H296) - FIND("-",H296)))))</f>
        <v>W192-CHAWP WHITE</v>
      </c>
      <c r="C299" s="91" t="s">
        <v>278</v>
      </c>
      <c r="D299" s="132" t="str">
        <f>IF(G294="","W190",IF(G294&gt;I294,_xlfn.CONCAT("W190-",RIGHT(F294,LEN(F294) - FIND("-",F294))), _xlfn.CONCAT("W190-",RIGHT(H294,LEN(H294) - FIND("-",H294)))))</f>
        <v>W190-NEWPORT BEACH WHITE</v>
      </c>
    </row>
    <row r="300" spans="1:15" ht="14.1" customHeight="1">
      <c r="A300" s="90" t="s">
        <v>310</v>
      </c>
      <c r="B300" s="133" t="str">
        <f>IF(G296="","L192",IF(G296&lt;I296,_xlfn.CONCAT("L192-",RIGHT(F296,LEN(F296) - FIND("-",F296))), _xlfn.CONCAT("L192-",RIGHT(H296,LEN(H296) - FIND("-",H296)))))</f>
        <v>L192-SOUTH COAST RED</v>
      </c>
      <c r="C300" s="91" t="s">
        <v>310</v>
      </c>
      <c r="D300" s="131" t="str">
        <f>IF(G294="","L190",IF(G294&lt;I294,_xlfn.CONCAT("L190-",RIGHT(F294,LEN(F294) - FIND("-",F294))), _xlfn.CONCAT("L190-",RIGHT(H294,LEN(H294) - FIND("-",H294)))))</f>
        <v>L190-99 ALLIANCE</v>
      </c>
    </row>
    <row r="301" spans="1:15" ht="14.1" customHeight="1">
      <c r="A301" s="90" t="s">
        <v>275</v>
      </c>
      <c r="B301" s="131" t="str">
        <f>IF(G295="","W191",IF(G295&gt;I295,_xlfn.CONCAT("W191-",RIGHT(F295,LEN(F295) - FIND("-",F295))), _xlfn.CONCAT("W191-",RIGHT(H295,LEN(H295) - FIND("-",H295)))))</f>
        <v>W191-CARLSBAD A</v>
      </c>
      <c r="C301" s="91" t="s">
        <v>275</v>
      </c>
      <c r="D301" s="132" t="str">
        <f>IF(G293="","W189",IF(G293&gt;I293,_xlfn.CONCAT("W189-",RIGHT(F293,LEN(F293) - FIND("-",F293))), _xlfn.CONCAT("W189-",RIGHT(H293,LEN(H293) - FIND("-",H293)))))</f>
        <v>W189-OCWPC</v>
      </c>
    </row>
    <row r="302" spans="1:15" ht="14.1" customHeight="1">
      <c r="A302" s="90" t="s">
        <v>311</v>
      </c>
      <c r="B302" s="131" t="str">
        <f>IF(G295="","L191",IF(G295&lt;I295,_xlfn.CONCAT("L191-",RIGHT(F295,LEN(F295) - FIND("-",F295))), _xlfn.CONCAT("L191-",RIGHT(H295,LEN(H295) - FIND("-",H295)))))</f>
        <v>L191-ECA A</v>
      </c>
      <c r="C302" s="91" t="s">
        <v>311</v>
      </c>
      <c r="D302" s="131" t="str">
        <f>IF(G293="","L189",IF(G293&lt;I293,_xlfn.CONCAT("L189-",RIGHT(F293,LEN(F293) - FIND("-",F293))), _xlfn.CONCAT("L189-",RIGHT(H293,LEN(H293) - FIND("-",H293)))))</f>
        <v>L189-ASPHALT GREEN</v>
      </c>
    </row>
    <row r="303" spans="1:15" ht="14.1" customHeight="1">
      <c r="A303" s="90" t="s">
        <v>272</v>
      </c>
      <c r="B303" s="131" t="str">
        <f>IF(G280="","W186",IF(G280&gt;I280,_xlfn.CONCAT("W186-",RIGHT(F280,LEN(F280) - FIND("-",F280))), _xlfn.CONCAT("W186-",RIGHT(H280,LEN(H280) - FIND("-",H280)))))</f>
        <v>W186-SAN CLEMENTE RED</v>
      </c>
      <c r="C303" s="91" t="s">
        <v>272</v>
      </c>
      <c r="D303" s="134" t="str">
        <f>IF(G283="","W187",IF(G283&gt;I283,_xlfn.CONCAT("W187-",RIGHT(F283,LEN(F283) - FIND("-",F283))), _xlfn.CONCAT("W187-",RIGHT(H283,LEN(H283) - FIND("-",H283)))))</f>
        <v>W187-WCAC UNITED A</v>
      </c>
    </row>
    <row r="304" spans="1:15" ht="14.1" customHeight="1">
      <c r="A304" s="90" t="s">
        <v>312</v>
      </c>
      <c r="B304" s="133" t="str">
        <f>IF(G280="","L186",IF(G280&lt;I280,_xlfn.CONCAT("L186-",RIGHT(F280,LEN(F280) - FIND("-",F280))), _xlfn.CONCAT("L186-",RIGHT(H280,LEN(H280) - FIND("-",H280)))))</f>
        <v>L186-NORCAL BLACK</v>
      </c>
      <c r="C304" s="91" t="s">
        <v>312</v>
      </c>
      <c r="D304" s="132" t="str">
        <f>IF(G283="","L187",IF(G283&lt;I283,_xlfn.CONCAT("L187-",RIGHT(F283,LEN(F283) - FIND("-",F283))), _xlfn.CONCAT("L187-",RIGHT(H283,LEN(H283) - FIND("-",H283)))))</f>
        <v>L187-PRAETORIAN BLACK</v>
      </c>
    </row>
    <row r="305" spans="1:4" ht="14.1" customHeight="1">
      <c r="A305" s="90" t="s">
        <v>269</v>
      </c>
      <c r="B305" s="131" t="str">
        <f>IF(G281="","W185",IF(G281&gt;I281,_xlfn.CONCAT("W185-",RIGHT(F281,LEN(F281) - FIND("-",F281))), _xlfn.CONCAT("W185-",RIGHT(H281,LEN(H281) - FIND("-",H281)))))</f>
        <v xml:space="preserve">W185-VANGUARD SILVER	</v>
      </c>
      <c r="C305" s="91" t="s">
        <v>269</v>
      </c>
      <c r="D305" s="131" t="str">
        <f>IF(G284="","W188",IF(G284&gt;I284,_xlfn.CONCAT("W188-",RIGHT(F284,LEN(F284) - FIND("-",F284))), _xlfn.CONCAT("W188-",RIGHT(H284,LEN(H284) - FIND("-",H284)))))</f>
        <v>W188-TROJAN GOLD</v>
      </c>
    </row>
    <row r="306" spans="1:4" ht="14.1" customHeight="1">
      <c r="A306" s="90" t="s">
        <v>313</v>
      </c>
      <c r="B306" s="133" t="str">
        <f>IF(G281="","L185",IF(G281&lt;I281,_xlfn.CONCAT("L185-",RIGHT(F281,LEN(F281) - FIND("-",F281))), _xlfn.CONCAT("L185-",RIGHT(H281,LEN(H281) - FIND("-",H281)))))</f>
        <v>L185-CT PREMIER</v>
      </c>
      <c r="C306" s="91" t="s">
        <v>313</v>
      </c>
      <c r="D306" s="135" t="str">
        <f>IF(G284="","L188",IF(G284&lt;I284,_xlfn.CONCAT("L188-",RIGHT(F284,LEN(F284) - FIND("-",F284))), _xlfn.CONCAT("L188-",RIGHT(H284,LEN(H284) - FIND("-",H284)))))</f>
        <v>L188-CIU BLUE</v>
      </c>
    </row>
    <row r="307" spans="1:4" ht="14.1" customHeight="1">
      <c r="A307" s="90" t="s">
        <v>281</v>
      </c>
      <c r="B307" s="131" t="str">
        <f>IF(G282="","W182",IF(G282&gt;I282,_xlfn.CONCAT("W182-",RIGHT(F282,LEN(F282) - FIND("-",F282))), _xlfn.CONCAT("W182-",RIGHT(H282,LEN(H282) - FIND("-",H282)))))</f>
        <v>W182-COMMERCE</v>
      </c>
      <c r="C307" s="91" t="s">
        <v>281</v>
      </c>
      <c r="D307" s="131" t="str">
        <f>IF(G285="","W183",IF(G285&gt;I285,_xlfn.CONCAT("W183-",RIGHT(F285,LEN(F285) - FIND("-",F285))), _xlfn.CONCAT("W183-",RIGHT(H285,LEN(H285) - FIND("-",H285)))))</f>
        <v>W183-FOOTHILL RED</v>
      </c>
    </row>
    <row r="308" spans="1:4" ht="14.1" customHeight="1">
      <c r="A308" s="90" t="s">
        <v>315</v>
      </c>
      <c r="B308" s="133" t="str">
        <f>IF(G282="","L182",IF(G282&lt;I282,_xlfn.CONCAT("L182-",RIGHT(F282,LEN(F282) - FIND("-",F282))), _xlfn.CONCAT("L182-",RIGHT(H282,LEN(H282) - FIND("-",H282)))))</f>
        <v>L182-ORWP</v>
      </c>
      <c r="C308" s="91" t="s">
        <v>315</v>
      </c>
      <c r="D308" s="135" t="str">
        <f>IF(G285="","L183",IF(G285&lt;I285,_xlfn.CONCAT("L183-",RIGHT(F285,LEN(F285) - FIND("-",F285))), _xlfn.CONCAT("L183-",RIGHT(H285,LEN(H285) - FIND("-",H285)))))</f>
        <v>L183-SHAQ BLUE</v>
      </c>
    </row>
    <row r="309" spans="1:4" ht="14.1" customHeight="1">
      <c r="A309" s="90" t="s">
        <v>284</v>
      </c>
      <c r="B309" s="131" t="str">
        <f>IF(G262="","W181",IF(G262&gt;I262,_xlfn.CONCAT("W181-",RIGHT(F262,LEN(F262) - FIND("-",F262))), _xlfn.CONCAT("W181-",RIGHT(H262,LEN(H262) - FIND("-",H262)))))</f>
        <v>W181-SD SHORES GOLD</v>
      </c>
      <c r="C309" s="91" t="s">
        <v>284</v>
      </c>
      <c r="D309" s="131" t="str">
        <f>IF(G279="","W184",IF(G279&gt;I279,_xlfn.CONCAT("W184-",RIGHT(F279,LEN(F279) - FIND("-",F279))), _xlfn.CONCAT("W184-",RIGHT(H279,LEN(H279) - FIND("-",H279)))))</f>
        <v>W184-CAL REPUBLIC</v>
      </c>
    </row>
    <row r="310" spans="1:4" ht="14.1" customHeight="1">
      <c r="A310" s="90" t="s">
        <v>318</v>
      </c>
      <c r="B310" s="133" t="str">
        <f>IF(G262="","L181",IF(G262&lt;I262,_xlfn.CONCAT("L181-",RIGHT(F262,LEN(F262) - FIND("-",F262))), _xlfn.CONCAT("L181-",RIGHT(H262,LEN(H262) - FIND("-",H262)))))</f>
        <v>L181-CORONA DEL MAR</v>
      </c>
      <c r="C310" s="91" t="s">
        <v>318</v>
      </c>
      <c r="D310" s="134" t="str">
        <f>IF(G279="","L184",IF(G279&lt;I279,_xlfn.CONCAT("L184-",RIGHT(F279,LEN(F279) - FIND("-",F279))), _xlfn.CONCAT("L184-",RIGHT(H279,LEN(H279) - FIND("-",H279)))))</f>
        <v>L184-BACK BAY</v>
      </c>
    </row>
    <row r="311" spans="1:4" ht="14.1" customHeight="1">
      <c r="A311" s="90" t="s">
        <v>287</v>
      </c>
      <c r="B311" s="131" t="str">
        <f>IF(G263="","W178",IF(G263&gt;I263,_xlfn.CONCAT("W178-",RIGHT(F263,LEN(F263) - FIND("-",F263))), _xlfn.CONCAT("W178-",RIGHT(H263,LEN(H263) - FIND("-",H263)))))</f>
        <v>W178-DIABLO ALLIANCE</v>
      </c>
      <c r="C311" s="91" t="s">
        <v>287</v>
      </c>
      <c r="D311" s="131" t="str">
        <f>IF(G272="","W179",IF(G272&gt;I272,_xlfn.CONCAT("W179-",RIGHT(F272,LEN(F272) - FIND("-",F272))), _xlfn.CONCAT("W179-",RIGHT(H272,LEN(H272) - FIND("-",H272)))))</f>
        <v>W179-LA JOLLA UNITED C</v>
      </c>
    </row>
    <row r="312" spans="1:4" ht="14.1" customHeight="1">
      <c r="A312" s="90" t="s">
        <v>319</v>
      </c>
      <c r="B312" s="133" t="str">
        <f>IF(G263="","L178",IF(G263&lt;I263,_xlfn.CONCAT("L178-",RIGHT(F263,LEN(F263) - FIND("-",F263))), _xlfn.CONCAT("L178-",RIGHT(H263,LEN(H263) - FIND("-",H263)))))</f>
        <v>L178-STANFORD BLACK</v>
      </c>
      <c r="C312" s="91" t="s">
        <v>319</v>
      </c>
      <c r="D312" s="135" t="str">
        <f>IF(G272="","L179",IF(G272&lt;I272,_xlfn.CONCAT("L179-",RIGHT(F272,LEN(F272) - FIND("-",F272))), _xlfn.CONCAT("L179-",RIGHT(H272,LEN(H272) - FIND("-",H272)))))</f>
        <v>L179-PUNAHOU</v>
      </c>
    </row>
    <row r="313" spans="1:4" ht="14.1" customHeight="1">
      <c r="A313" s="90" t="s">
        <v>290</v>
      </c>
      <c r="B313" s="131" t="str">
        <f>IF(G264="","W177",IF(G264&gt;I264,_xlfn.CONCAT("W177-",RIGHT(F264,LEN(F264) - FIND("-",F264))), _xlfn.CONCAT("W177-",RIGHT(H264,LEN(H264) - FIND("-",H264)))))</f>
        <v>W177-ALAMEDA</v>
      </c>
      <c r="C313" s="91" t="s">
        <v>290</v>
      </c>
      <c r="D313" s="131" t="str">
        <f>IF(G273="","W180",IF(G273&gt;I273,_xlfn.CONCAT("W180-",RIGHT(F273,LEN(F273) - FIND("-",F273))), _xlfn.CONCAT("W180-",RIGHT(H273,LEN(H273) - FIND("-",H273)))))</f>
        <v>W180-GREAT LAKES AQUATICS</v>
      </c>
    </row>
    <row r="314" spans="1:4" ht="14.1" customHeight="1">
      <c r="A314" s="90" t="s">
        <v>320</v>
      </c>
      <c r="B314" s="133" t="str">
        <f>IF(G264="","L177",IF(G264&lt;I264,_xlfn.CONCAT("L177-",RIGHT(F264,LEN(F264) - FIND("-",F264))), _xlfn.CONCAT("L177-",RIGHT(H264,LEN(H264) - FIND("-",H264)))))</f>
        <v>L177-SHARKS</v>
      </c>
      <c r="C314" s="91" t="s">
        <v>320</v>
      </c>
      <c r="D314" s="135" t="str">
        <f>IF(G273="","L180",IF(G273&lt;I273,_xlfn.CONCAT("L180-",RIGHT(F273,LEN(F273) - FIND("-",F273))), _xlfn.CONCAT("L180-",RIGHT(H273,LEN(H273) - FIND("-",H273)))))</f>
        <v>L180-WEST VALLEY</v>
      </c>
    </row>
    <row r="315" spans="1:4" ht="14.1" customHeight="1">
      <c r="A315" s="90" t="s">
        <v>293</v>
      </c>
      <c r="B315" s="131" t="str">
        <f>IF(G265="","W170",IF(G265&gt;I265,_xlfn.CONCAT("W170-",RIGHT(F265,LEN(F265) - FIND("-",F265))), _xlfn.CONCAT("W170-",RIGHT(H265,LEN(H265) - FIND("-",H265)))))</f>
        <v>W170-LOWPO</v>
      </c>
      <c r="C315" s="91" t="s">
        <v>293</v>
      </c>
      <c r="D315" s="131" t="str">
        <f>IF(G274="","W175",IF(G274&gt;I274,_xlfn.CONCAT("W175-",RIGHT(F274,LEN(F274) - FIND("-",F274))), _xlfn.CONCAT("W175-",RIGHT(H274,LEN(H274) - FIND("-",H274)))))</f>
        <v>W175-RISE</v>
      </c>
    </row>
    <row r="316" spans="1:4" ht="14.1" customHeight="1">
      <c r="A316" s="90" t="s">
        <v>321</v>
      </c>
      <c r="B316" s="133" t="str">
        <f>IF(G265="","L170",IF(G265&lt;I265,_xlfn.CONCAT("L170-",RIGHT(F265,LEN(F265) - FIND("-",F265))), _xlfn.CONCAT("L170-",RIGHT(H265,LEN(H265) - FIND("-",H265)))))</f>
        <v>L170-VIPER PIGEON</v>
      </c>
      <c r="C316" s="91" t="s">
        <v>321</v>
      </c>
      <c r="D316" s="135" t="str">
        <f>IF(G274="","L175",IF(G274&lt;I274,_xlfn.CONCAT("L175-",RIGHT(F274,LEN(F274) - FIND("-",F274))), _xlfn.CONCAT("L175-",RIGHT(H274,LEN(H274) - FIND("-",H274)))))</f>
        <v>L175-MAVERICKS</v>
      </c>
    </row>
    <row r="317" spans="1:4" ht="14.1" customHeight="1">
      <c r="A317" s="90" t="s">
        <v>296</v>
      </c>
      <c r="B317" s="132" t="str">
        <f>IF(G266="","W169",IF(G266&gt;I266,_xlfn.CONCAT("W169-",RIGHT(F266,LEN(F266) - FIND("-",F266))), _xlfn.CONCAT("W169-",RIGHT(H266,LEN(H266) - FIND("-",H266)))))</f>
        <v>W169-PALOS VERDES BLACK</v>
      </c>
      <c r="C317" s="91" t="s">
        <v>296</v>
      </c>
      <c r="D317" s="132" t="str">
        <f>IF(G275="","W176",IF(G275&gt;I275,_xlfn.CONCAT("W176-",RIGHT(F275,LEN(F275) - FIND("-",F275))), _xlfn.CONCAT("W176-",RIGHT(H275,LEN(H275) - FIND("-",H275)))))</f>
        <v>W176-CENTRAL VALLEY UNITED</v>
      </c>
    </row>
    <row r="318" spans="1:4" ht="14.1" customHeight="1">
      <c r="A318" s="102" t="s">
        <v>322</v>
      </c>
      <c r="B318" s="132" t="str">
        <f>IF(G266="","L169",IF(G266&lt;I266,_xlfn.CONCAT("L169-",RIGHT(F266,LEN(F266) - FIND("-",F266))), _xlfn.CONCAT("L169-",RIGHT(H266,LEN(H266) - FIND("-",H266)))))</f>
        <v>L169-PUGET SOUND</v>
      </c>
      <c r="C318" s="101" t="s">
        <v>322</v>
      </c>
      <c r="D318" s="131" t="str">
        <f>IF(G275="","L176",IF(G275&lt;I275,_xlfn.CONCAT("L176-",RIGHT(F275,LEN(F275) - FIND("-",F275))), _xlfn.CONCAT("L176-",RIGHT(H275,LEN(H275) - FIND("-",H275)))))</f>
        <v>L176-VEGAS PATRIOT</v>
      </c>
    </row>
    <row r="319" spans="1:4" ht="14.1" customHeight="1">
      <c r="A319" s="102" t="s">
        <v>323</v>
      </c>
      <c r="B319" s="114" t="s">
        <v>1440</v>
      </c>
      <c r="C319" s="104" t="s">
        <v>323</v>
      </c>
      <c r="D319" s="115" t="s">
        <v>1441</v>
      </c>
    </row>
    <row r="320" spans="1:4" ht="14.1" customHeight="1">
      <c r="A320" s="102" t="s">
        <v>325</v>
      </c>
      <c r="B320" s="116" t="s">
        <v>1442</v>
      </c>
      <c r="C320" s="104" t="s">
        <v>325</v>
      </c>
      <c r="D320" s="117">
        <v>808</v>
      </c>
    </row>
    <row r="321" spans="1:4" ht="14.1" customHeight="1">
      <c r="A321" s="102" t="s">
        <v>327</v>
      </c>
      <c r="B321" s="116" t="s">
        <v>1443</v>
      </c>
      <c r="C321" s="104" t="s">
        <v>327</v>
      </c>
      <c r="D321" s="117" t="s">
        <v>1444</v>
      </c>
    </row>
    <row r="322" spans="1:4" ht="14.1" customHeight="1">
      <c r="A322" s="102" t="s">
        <v>329</v>
      </c>
      <c r="B322" s="116" t="s">
        <v>1201</v>
      </c>
      <c r="C322" s="104" t="s">
        <v>329</v>
      </c>
      <c r="D322" s="117" t="s">
        <v>1445</v>
      </c>
    </row>
  </sheetData>
  <hyperlinks>
    <hyperlink ref="B1" r:id="rId1" xr:uid="{3D07D3D4-408E-486B-B49F-CCA128275072}"/>
    <hyperlink ref="C1" r:id="rId2" xr:uid="{53FF4BFC-E2A5-488B-91B7-4FBD97371D38}"/>
    <hyperlink ref="E1" r:id="rId3" xr:uid="{040B180F-3EED-47FD-BF2A-FBCF1967A334}"/>
  </hyperlinks>
  <pageMargins left="0.75" right="0.75" top="1" bottom="1" header="0.25" footer="0.5"/>
  <pageSetup fitToHeight="0" orientation="landscape" r:id="rId4"/>
  <rowBreaks count="5" manualBreakCount="5">
    <brk id="53" max="16383" man="1"/>
    <brk id="91" max="16383" man="1"/>
    <brk id="153" max="16383" man="1"/>
    <brk id="191" max="16383" man="1"/>
    <brk id="2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8F6E-E9FD-44B5-A837-4D21A2BA8DEB}">
  <sheetPr>
    <tabColor rgb="FFCC6666"/>
    <pageSetUpPr fitToPage="1"/>
  </sheetPr>
  <dimension ref="A1:O320"/>
  <sheetViews>
    <sheetView topLeftCell="A151" zoomScale="120" zoomScaleNormal="120" workbookViewId="0">
      <selection activeCell="I134" sqref="I134"/>
    </sheetView>
  </sheetViews>
  <sheetFormatPr defaultColWidth="12.85546875" defaultRowHeight="14.1" customHeight="1"/>
  <cols>
    <col min="1" max="1" width="24.42578125" style="62" customWidth="1"/>
    <col min="2" max="2" width="36.28515625" style="62" bestFit="1" customWidth="1"/>
    <col min="3" max="3" width="33.85546875" style="62" bestFit="1" customWidth="1"/>
    <col min="4" max="4" width="31.5703125" style="62" bestFit="1" customWidth="1"/>
    <col min="5" max="5" width="32.140625" style="62" bestFit="1" customWidth="1"/>
    <col min="6" max="6" width="35.5703125" style="62" bestFit="1" customWidth="1"/>
    <col min="7" max="7" width="5.42578125" style="80" bestFit="1" customWidth="1"/>
    <col min="8" max="8" width="33.85546875" style="62" bestFit="1" customWidth="1"/>
    <col min="9" max="9" width="5.42578125" style="62" bestFit="1" customWidth="1"/>
    <col min="10" max="11" width="6.85546875" style="62" bestFit="1" customWidth="1"/>
    <col min="12" max="13" width="10.28515625" style="62" customWidth="1"/>
    <col min="14" max="14" width="8.85546875" style="62" bestFit="1" customWidth="1"/>
    <col min="15" max="15" width="10.7109375" style="62" bestFit="1" customWidth="1"/>
    <col min="16" max="16384" width="12.85546875" style="62"/>
  </cols>
  <sheetData>
    <row r="1" spans="1:12" s="60" customFormat="1" ht="14.1" customHeight="1" thickTop="1" thickBot="1">
      <c r="A1" s="57" t="s">
        <v>68</v>
      </c>
      <c r="B1" s="52" t="s">
        <v>69</v>
      </c>
      <c r="C1" s="53" t="s">
        <v>70</v>
      </c>
      <c r="D1" s="58" t="s">
        <v>71</v>
      </c>
      <c r="E1" s="54" t="s">
        <v>72</v>
      </c>
      <c r="F1" s="59"/>
      <c r="G1" s="59"/>
      <c r="H1" s="59"/>
      <c r="I1" s="59"/>
      <c r="J1" s="59"/>
      <c r="K1" s="59"/>
      <c r="L1" s="59"/>
    </row>
    <row r="2" spans="1:12" ht="14.1" customHeight="1" thickBot="1">
      <c r="A2" s="61">
        <v>46226</v>
      </c>
      <c r="B2" s="60"/>
      <c r="D2" s="63" t="s">
        <v>484</v>
      </c>
      <c r="F2" s="60"/>
      <c r="G2" s="64"/>
      <c r="H2" s="60"/>
      <c r="I2" s="60"/>
      <c r="J2" s="60"/>
      <c r="K2" s="60"/>
      <c r="L2" s="60"/>
    </row>
    <row r="3" spans="1:12" s="60" customFormat="1" ht="14.1" customHeight="1" thickBot="1">
      <c r="A3" s="62"/>
      <c r="D3" s="65" t="s">
        <v>74</v>
      </c>
    </row>
    <row r="4" spans="1:12" ht="14.1" customHeight="1">
      <c r="A4" s="142" t="s">
        <v>75</v>
      </c>
      <c r="B4" s="142" t="s">
        <v>76</v>
      </c>
      <c r="C4" s="142" t="s">
        <v>77</v>
      </c>
      <c r="D4" s="142" t="s">
        <v>78</v>
      </c>
      <c r="E4" s="143" t="s">
        <v>79</v>
      </c>
      <c r="F4" s="142" t="s">
        <v>80</v>
      </c>
      <c r="G4" s="64"/>
      <c r="H4" s="66" t="s">
        <v>81</v>
      </c>
    </row>
    <row r="5" spans="1:12" ht="14.1" customHeight="1">
      <c r="A5" s="67" t="s">
        <v>1446</v>
      </c>
      <c r="B5" s="67" t="s">
        <v>1447</v>
      </c>
      <c r="C5" s="67" t="s">
        <v>1448</v>
      </c>
      <c r="D5" s="67" t="s">
        <v>1449</v>
      </c>
      <c r="E5" s="67" t="s">
        <v>1450</v>
      </c>
      <c r="F5" s="67" t="s">
        <v>1451</v>
      </c>
      <c r="G5" s="64"/>
    </row>
    <row r="6" spans="1:12" ht="14.1" customHeight="1">
      <c r="A6" s="67" t="s">
        <v>1452</v>
      </c>
      <c r="B6" s="67" t="s">
        <v>1453</v>
      </c>
      <c r="C6" s="67" t="s">
        <v>1454</v>
      </c>
      <c r="D6" s="67" t="s">
        <v>1455</v>
      </c>
      <c r="E6" s="67" t="s">
        <v>1456</v>
      </c>
      <c r="F6" s="67" t="s">
        <v>1457</v>
      </c>
      <c r="G6" s="64"/>
    </row>
    <row r="7" spans="1:12" ht="14.1" customHeight="1">
      <c r="A7" s="67" t="s">
        <v>1458</v>
      </c>
      <c r="B7" s="67" t="s">
        <v>1459</v>
      </c>
      <c r="C7" s="67" t="s">
        <v>1460</v>
      </c>
      <c r="D7" s="67" t="s">
        <v>1461</v>
      </c>
      <c r="E7" s="67" t="s">
        <v>1462</v>
      </c>
      <c r="F7" s="67" t="s">
        <v>1463</v>
      </c>
      <c r="G7" s="64"/>
    </row>
    <row r="8" spans="1:12" ht="14.1" customHeight="1">
      <c r="A8" s="67" t="s">
        <v>1464</v>
      </c>
      <c r="B8" s="67" t="s">
        <v>1465</v>
      </c>
      <c r="C8" s="67" t="s">
        <v>1466</v>
      </c>
      <c r="D8" s="67" t="s">
        <v>1467</v>
      </c>
      <c r="E8" s="67" t="s">
        <v>1468</v>
      </c>
      <c r="F8" s="67" t="s">
        <v>1469</v>
      </c>
      <c r="G8" s="64"/>
    </row>
    <row r="9" spans="1:12" ht="14.1" customHeight="1">
      <c r="A9" s="60"/>
      <c r="B9" s="60"/>
      <c r="C9" s="60"/>
      <c r="D9" s="60"/>
      <c r="E9" s="60"/>
      <c r="F9" s="60"/>
      <c r="G9" s="64"/>
    </row>
    <row r="10" spans="1:12" ht="14.1" customHeight="1">
      <c r="A10" s="142" t="s">
        <v>100</v>
      </c>
      <c r="B10" s="142" t="s">
        <v>101</v>
      </c>
      <c r="C10" s="142" t="s">
        <v>102</v>
      </c>
      <c r="D10" s="142" t="s">
        <v>103</v>
      </c>
      <c r="E10" s="142" t="s">
        <v>104</v>
      </c>
      <c r="F10" s="142" t="s">
        <v>105</v>
      </c>
      <c r="G10" s="64"/>
      <c r="J10" s="60"/>
    </row>
    <row r="11" spans="1:12" ht="14.1" customHeight="1">
      <c r="A11" s="67" t="s">
        <v>1470</v>
      </c>
      <c r="B11" s="67" t="s">
        <v>1471</v>
      </c>
      <c r="C11" s="67" t="s">
        <v>1472</v>
      </c>
      <c r="D11" s="67" t="s">
        <v>1473</v>
      </c>
      <c r="E11" s="67" t="s">
        <v>1474</v>
      </c>
      <c r="F11" s="67" t="s">
        <v>1475</v>
      </c>
      <c r="G11" s="64"/>
      <c r="J11" s="60"/>
    </row>
    <row r="12" spans="1:12" ht="14.1" customHeight="1">
      <c r="A12" s="67" t="s">
        <v>1476</v>
      </c>
      <c r="B12" s="67" t="s">
        <v>1477</v>
      </c>
      <c r="C12" s="67" t="s">
        <v>1478</v>
      </c>
      <c r="D12" s="67" t="s">
        <v>1479</v>
      </c>
      <c r="E12" s="67" t="s">
        <v>1480</v>
      </c>
      <c r="F12" s="67" t="s">
        <v>1481</v>
      </c>
      <c r="G12" s="64"/>
      <c r="J12" s="60"/>
    </row>
    <row r="13" spans="1:12" ht="14.1" customHeight="1">
      <c r="A13" s="67" t="s">
        <v>1482</v>
      </c>
      <c r="B13" s="67" t="s">
        <v>1483</v>
      </c>
      <c r="C13" s="67" t="s">
        <v>1484</v>
      </c>
      <c r="D13" s="67" t="s">
        <v>1485</v>
      </c>
      <c r="E13" s="67" t="s">
        <v>1486</v>
      </c>
      <c r="F13" s="67" t="s">
        <v>1487</v>
      </c>
      <c r="G13" s="64"/>
      <c r="J13" s="60"/>
    </row>
    <row r="14" spans="1:12" ht="14.1" customHeight="1">
      <c r="A14" s="67" t="s">
        <v>1488</v>
      </c>
      <c r="B14" s="67" t="s">
        <v>1489</v>
      </c>
      <c r="C14" s="67" t="s">
        <v>1490</v>
      </c>
      <c r="D14" s="67" t="s">
        <v>1491</v>
      </c>
      <c r="E14" s="67" t="s">
        <v>1492</v>
      </c>
      <c r="F14" s="67" t="s">
        <v>1493</v>
      </c>
      <c r="G14" s="64"/>
      <c r="J14" s="60"/>
    </row>
    <row r="15" spans="1:12" ht="14.1" customHeight="1" thickBot="1">
      <c r="G15" s="62"/>
      <c r="L15" s="62" t="s">
        <v>1494</v>
      </c>
    </row>
    <row r="16" spans="1:12" ht="14.1" customHeight="1" thickBot="1">
      <c r="B16" s="60"/>
      <c r="C16" s="60"/>
      <c r="D16" s="68" t="str">
        <f>'CHICLETS MASTER S2'!$AJ$3</f>
        <v>SUNNY HILLS HS</v>
      </c>
      <c r="E16" s="60"/>
      <c r="F16" s="60"/>
      <c r="G16" s="64"/>
      <c r="H16" s="60"/>
      <c r="I16" s="60"/>
      <c r="J16" s="60"/>
      <c r="K16" s="60"/>
      <c r="L16" s="60"/>
    </row>
    <row r="17" spans="1:12" ht="14.1" customHeight="1">
      <c r="A17" s="144" t="s">
        <v>124</v>
      </c>
      <c r="B17" s="145" t="s">
        <v>125</v>
      </c>
      <c r="C17" s="145" t="s">
        <v>126</v>
      </c>
      <c r="D17" s="145" t="s">
        <v>127</v>
      </c>
      <c r="E17" s="145" t="s">
        <v>128</v>
      </c>
      <c r="F17" s="145" t="s">
        <v>129</v>
      </c>
      <c r="G17" s="145" t="s">
        <v>130</v>
      </c>
      <c r="H17" s="145" t="s">
        <v>131</v>
      </c>
      <c r="I17" s="145" t="s">
        <v>130</v>
      </c>
      <c r="J17" s="145" t="s">
        <v>132</v>
      </c>
      <c r="K17" s="145" t="s">
        <v>133</v>
      </c>
      <c r="L17" s="145" t="s">
        <v>134</v>
      </c>
    </row>
    <row r="18" spans="1:12" ht="14.1" customHeight="1">
      <c r="A18" s="69">
        <f t="shared" ref="A18:A29" si="0">$A$2</f>
        <v>46226</v>
      </c>
      <c r="B18" s="70">
        <f>'CHICLETS MASTER S2'!X4</f>
        <v>0.29166666666666669</v>
      </c>
      <c r="C18" s="71" t="s">
        <v>218</v>
      </c>
      <c r="D18" s="71" t="str">
        <f t="shared" ref="D18:D29" si="1">$D$16</f>
        <v>SUNNY HILLS HS</v>
      </c>
      <c r="E18" s="71">
        <v>1</v>
      </c>
      <c r="F18" s="71" t="str">
        <f>C5</f>
        <v>3-SANTA CRUZ</v>
      </c>
      <c r="G18" s="73">
        <v>8</v>
      </c>
      <c r="H18" s="71" t="str">
        <f>C8</f>
        <v>46-LV LEGENDS</v>
      </c>
      <c r="I18" s="71">
        <v>7</v>
      </c>
      <c r="J18" s="71">
        <v>25</v>
      </c>
      <c r="K18" s="71">
        <v>29</v>
      </c>
      <c r="L18" s="71" t="str">
        <f t="shared" ref="L18:L29" si="2">IF(E18="","",$L$15&amp;"-"&amp;TEXT(E18,"000"))</f>
        <v>18BX-001</v>
      </c>
    </row>
    <row r="19" spans="1:12" ht="14.1" customHeight="1">
      <c r="A19" s="69">
        <f t="shared" si="0"/>
        <v>46226</v>
      </c>
      <c r="B19" s="70">
        <f>'CHICLETS MASTER S2'!X5</f>
        <v>0.3263888888888889</v>
      </c>
      <c r="C19" s="71" t="s">
        <v>218</v>
      </c>
      <c r="D19" s="71" t="str">
        <f t="shared" si="1"/>
        <v>SUNNY HILLS HS</v>
      </c>
      <c r="E19" s="71">
        <v>5</v>
      </c>
      <c r="F19" s="71" t="str">
        <f>C6</f>
        <v>22-CLOVIS RED</v>
      </c>
      <c r="G19" s="73">
        <v>9</v>
      </c>
      <c r="H19" s="71" t="str">
        <f>C7</f>
        <v>27-ALAMEDA</v>
      </c>
      <c r="I19" s="73">
        <v>5</v>
      </c>
      <c r="J19" s="71">
        <v>25</v>
      </c>
      <c r="K19" s="71">
        <v>29</v>
      </c>
      <c r="L19" s="71" t="str">
        <f t="shared" si="2"/>
        <v>18BX-005</v>
      </c>
    </row>
    <row r="20" spans="1:12" ht="14.1" customHeight="1">
      <c r="A20" s="69">
        <f t="shared" si="0"/>
        <v>46226</v>
      </c>
      <c r="B20" s="70">
        <f>'CHICLETS MASTER S2'!X6</f>
        <v>0.36111111111111099</v>
      </c>
      <c r="C20" s="71" t="s">
        <v>218</v>
      </c>
      <c r="D20" s="71" t="str">
        <f t="shared" si="1"/>
        <v>SUNNY HILLS HS</v>
      </c>
      <c r="E20" s="71">
        <v>9</v>
      </c>
      <c r="F20" s="71" t="str">
        <f>A5</f>
        <v>1-SAN JOSE EXPRESS BLUE</v>
      </c>
      <c r="G20" s="73">
        <v>21</v>
      </c>
      <c r="H20" s="71" t="str">
        <f>A8</f>
        <v>48-ELMHURST</v>
      </c>
      <c r="I20" s="71">
        <v>2</v>
      </c>
      <c r="J20" s="71">
        <v>33</v>
      </c>
      <c r="K20" s="71">
        <v>37</v>
      </c>
      <c r="L20" s="71" t="str">
        <f t="shared" si="2"/>
        <v>18BX-009</v>
      </c>
    </row>
    <row r="21" spans="1:12" ht="14.1" customHeight="1">
      <c r="A21" s="69">
        <f t="shared" si="0"/>
        <v>46226</v>
      </c>
      <c r="B21" s="70">
        <f>'CHICLETS MASTER S2'!X7</f>
        <v>0.39583333333333398</v>
      </c>
      <c r="C21" s="71" t="s">
        <v>218</v>
      </c>
      <c r="D21" s="71" t="str">
        <f t="shared" si="1"/>
        <v>SUNNY HILLS HS</v>
      </c>
      <c r="E21" s="71">
        <v>13</v>
      </c>
      <c r="F21" s="71" t="str">
        <f>A6</f>
        <v>24-LA JOLLA UNITED B</v>
      </c>
      <c r="G21" s="73">
        <v>10</v>
      </c>
      <c r="H21" s="71" t="str">
        <f>A7</f>
        <v>25-AMERICAN RIVER GOLD</v>
      </c>
      <c r="I21" s="71">
        <v>9</v>
      </c>
      <c r="J21" s="71">
        <v>33</v>
      </c>
      <c r="K21" s="71">
        <v>37</v>
      </c>
      <c r="L21" s="71" t="str">
        <f t="shared" si="2"/>
        <v>18BX-013</v>
      </c>
    </row>
    <row r="22" spans="1:12" ht="14.1" customHeight="1">
      <c r="A22" s="69">
        <f t="shared" si="0"/>
        <v>46226</v>
      </c>
      <c r="B22" s="70">
        <f>'CHICLETS MASTER S2'!X8</f>
        <v>0.43055555555555602</v>
      </c>
      <c r="C22" s="71" t="s">
        <v>218</v>
      </c>
      <c r="D22" s="71" t="str">
        <f t="shared" si="1"/>
        <v>SUNNY HILLS HS</v>
      </c>
      <c r="E22" s="71">
        <v>17</v>
      </c>
      <c r="F22" s="71" t="str">
        <f>B5</f>
        <v>2-LB SHORE</v>
      </c>
      <c r="G22" s="73">
        <v>14</v>
      </c>
      <c r="H22" s="71" t="str">
        <f>B8</f>
        <v>47-NORCO</v>
      </c>
      <c r="I22" s="71">
        <v>1</v>
      </c>
      <c r="J22" s="71">
        <v>41</v>
      </c>
      <c r="K22" s="71">
        <v>45</v>
      </c>
      <c r="L22" s="71" t="str">
        <f t="shared" si="2"/>
        <v>18BX-017</v>
      </c>
    </row>
    <row r="23" spans="1:12" ht="14.1" customHeight="1">
      <c r="A23" s="69">
        <f t="shared" si="0"/>
        <v>46226</v>
      </c>
      <c r="B23" s="70">
        <f>'CHICLETS MASTER S2'!X9</f>
        <v>0.46527777777777801</v>
      </c>
      <c r="C23" s="71" t="s">
        <v>218</v>
      </c>
      <c r="D23" s="71" t="str">
        <f t="shared" si="1"/>
        <v>SUNNY HILLS HS</v>
      </c>
      <c r="E23" s="71">
        <v>21</v>
      </c>
      <c r="F23" s="71" t="str">
        <f>B6</f>
        <v>23-WEST VALLEY</v>
      </c>
      <c r="G23" s="74">
        <v>5.4</v>
      </c>
      <c r="H23" s="71" t="str">
        <f>B7</f>
        <v>26-VANGUARD SILVER</v>
      </c>
      <c r="I23" s="71">
        <v>5.0999999999999996</v>
      </c>
      <c r="J23" s="71">
        <v>41</v>
      </c>
      <c r="K23" s="71">
        <v>45</v>
      </c>
      <c r="L23" s="71" t="str">
        <f t="shared" si="2"/>
        <v>18BX-021</v>
      </c>
    </row>
    <row r="24" spans="1:12" ht="14.1" customHeight="1">
      <c r="A24" s="69">
        <f t="shared" si="0"/>
        <v>46226</v>
      </c>
      <c r="B24" s="70">
        <f>'CHICLETS MASTER S2'!X10</f>
        <v>0.5</v>
      </c>
      <c r="C24" s="71" t="s">
        <v>218</v>
      </c>
      <c r="D24" s="71" t="str">
        <f t="shared" si="1"/>
        <v>SUNNY HILLS HS</v>
      </c>
      <c r="E24" s="71">
        <v>25</v>
      </c>
      <c r="F24" s="71" t="str">
        <f>IF(G18="","W1",IF(G18&gt;I18,_xlfn.CONCAT("W1-",RIGHT(F18,LEN(F18) - FIND("-",F18))), _xlfn.CONCAT("W1-",RIGHT(H18,LEN(H18) - FIND("-",H18)))))</f>
        <v>W1-SANTA CRUZ</v>
      </c>
      <c r="G24" s="81">
        <v>8</v>
      </c>
      <c r="H24" s="71" t="str">
        <f>IF(G19="","W5",IF(G19&gt;I19,_xlfn.CONCAT("W5-",RIGHT(F19,LEN(F19) - FIND("-",F19))), _xlfn.CONCAT("W5-",RIGHT(H19,LEN(H19) - FIND("-",H19)))))</f>
        <v>W5-CLOVIS RED</v>
      </c>
      <c r="I24" s="71">
        <v>5</v>
      </c>
      <c r="J24" s="71" t="s">
        <v>1279</v>
      </c>
      <c r="K24" s="71">
        <v>50</v>
      </c>
      <c r="L24" s="71" t="str">
        <f t="shared" si="2"/>
        <v>18BX-025</v>
      </c>
    </row>
    <row r="25" spans="1:12" ht="14.1" customHeight="1">
      <c r="A25" s="69">
        <f t="shared" si="0"/>
        <v>46226</v>
      </c>
      <c r="B25" s="70">
        <f>'CHICLETS MASTER S2'!X11</f>
        <v>0.53472222222222199</v>
      </c>
      <c r="C25" s="71" t="s">
        <v>218</v>
      </c>
      <c r="D25" s="71" t="str">
        <f t="shared" si="1"/>
        <v>SUNNY HILLS HS</v>
      </c>
      <c r="E25" s="71">
        <v>29</v>
      </c>
      <c r="F25" s="71" t="str">
        <f>IF(G18="","L1",IF(G18&lt;I18,_xlfn.CONCAT("L1-",RIGHT(F18,LEN(F18) - FIND("-",F18))), _xlfn.CONCAT("L1-",RIGHT(H18,LEN(H18) - FIND("-",H18)))))</f>
        <v>L1-LV LEGENDS</v>
      </c>
      <c r="G25" s="81">
        <v>8</v>
      </c>
      <c r="H25" s="71" t="str">
        <f>IF(G19="","L5",IF(G19&lt;I19,_xlfn.CONCAT("L5-",RIGHT(F19,LEN(F19) - FIND("-",F19))), _xlfn.CONCAT("L5-",RIGHT(H19,LEN(H19) - FIND("-",H19)))))</f>
        <v>L5-ALAMEDA</v>
      </c>
      <c r="I25" s="71">
        <v>10</v>
      </c>
      <c r="J25" s="71">
        <v>49</v>
      </c>
      <c r="K25" s="71" t="s">
        <v>1280</v>
      </c>
      <c r="L25" s="71" t="str">
        <f t="shared" si="2"/>
        <v>18BX-029</v>
      </c>
    </row>
    <row r="26" spans="1:12" ht="14.1" customHeight="1">
      <c r="A26" s="69">
        <f t="shared" si="0"/>
        <v>46226</v>
      </c>
      <c r="B26" s="70">
        <f>'CHICLETS MASTER S2'!X12</f>
        <v>0.56944444444444497</v>
      </c>
      <c r="C26" s="71" t="s">
        <v>218</v>
      </c>
      <c r="D26" s="71" t="str">
        <f t="shared" si="1"/>
        <v>SUNNY HILLS HS</v>
      </c>
      <c r="E26" s="71">
        <v>33</v>
      </c>
      <c r="F26" s="71" t="str">
        <f>IF(G20="","W9",IF(G20&gt;I20,_xlfn.CONCAT("W9-",RIGHT(F20,LEN(F20) - FIND("-",F20))), _xlfn.CONCAT("W9-",RIGHT(H20,LEN(H20) - FIND("-",H20)))))</f>
        <v>W9-SAN JOSE EXPRESS BLUE</v>
      </c>
      <c r="G26" s="81">
        <v>13</v>
      </c>
      <c r="H26" s="71" t="str">
        <f>IF(G21="","W13",IF(G21&gt;I21,_xlfn.CONCAT("W13-",RIGHT(F21,LEN(F21) - FIND("-",F21))), _xlfn.CONCAT("W13-",RIGHT(H21,LEN(H21) - FIND("-",H21)))))</f>
        <v>W13-LA JOLLA UNITED B</v>
      </c>
      <c r="I26" s="71">
        <v>7</v>
      </c>
      <c r="J26" s="71" t="s">
        <v>1281</v>
      </c>
      <c r="K26" s="71">
        <v>57</v>
      </c>
      <c r="L26" s="71" t="str">
        <f t="shared" si="2"/>
        <v>18BX-033</v>
      </c>
    </row>
    <row r="27" spans="1:12" ht="14.1" customHeight="1">
      <c r="A27" s="69">
        <f t="shared" si="0"/>
        <v>46226</v>
      </c>
      <c r="B27" s="70">
        <f>'CHICLETS MASTER S2'!X13</f>
        <v>0.60416666666666696</v>
      </c>
      <c r="C27" s="71" t="s">
        <v>218</v>
      </c>
      <c r="D27" s="71" t="str">
        <f t="shared" si="1"/>
        <v>SUNNY HILLS HS</v>
      </c>
      <c r="E27" s="71">
        <v>37</v>
      </c>
      <c r="F27" s="71" t="str">
        <f>IF(G20="","L9",IF(G20&lt;I20,_xlfn.CONCAT("L9-",RIGHT(F20,LEN(F20) - FIND("-",F20))), _xlfn.CONCAT("L9-",RIGHT(H20,LEN(H20) - FIND("-",H20)))))</f>
        <v>L9-ELMHURST</v>
      </c>
      <c r="G27" s="81">
        <v>6</v>
      </c>
      <c r="H27" s="71" t="str">
        <f>IF(G21="","L13",IF(G21&lt;I21,_xlfn.CONCAT("L13-",RIGHT(F21,LEN(F21) - FIND("-",F21))), _xlfn.CONCAT("L13-",RIGHT(H21,LEN(H21) - FIND("-",H21)))))</f>
        <v>L13-AMERICAN RIVER GOLD</v>
      </c>
      <c r="I27" s="71">
        <v>9</v>
      </c>
      <c r="J27" s="71">
        <v>53</v>
      </c>
      <c r="K27" s="71" t="s">
        <v>1282</v>
      </c>
      <c r="L27" s="71" t="str">
        <f t="shared" si="2"/>
        <v>18BX-037</v>
      </c>
    </row>
    <row r="28" spans="1:12" ht="14.1" customHeight="1">
      <c r="A28" s="69">
        <f t="shared" si="0"/>
        <v>46226</v>
      </c>
      <c r="B28" s="70">
        <f>'CHICLETS MASTER S2'!X14</f>
        <v>0.63888888888888895</v>
      </c>
      <c r="C28" s="71" t="s">
        <v>218</v>
      </c>
      <c r="D28" s="71" t="str">
        <f t="shared" si="1"/>
        <v>SUNNY HILLS HS</v>
      </c>
      <c r="E28" s="71">
        <v>41</v>
      </c>
      <c r="F28" s="71" t="str">
        <f>IF(G22="","W17",IF(G22&gt;I22,_xlfn.CONCAT("W17-",RIGHT(F22,LEN(F22) - FIND("-",F22))), _xlfn.CONCAT("W17-",RIGHT(H22,LEN(H22) - FIND("-",H22)))))</f>
        <v>W17-LB SHORE</v>
      </c>
      <c r="G28" s="73">
        <v>20</v>
      </c>
      <c r="H28" s="71" t="str">
        <f>IF(G23="","W21",IF(G23&gt;I23,_xlfn.CONCAT("W21-",RIGHT(F23,LEN(F23) - FIND("-",F23))), _xlfn.CONCAT("W21-",RIGHT(H23,LEN(H23) - FIND("-",H23)))))</f>
        <v>W21-WEST VALLEY</v>
      </c>
      <c r="I28" s="71">
        <v>4</v>
      </c>
      <c r="J28" s="71" t="s">
        <v>1283</v>
      </c>
      <c r="K28" s="71">
        <v>53</v>
      </c>
      <c r="L28" s="71" t="str">
        <f t="shared" si="2"/>
        <v>18BX-041</v>
      </c>
    </row>
    <row r="29" spans="1:12" ht="14.1" customHeight="1">
      <c r="A29" s="69">
        <f t="shared" si="0"/>
        <v>46226</v>
      </c>
      <c r="B29" s="70">
        <f>'CHICLETS MASTER S2'!X15</f>
        <v>0.67361111111111105</v>
      </c>
      <c r="C29" s="71" t="s">
        <v>218</v>
      </c>
      <c r="D29" s="71" t="str">
        <f t="shared" si="1"/>
        <v>SUNNY HILLS HS</v>
      </c>
      <c r="E29" s="71">
        <v>45</v>
      </c>
      <c r="F29" s="71" t="str">
        <f>IF(G22="","L17",IF(G22&lt;I22,_xlfn.CONCAT("L17-",RIGHT(F22,LEN(F22) - FIND("-",F22))), _xlfn.CONCAT("L17-",RIGHT(H22,LEN(H22) - FIND("-",H22)))))</f>
        <v>L17-NORCO</v>
      </c>
      <c r="G29" s="73">
        <v>5</v>
      </c>
      <c r="H29" s="71" t="str">
        <f>IF(G23="","L21",IF(G23&lt;I23,_xlfn.CONCAT("L21-",RIGHT(F23,LEN(F23) - FIND("-",F23))), _xlfn.CONCAT("L21-",RIGHT(H23,LEN(H23) - FIND("-",H23)))))</f>
        <v>L21-VANGUARD SILVER</v>
      </c>
      <c r="I29" s="71">
        <v>11</v>
      </c>
      <c r="J29" s="71">
        <v>57</v>
      </c>
      <c r="K29" s="71" t="s">
        <v>1284</v>
      </c>
      <c r="L29" s="71" t="str">
        <f t="shared" si="2"/>
        <v>18BX-045</v>
      </c>
    </row>
    <row r="30" spans="1:12" ht="14.1" customHeight="1">
      <c r="A30" s="75"/>
      <c r="B30" s="60" t="s">
        <v>139</v>
      </c>
      <c r="C30" s="60"/>
      <c r="D30" s="60"/>
      <c r="E30" s="60"/>
      <c r="F30" s="60"/>
      <c r="G30" s="64"/>
      <c r="H30" s="60"/>
      <c r="I30" s="60"/>
      <c r="J30" s="60"/>
      <c r="K30" s="60"/>
      <c r="L30" s="60"/>
    </row>
    <row r="31" spans="1:12" ht="14.1" customHeight="1">
      <c r="A31" s="69">
        <f>$A$2</f>
        <v>46226</v>
      </c>
      <c r="B31" s="70">
        <f>'CHICLETS MASTER S2'!X17</f>
        <v>0.74305555555555602</v>
      </c>
      <c r="C31" s="71" t="s">
        <v>140</v>
      </c>
      <c r="D31" s="71" t="str">
        <f>$D$16</f>
        <v>SUNNY HILLS HS</v>
      </c>
      <c r="E31" s="71">
        <v>49</v>
      </c>
      <c r="F31" s="66" t="str">
        <f>IF(G43="","L26",IF(G43&lt;I43,_xlfn.CONCAT("L26-",RIGHT(F43,LEN(F43) - FIND("-",F43))), _xlfn.CONCAT("L26-",RIGHT(H43,LEN(H43) - FIND("-",H43)))))</f>
        <v>L26-RAIN CITY</v>
      </c>
      <c r="G31" s="81">
        <v>9</v>
      </c>
      <c r="H31" s="71" t="str">
        <f>IF(G25="","W29",IF(G25&gt;I25,_xlfn.CONCAT("W29-",RIGHT(F25,LEN(F25) - FIND("-",F25))), _xlfn.CONCAT("W29-",RIGHT(H25,LEN(H25) - FIND("-",H25)))))</f>
        <v>W29-ALAMEDA</v>
      </c>
      <c r="I31" s="71">
        <v>5</v>
      </c>
      <c r="J31" s="71" t="s">
        <v>892</v>
      </c>
      <c r="K31" s="71" t="s">
        <v>927</v>
      </c>
      <c r="L31" s="71" t="str">
        <f>IF(E31="","",$L$15&amp;"-"&amp;TEXT(E31,"000"))</f>
        <v>18BX-049</v>
      </c>
    </row>
    <row r="32" spans="1:12" ht="14.1" customHeight="1">
      <c r="A32" s="69">
        <f>$A$2</f>
        <v>46226</v>
      </c>
      <c r="B32" s="70">
        <f>'CHICLETS MASTER S2'!X18</f>
        <v>0.77777777777777801</v>
      </c>
      <c r="C32" s="71" t="s">
        <v>140</v>
      </c>
      <c r="D32" s="71" t="str">
        <f>$D$16</f>
        <v>SUNNY HILLS HS</v>
      </c>
      <c r="E32" s="71">
        <v>53</v>
      </c>
      <c r="F32" s="71" t="str">
        <f>IF(G28="","L41",IF(G28&lt;I28,_xlfn.CONCAT("L41-",RIGHT(F28,LEN(F28) - FIND("-",F28))), _xlfn.CONCAT("L41-",RIGHT(H28,LEN(H28) - FIND("-",H28)))))</f>
        <v>L41-WEST VALLEY</v>
      </c>
      <c r="G32" s="81">
        <v>12</v>
      </c>
      <c r="H32" s="71" t="str">
        <f>IF(G27="","W37",IF(G27&gt;I27,_xlfn.CONCAT("W37-",RIGHT(F27,LEN(F27) - FIND("-",F27))), _xlfn.CONCAT("W37-",RIGHT(H27,LEN(H27) - FIND("-",H27)))))</f>
        <v>W37-AMERICAN RIVER GOLD</v>
      </c>
      <c r="I32" s="71">
        <v>13</v>
      </c>
      <c r="J32" s="71" t="s">
        <v>926</v>
      </c>
      <c r="K32" s="71" t="s">
        <v>893</v>
      </c>
      <c r="L32" s="71" t="str">
        <f>IF(E32="","",$L$15&amp;"-"&amp;TEXT(E32,"000"))</f>
        <v>18BX-053</v>
      </c>
    </row>
    <row r="33" spans="1:12" ht="14.1" customHeight="1">
      <c r="A33" s="69">
        <f>$A$2</f>
        <v>46226</v>
      </c>
      <c r="B33" s="70">
        <f>'CHICLETS MASTER S2'!X19</f>
        <v>0.8125</v>
      </c>
      <c r="C33" s="71" t="s">
        <v>140</v>
      </c>
      <c r="D33" s="71" t="str">
        <f>$D$16</f>
        <v>SUNNY HILLS HS</v>
      </c>
      <c r="E33" s="71">
        <v>57</v>
      </c>
      <c r="F33" s="71" t="str">
        <f>IF(G26="","L33",IF(G26&lt;I26,_xlfn.CONCAT("L33-",RIGHT(F26,LEN(F26) - FIND("-",F26))), _xlfn.CONCAT("L33-",RIGHT(H26,LEN(H26) - FIND("-",H26)))))</f>
        <v>L33-LA JOLLA UNITED B</v>
      </c>
      <c r="G33" s="81">
        <v>11</v>
      </c>
      <c r="H33" s="71" t="str">
        <f>IF(G29="","W45",IF(G29&gt;I29,_xlfn.CONCAT("W45-",RIGHT(F29,LEN(F29) - FIND("-",F29))), _xlfn.CONCAT("W45-",RIGHT(H29,LEN(H29) - FIND("-",H29)))))</f>
        <v>W45-VANGUARD SILVER</v>
      </c>
      <c r="I33" s="71">
        <v>12</v>
      </c>
      <c r="J33" s="71" t="s">
        <v>887</v>
      </c>
      <c r="K33" s="71" t="s">
        <v>898</v>
      </c>
      <c r="L33" s="71" t="str">
        <f>IF(E33="","",$L$15&amp;"-"&amp;TEXT(E33,"000"))</f>
        <v>18BX-057</v>
      </c>
    </row>
    <row r="34" spans="1:12" ht="14.1" customHeight="1" thickBot="1">
      <c r="A34" s="78"/>
      <c r="B34" s="79"/>
      <c r="C34" s="60"/>
      <c r="D34" s="60"/>
      <c r="E34" s="60"/>
      <c r="I34" s="60"/>
      <c r="J34" s="60"/>
      <c r="K34" s="60"/>
      <c r="L34" s="60"/>
    </row>
    <row r="35" spans="1:12" ht="14.1" customHeight="1" thickBot="1">
      <c r="B35" s="79"/>
      <c r="C35" s="60"/>
      <c r="D35" s="68" t="str">
        <f>'CHICLETS MASTER S2'!$AH$3</f>
        <v>TROY HS</v>
      </c>
      <c r="E35" s="60"/>
      <c r="I35" s="60"/>
      <c r="J35" s="60"/>
      <c r="K35" s="60"/>
      <c r="L35" s="60"/>
    </row>
    <row r="36" spans="1:12" ht="14.1" customHeight="1">
      <c r="A36" s="144" t="s">
        <v>124</v>
      </c>
      <c r="B36" s="145" t="s">
        <v>125</v>
      </c>
      <c r="C36" s="145" t="s">
        <v>126</v>
      </c>
      <c r="D36" s="145" t="s">
        <v>127</v>
      </c>
      <c r="E36" s="145" t="s">
        <v>128</v>
      </c>
      <c r="F36" s="145" t="s">
        <v>129</v>
      </c>
      <c r="G36" s="145" t="s">
        <v>130</v>
      </c>
      <c r="H36" s="145" t="s">
        <v>131</v>
      </c>
      <c r="I36" s="145" t="s">
        <v>130</v>
      </c>
      <c r="J36" s="145" t="s">
        <v>132</v>
      </c>
      <c r="K36" s="145" t="s">
        <v>133</v>
      </c>
      <c r="L36" s="145" t="s">
        <v>134</v>
      </c>
    </row>
    <row r="37" spans="1:12" ht="14.1" customHeight="1">
      <c r="A37" s="69">
        <f t="shared" ref="A37:A48" si="3">$A$2</f>
        <v>46226</v>
      </c>
      <c r="B37" s="70">
        <f>'CHICLETS MASTER S2'!X4</f>
        <v>0.29166666666666669</v>
      </c>
      <c r="C37" s="71" t="s">
        <v>218</v>
      </c>
      <c r="D37" s="71" t="str">
        <f t="shared" ref="D37:D48" si="4">$D$35</f>
        <v>TROY HS</v>
      </c>
      <c r="E37" s="71">
        <v>2</v>
      </c>
      <c r="F37" s="71" t="str">
        <f>D5</f>
        <v>4-SOUTH COAST RED</v>
      </c>
      <c r="G37" s="73">
        <v>14</v>
      </c>
      <c r="H37" s="71" t="str">
        <f>D8</f>
        <v>45-MOOSE</v>
      </c>
      <c r="I37" s="71">
        <v>5</v>
      </c>
      <c r="J37" s="71">
        <v>26</v>
      </c>
      <c r="K37" s="71">
        <v>30</v>
      </c>
      <c r="L37" s="71" t="str">
        <f t="shared" ref="L37:L48" si="5">IF(E37="","",$L$15&amp;"-"&amp;TEXT(E37,"000"))</f>
        <v>18BX-002</v>
      </c>
    </row>
    <row r="38" spans="1:12" ht="14.1" customHeight="1">
      <c r="A38" s="69">
        <f t="shared" si="3"/>
        <v>46226</v>
      </c>
      <c r="B38" s="70">
        <f>'CHICLETS MASTER S2'!X5</f>
        <v>0.3263888888888889</v>
      </c>
      <c r="C38" s="71" t="s">
        <v>218</v>
      </c>
      <c r="D38" s="71" t="str">
        <f t="shared" si="4"/>
        <v>TROY HS</v>
      </c>
      <c r="E38" s="71">
        <v>6</v>
      </c>
      <c r="F38" s="71" t="str">
        <f>D6</f>
        <v>21-RAIN CITY</v>
      </c>
      <c r="G38" s="74">
        <v>9.4</v>
      </c>
      <c r="H38" s="71" t="str">
        <f>D7</f>
        <v>28-CHULA VISTA PREMIER</v>
      </c>
      <c r="I38" s="71">
        <v>9.1999999999999993</v>
      </c>
      <c r="J38" s="71">
        <v>26</v>
      </c>
      <c r="K38" s="71">
        <v>30</v>
      </c>
      <c r="L38" s="71" t="str">
        <f t="shared" si="5"/>
        <v>18BX-006</v>
      </c>
    </row>
    <row r="39" spans="1:12" ht="14.1" customHeight="1">
      <c r="A39" s="69">
        <f t="shared" si="3"/>
        <v>46226</v>
      </c>
      <c r="B39" s="70">
        <f>'CHICLETS MASTER S2'!X6</f>
        <v>0.36111111111111099</v>
      </c>
      <c r="C39" s="71" t="s">
        <v>218</v>
      </c>
      <c r="D39" s="71" t="str">
        <f t="shared" si="4"/>
        <v>TROY HS</v>
      </c>
      <c r="E39" s="71">
        <v>10</v>
      </c>
      <c r="F39" s="71" t="str">
        <f>E5</f>
        <v>5-COMMERCE</v>
      </c>
      <c r="G39" s="73">
        <v>13</v>
      </c>
      <c r="H39" s="71" t="str">
        <f>E8</f>
        <v>44-SHAQ WHITE</v>
      </c>
      <c r="I39" s="71">
        <v>7</v>
      </c>
      <c r="J39" s="71">
        <v>34</v>
      </c>
      <c r="K39" s="71">
        <v>38</v>
      </c>
      <c r="L39" s="71" t="str">
        <f t="shared" si="5"/>
        <v>18BX-010</v>
      </c>
    </row>
    <row r="40" spans="1:12" ht="14.1" customHeight="1">
      <c r="A40" s="69">
        <f t="shared" si="3"/>
        <v>46226</v>
      </c>
      <c r="B40" s="70">
        <f>'CHICLETS MASTER S2'!X7</f>
        <v>0.39583333333333398</v>
      </c>
      <c r="C40" s="71" t="s">
        <v>218</v>
      </c>
      <c r="D40" s="71" t="str">
        <f t="shared" si="4"/>
        <v>TROY HS</v>
      </c>
      <c r="E40" s="71">
        <v>14</v>
      </c>
      <c r="F40" s="71" t="str">
        <f>E6</f>
        <v>20-CARLSBAD</v>
      </c>
      <c r="G40" s="73">
        <v>15</v>
      </c>
      <c r="H40" s="71" t="str">
        <f>E7</f>
        <v>29-ALBUQUERQUE</v>
      </c>
      <c r="I40" s="71">
        <v>5</v>
      </c>
      <c r="J40" s="71">
        <v>34</v>
      </c>
      <c r="K40" s="71">
        <v>38</v>
      </c>
      <c r="L40" s="71" t="str">
        <f t="shared" si="5"/>
        <v>18BX-014</v>
      </c>
    </row>
    <row r="41" spans="1:12" ht="14.1" customHeight="1">
      <c r="A41" s="69">
        <f t="shared" si="3"/>
        <v>46226</v>
      </c>
      <c r="B41" s="70">
        <f>'CHICLETS MASTER S2'!X8</f>
        <v>0.43055555555555602</v>
      </c>
      <c r="C41" s="71" t="s">
        <v>218</v>
      </c>
      <c r="D41" s="71" t="str">
        <f t="shared" si="4"/>
        <v>TROY HS</v>
      </c>
      <c r="E41" s="71">
        <v>18</v>
      </c>
      <c r="F41" s="71" t="str">
        <f>F5</f>
        <v>6-CHAWP WHITE</v>
      </c>
      <c r="G41" s="73">
        <v>17</v>
      </c>
      <c r="H41" s="71" t="str">
        <f>F8</f>
        <v>43-CINCINNATI MARLINS</v>
      </c>
      <c r="I41" s="71">
        <v>5</v>
      </c>
      <c r="J41" s="71">
        <v>42</v>
      </c>
      <c r="K41" s="71">
        <v>46</v>
      </c>
      <c r="L41" s="71" t="str">
        <f t="shared" si="5"/>
        <v>18BX-018</v>
      </c>
    </row>
    <row r="42" spans="1:12" ht="14.1" customHeight="1">
      <c r="A42" s="69">
        <f t="shared" si="3"/>
        <v>46226</v>
      </c>
      <c r="B42" s="70">
        <f>'CHICLETS MASTER S2'!X9</f>
        <v>0.46527777777777801</v>
      </c>
      <c r="C42" s="71" t="s">
        <v>218</v>
      </c>
      <c r="D42" s="71" t="str">
        <f t="shared" si="4"/>
        <v>TROY HS</v>
      </c>
      <c r="E42" s="71">
        <v>22</v>
      </c>
      <c r="F42" s="71" t="str">
        <f>F6</f>
        <v>19-SAN JOSE FOUNDATION</v>
      </c>
      <c r="G42" s="73">
        <v>10</v>
      </c>
      <c r="H42" s="71" t="str">
        <f>F7</f>
        <v>30-CHARGERS BLACK</v>
      </c>
      <c r="I42" s="71">
        <v>5</v>
      </c>
      <c r="J42" s="71">
        <v>42</v>
      </c>
      <c r="K42" s="71">
        <v>46</v>
      </c>
      <c r="L42" s="71" t="str">
        <f t="shared" si="5"/>
        <v>18BX-022</v>
      </c>
    </row>
    <row r="43" spans="1:12" ht="14.1" customHeight="1">
      <c r="A43" s="69">
        <f t="shared" si="3"/>
        <v>46226</v>
      </c>
      <c r="B43" s="70">
        <f>'CHICLETS MASTER S2'!X10</f>
        <v>0.5</v>
      </c>
      <c r="C43" s="71" t="s">
        <v>218</v>
      </c>
      <c r="D43" s="71" t="str">
        <f t="shared" si="4"/>
        <v>TROY HS</v>
      </c>
      <c r="E43" s="71">
        <v>26</v>
      </c>
      <c r="F43" s="71" t="str">
        <f>IF(G37="","W2",IF(G37&gt;I37,_xlfn.CONCAT("W2-",RIGHT(F37,LEN(F37) - FIND("-",F37))), _xlfn.CONCAT("W2-",RIGHT(H37,LEN(H37) - FIND("-",H37)))))</f>
        <v>W2-SOUTH COAST RED</v>
      </c>
      <c r="G43" s="81">
        <v>10</v>
      </c>
      <c r="H43" s="71" t="str">
        <f>IF(G38="","W6",IF(G38&gt;I38,_xlfn.CONCAT("W6-",RIGHT(F38,LEN(F38) - FIND("-",F38))), _xlfn.CONCAT("W6-",RIGHT(H38,LEN(H38) - FIND("-",H38)))))</f>
        <v>W6-RAIN CITY</v>
      </c>
      <c r="I43" s="71">
        <v>4</v>
      </c>
      <c r="J43" s="71" t="s">
        <v>1269</v>
      </c>
      <c r="K43" s="71">
        <v>49</v>
      </c>
      <c r="L43" s="71" t="str">
        <f t="shared" si="5"/>
        <v>18BX-026</v>
      </c>
    </row>
    <row r="44" spans="1:12" ht="14.1" customHeight="1">
      <c r="A44" s="69">
        <f t="shared" si="3"/>
        <v>46226</v>
      </c>
      <c r="B44" s="70">
        <f>'CHICLETS MASTER S2'!X11</f>
        <v>0.53472222222222199</v>
      </c>
      <c r="C44" s="71" t="s">
        <v>218</v>
      </c>
      <c r="D44" s="71" t="str">
        <f t="shared" si="4"/>
        <v>TROY HS</v>
      </c>
      <c r="E44" s="71">
        <v>30</v>
      </c>
      <c r="F44" s="71" t="str">
        <f>IF(G37="","L2",IF(G37&lt;I37,_xlfn.CONCAT("L2-",RIGHT(F37,LEN(F37) - FIND("-",F37))), _xlfn.CONCAT("L2-",RIGHT(H37,LEN(H37) - FIND("-",H37)))))</f>
        <v>L2-MOOSE</v>
      </c>
      <c r="G44" s="81">
        <v>6</v>
      </c>
      <c r="H44" s="71" t="str">
        <f>IF(G38="","L6",IF(G38&lt;I38,_xlfn.CONCAT("L6-",RIGHT(F38,LEN(F38) - FIND("-",F38))), _xlfn.CONCAT("L6-",RIGHT(H38,LEN(H38) - FIND("-",H38)))))</f>
        <v>L6-CHULA VISTA PREMIER</v>
      </c>
      <c r="I44" s="71">
        <v>11</v>
      </c>
      <c r="J44" s="71">
        <v>50</v>
      </c>
      <c r="K44" s="71" t="s">
        <v>1270</v>
      </c>
      <c r="L44" s="71" t="str">
        <f t="shared" si="5"/>
        <v>18BX-030</v>
      </c>
    </row>
    <row r="45" spans="1:12" ht="14.1" customHeight="1">
      <c r="A45" s="69">
        <f t="shared" si="3"/>
        <v>46226</v>
      </c>
      <c r="B45" s="70">
        <f>'CHICLETS MASTER S2'!X12</f>
        <v>0.56944444444444497</v>
      </c>
      <c r="C45" s="71" t="s">
        <v>218</v>
      </c>
      <c r="D45" s="71" t="str">
        <f t="shared" si="4"/>
        <v>TROY HS</v>
      </c>
      <c r="E45" s="71">
        <v>34</v>
      </c>
      <c r="F45" s="71" t="str">
        <f>IF(G39="","W10",IF(G39&gt;I39,_xlfn.CONCAT("W10-",RIGHT(F39,LEN(F39) - FIND("-",F39))), _xlfn.CONCAT("W10-",RIGHT(H39,LEN(H39) - FIND("-",H39)))))</f>
        <v>W10-COMMERCE</v>
      </c>
      <c r="G45" s="73">
        <v>4</v>
      </c>
      <c r="H45" s="71" t="str">
        <f>IF(G40="","W14",IF(G40&gt;I40,_xlfn.CONCAT("W14-",RIGHT(F40,LEN(F40) - FIND("-",F40))), _xlfn.CONCAT("W14-",RIGHT(H40,LEN(H40) - FIND("-",H40)))))</f>
        <v>W14-CARLSBAD</v>
      </c>
      <c r="I45" s="71">
        <v>6</v>
      </c>
      <c r="J45" s="71" t="s">
        <v>1271</v>
      </c>
      <c r="K45" s="71">
        <v>58</v>
      </c>
      <c r="L45" s="71" t="str">
        <f t="shared" si="5"/>
        <v>18BX-034</v>
      </c>
    </row>
    <row r="46" spans="1:12" ht="14.1" customHeight="1">
      <c r="A46" s="69">
        <f t="shared" si="3"/>
        <v>46226</v>
      </c>
      <c r="B46" s="70">
        <f>'CHICLETS MASTER S2'!X13</f>
        <v>0.60416666666666696</v>
      </c>
      <c r="C46" s="71" t="s">
        <v>218</v>
      </c>
      <c r="D46" s="71" t="str">
        <f t="shared" si="4"/>
        <v>TROY HS</v>
      </c>
      <c r="E46" s="71">
        <v>38</v>
      </c>
      <c r="F46" s="71" t="str">
        <f>IF(G39="","L10",IF(G39&lt;I39,_xlfn.CONCAT("L10-",RIGHT(F39,LEN(F39) - FIND("-",F39))), _xlfn.CONCAT("L10-",RIGHT(H39,LEN(H39) - FIND("-",H39)))))</f>
        <v>L10-SHAQ WHITE</v>
      </c>
      <c r="G46" s="73">
        <v>7</v>
      </c>
      <c r="H46" s="71" t="str">
        <f>IF(G40="","L14",IF(G40&lt;I40,_xlfn.CONCAT("L14-",RIGHT(F40,LEN(F40) - FIND("-",F40))), _xlfn.CONCAT("L14-",RIGHT(H40,LEN(H40) - FIND("-",H40)))))</f>
        <v>L14-ALBUQUERQUE</v>
      </c>
      <c r="I46" s="71">
        <v>9</v>
      </c>
      <c r="J46" s="71">
        <v>54</v>
      </c>
      <c r="K46" s="71" t="s">
        <v>1272</v>
      </c>
      <c r="L46" s="71" t="str">
        <f t="shared" si="5"/>
        <v>18BX-038</v>
      </c>
    </row>
    <row r="47" spans="1:12" ht="14.1" customHeight="1">
      <c r="A47" s="69">
        <f t="shared" si="3"/>
        <v>46226</v>
      </c>
      <c r="B47" s="70">
        <f>'CHICLETS MASTER S2'!X14</f>
        <v>0.63888888888888895</v>
      </c>
      <c r="C47" s="71" t="s">
        <v>218</v>
      </c>
      <c r="D47" s="71" t="str">
        <f t="shared" si="4"/>
        <v>TROY HS</v>
      </c>
      <c r="E47" s="71">
        <v>42</v>
      </c>
      <c r="F47" s="71" t="str">
        <f>IF(G41="","W18",IF(G41&gt;I41,_xlfn.CONCAT("W18-",RIGHT(F41,LEN(F41) - FIND("-",F41))), _xlfn.CONCAT("W18-",RIGHT(H41,LEN(H41) - FIND("-",H41)))))</f>
        <v>W18-CHAWP WHITE</v>
      </c>
      <c r="G47" s="73">
        <v>10</v>
      </c>
      <c r="H47" s="71" t="str">
        <f>IF(G42="","W22",IF(G42&gt;I42,_xlfn.CONCAT("W22-",RIGHT(F42,LEN(F42) - FIND("-",F42))), _xlfn.CONCAT("W22-",RIGHT(H42,LEN(H42) - FIND("-",H42)))))</f>
        <v>W22-SAN JOSE FOUNDATION</v>
      </c>
      <c r="I47" s="71">
        <v>8</v>
      </c>
      <c r="J47" s="71" t="s">
        <v>1273</v>
      </c>
      <c r="K47" s="71">
        <v>54</v>
      </c>
      <c r="L47" s="71" t="str">
        <f t="shared" si="5"/>
        <v>18BX-042</v>
      </c>
    </row>
    <row r="48" spans="1:12" ht="14.1" customHeight="1">
      <c r="A48" s="69">
        <f t="shared" si="3"/>
        <v>46226</v>
      </c>
      <c r="B48" s="70">
        <f>'CHICLETS MASTER S2'!X15</f>
        <v>0.67361111111111105</v>
      </c>
      <c r="C48" s="71" t="s">
        <v>218</v>
      </c>
      <c r="D48" s="71" t="str">
        <f t="shared" si="4"/>
        <v>TROY HS</v>
      </c>
      <c r="E48" s="71">
        <v>46</v>
      </c>
      <c r="F48" s="71" t="str">
        <f>IF(G41="","L18",IF(G41&lt;I41,_xlfn.CONCAT("L18-",RIGHT(F41,LEN(F41) - FIND("-",F41))), _xlfn.CONCAT("L18-",RIGHT(H41,LEN(H41) - FIND("-",H41)))))</f>
        <v>L18-CINCINNATI MARLINS</v>
      </c>
      <c r="G48" s="73">
        <v>7</v>
      </c>
      <c r="H48" s="71" t="str">
        <f>IF(G42="","L22",IF(G42&lt;I42,_xlfn.CONCAT("L22-",RIGHT(F42,LEN(F42) - FIND("-",F42))), _xlfn.CONCAT("L22-",RIGHT(H42,LEN(H42) - FIND("-",H42)))))</f>
        <v>L22-CHARGERS BLACK</v>
      </c>
      <c r="I48" s="71">
        <v>10</v>
      </c>
      <c r="J48" s="71">
        <v>58</v>
      </c>
      <c r="K48" s="71" t="s">
        <v>1274</v>
      </c>
      <c r="L48" s="71" t="str">
        <f t="shared" si="5"/>
        <v>18BX-046</v>
      </c>
    </row>
    <row r="49" spans="1:12" ht="14.1" customHeight="1">
      <c r="A49" s="75"/>
      <c r="B49" s="60" t="s">
        <v>139</v>
      </c>
      <c r="C49" s="60"/>
      <c r="D49" s="60"/>
      <c r="E49" s="60"/>
      <c r="F49" s="60"/>
      <c r="G49" s="64"/>
      <c r="H49" s="60"/>
      <c r="I49" s="60"/>
      <c r="J49" s="60"/>
      <c r="K49" s="60"/>
      <c r="L49" s="60"/>
    </row>
    <row r="50" spans="1:12" ht="14.1" customHeight="1">
      <c r="A50" s="69">
        <f>$A$2</f>
        <v>46226</v>
      </c>
      <c r="B50" s="70">
        <f>'CHICLETS MASTER S2'!X17</f>
        <v>0.74305555555555602</v>
      </c>
      <c r="C50" s="71" t="s">
        <v>140</v>
      </c>
      <c r="D50" s="71" t="str">
        <f>$D$35</f>
        <v>TROY HS</v>
      </c>
      <c r="E50" s="71">
        <v>50</v>
      </c>
      <c r="F50" s="76" t="str">
        <f>IF(G24="","L25",IF(G24&lt;I24,_xlfn.CONCAT("L25-",RIGHT(F24,LEN(F24) - FIND("-",F24))), _xlfn.CONCAT("L25-",RIGHT(H24,LEN(H24) - FIND("-",H24)))))</f>
        <v>L25-CLOVIS RED</v>
      </c>
      <c r="G50" s="81">
        <v>12</v>
      </c>
      <c r="H50" s="71" t="str">
        <f>IF(G44="","W30",IF(G44&gt;I44,_xlfn.CONCAT("W30-",RIGHT(F44,LEN(F44) - FIND("-",F44))), _xlfn.CONCAT("W30-",RIGHT(H44,LEN(H44) - FIND("-",H44)))))</f>
        <v>W30-CHULA VISTA PREMIER</v>
      </c>
      <c r="I50" s="71">
        <v>6</v>
      </c>
      <c r="J50" s="71" t="s">
        <v>897</v>
      </c>
      <c r="K50" s="71" t="s">
        <v>888</v>
      </c>
      <c r="L50" s="71" t="str">
        <f>IF(E50="","",$L$15&amp;"-"&amp;TEXT(E50,"000"))</f>
        <v>18BX-050</v>
      </c>
    </row>
    <row r="51" spans="1:12" ht="14.1" customHeight="1">
      <c r="A51" s="69">
        <f>$A$2</f>
        <v>46226</v>
      </c>
      <c r="B51" s="70">
        <f>'CHICLETS MASTER S2'!X18</f>
        <v>0.77777777777777801</v>
      </c>
      <c r="C51" s="71" t="s">
        <v>140</v>
      </c>
      <c r="D51" s="71" t="str">
        <f>$D$35</f>
        <v>TROY HS</v>
      </c>
      <c r="E51" s="71">
        <v>54</v>
      </c>
      <c r="F51" s="71" t="str">
        <f>IF(G47="","L42",IF(G47&lt;I47,_xlfn.CONCAT("L42-",RIGHT(F47,LEN(F47) - FIND("-",F47))), _xlfn.CONCAT("L42-",RIGHT(H47,LEN(H47) - FIND("-",H47)))))</f>
        <v>L42-SAN JOSE FOUNDATION</v>
      </c>
      <c r="G51" s="81">
        <v>11</v>
      </c>
      <c r="H51" s="71" t="str">
        <f>IF(G46="","W38",IF(G46&gt;I46,_xlfn.CONCAT("W38-",RIGHT(F46,LEN(F46) - FIND("-",F46))), _xlfn.CONCAT("W38-",RIGHT(H46,LEN(H46) - FIND("-",H46)))))</f>
        <v>W38-ALBUQUERQUE</v>
      </c>
      <c r="I51" s="71">
        <v>3</v>
      </c>
      <c r="J51" s="71" t="s">
        <v>1275</v>
      </c>
      <c r="K51" s="71" t="s">
        <v>1276</v>
      </c>
      <c r="L51" s="71" t="str">
        <f>IF(E51="","",$L$15&amp;"-"&amp;TEXT(E51,"000"))</f>
        <v>18BX-054</v>
      </c>
    </row>
    <row r="52" spans="1:12" ht="14.1" customHeight="1">
      <c r="A52" s="69">
        <f>$A$2</f>
        <v>46226</v>
      </c>
      <c r="B52" s="70">
        <f>'CHICLETS MASTER S2'!X19</f>
        <v>0.8125</v>
      </c>
      <c r="C52" s="71" t="s">
        <v>140</v>
      </c>
      <c r="D52" s="71" t="str">
        <f>$D$35</f>
        <v>TROY HS</v>
      </c>
      <c r="E52" s="71">
        <v>58</v>
      </c>
      <c r="F52" s="71" t="str">
        <f>IF(G45="","L34",IF(G45&lt;I45,_xlfn.CONCAT("L34-",RIGHT(F45,LEN(F45) - FIND("-",F45))), _xlfn.CONCAT("L34-",RIGHT(H45,LEN(H45) - FIND("-",H45)))))</f>
        <v>L34-COMMERCE</v>
      </c>
      <c r="G52" s="81">
        <v>11</v>
      </c>
      <c r="H52" s="71" t="str">
        <f>IF(G48="","W46",IF(G48&gt;I48,_xlfn.CONCAT("W46-",RIGHT(F48,LEN(F48) - FIND("-",F48))), _xlfn.CONCAT("W46-",RIGHT(H48,LEN(H48) - FIND("-",H48)))))</f>
        <v>W46-CHARGERS BLACK</v>
      </c>
      <c r="I52" s="71">
        <v>5</v>
      </c>
      <c r="J52" s="71" t="s">
        <v>1277</v>
      </c>
      <c r="K52" s="71" t="s">
        <v>1278</v>
      </c>
      <c r="L52" s="71" t="str">
        <f>IF(E52="","",$L$15&amp;"-"&amp;TEXT(E52,"000"))</f>
        <v>18BX-058</v>
      </c>
    </row>
    <row r="53" spans="1:12" ht="14.1" customHeight="1" thickBot="1"/>
    <row r="54" spans="1:12" ht="14.1" customHeight="1" thickBot="1">
      <c r="B54" s="60"/>
      <c r="C54" s="60"/>
      <c r="D54" s="68" t="str">
        <f>'CHICLETS MASTER S2'!$AI$3</f>
        <v>VALLEY HS (SA)</v>
      </c>
      <c r="I54" s="60"/>
      <c r="J54" s="60"/>
      <c r="K54" s="60"/>
      <c r="L54" s="60"/>
    </row>
    <row r="55" spans="1:12" ht="14.1" customHeight="1">
      <c r="A55" s="144" t="s">
        <v>124</v>
      </c>
      <c r="B55" s="145" t="s">
        <v>125</v>
      </c>
      <c r="C55" s="145" t="s">
        <v>126</v>
      </c>
      <c r="D55" s="145"/>
      <c r="E55" s="145" t="s">
        <v>128</v>
      </c>
      <c r="F55" s="145" t="s">
        <v>129</v>
      </c>
      <c r="G55" s="145" t="s">
        <v>130</v>
      </c>
      <c r="H55" s="145" t="s">
        <v>131</v>
      </c>
      <c r="I55" s="145" t="s">
        <v>130</v>
      </c>
      <c r="J55" s="145" t="s">
        <v>132</v>
      </c>
      <c r="K55" s="145" t="s">
        <v>133</v>
      </c>
      <c r="L55" s="145" t="s">
        <v>134</v>
      </c>
    </row>
    <row r="56" spans="1:12" ht="14.1" customHeight="1">
      <c r="A56" s="69">
        <f t="shared" ref="A56:A67" si="6">$A$2</f>
        <v>46226</v>
      </c>
      <c r="B56" s="70">
        <f>'CHICLETS MASTER S2'!X4</f>
        <v>0.29166666666666669</v>
      </c>
      <c r="C56" s="71" t="s">
        <v>218</v>
      </c>
      <c r="D56" s="71" t="str">
        <f t="shared" ref="D56:D67" si="7">$D$54</f>
        <v>VALLEY HS (SA)</v>
      </c>
      <c r="E56" s="71">
        <v>3</v>
      </c>
      <c r="F56" s="71" t="str">
        <f>C11</f>
        <v>9-KINGSBURG</v>
      </c>
      <c r="G56" s="73">
        <v>15</v>
      </c>
      <c r="H56" s="71" t="str">
        <f>C14</f>
        <v>40-NEWBERG</v>
      </c>
      <c r="I56" s="71">
        <v>4</v>
      </c>
      <c r="J56" s="71">
        <v>27</v>
      </c>
      <c r="K56" s="71">
        <v>31</v>
      </c>
      <c r="L56" s="71" t="str">
        <f t="shared" ref="L56:L67" si="8">IF(E56="","",$L$15&amp;"-"&amp;TEXT(E56,"000"))</f>
        <v>18BX-003</v>
      </c>
    </row>
    <row r="57" spans="1:12" ht="14.1" customHeight="1">
      <c r="A57" s="69">
        <f t="shared" si="6"/>
        <v>46226</v>
      </c>
      <c r="B57" s="70">
        <f>'CHICLETS MASTER S2'!X5</f>
        <v>0.3263888888888889</v>
      </c>
      <c r="C57" s="71" t="s">
        <v>218</v>
      </c>
      <c r="D57" s="71" t="str">
        <f t="shared" si="7"/>
        <v>VALLEY HS (SA)</v>
      </c>
      <c r="E57" s="71">
        <v>7</v>
      </c>
      <c r="F57" s="71" t="str">
        <f>C12</f>
        <v>16-NAVY</v>
      </c>
      <c r="G57" s="73">
        <v>6</v>
      </c>
      <c r="H57" s="71" t="str">
        <f>C13</f>
        <v>33-ASPHALT GREEN</v>
      </c>
      <c r="I57" s="71">
        <v>10</v>
      </c>
      <c r="J57" s="71">
        <v>27</v>
      </c>
      <c r="K57" s="71">
        <v>31</v>
      </c>
      <c r="L57" s="71" t="str">
        <f t="shared" si="8"/>
        <v>18BX-007</v>
      </c>
    </row>
    <row r="58" spans="1:12" ht="14.1" customHeight="1">
      <c r="A58" s="69">
        <f t="shared" si="6"/>
        <v>46226</v>
      </c>
      <c r="B58" s="70">
        <f>'CHICLETS MASTER S2'!X6</f>
        <v>0.36111111111111099</v>
      </c>
      <c r="C58" s="71" t="s">
        <v>218</v>
      </c>
      <c r="D58" s="71" t="str">
        <f t="shared" si="7"/>
        <v>VALLEY HS (SA)</v>
      </c>
      <c r="E58" s="71">
        <v>11</v>
      </c>
      <c r="F58" s="71" t="str">
        <f>A11</f>
        <v>7-HIELAND</v>
      </c>
      <c r="G58" s="73">
        <v>14</v>
      </c>
      <c r="H58" s="71" t="str">
        <f>A14</f>
        <v>42-CC UNITED BLUE</v>
      </c>
      <c r="I58" s="71">
        <v>6</v>
      </c>
      <c r="J58" s="71">
        <v>35</v>
      </c>
      <c r="K58" s="71">
        <v>39</v>
      </c>
      <c r="L58" s="71" t="str">
        <f t="shared" si="8"/>
        <v>18BX-011</v>
      </c>
    </row>
    <row r="59" spans="1:12" ht="14.1" customHeight="1">
      <c r="A59" s="69">
        <f t="shared" si="6"/>
        <v>46226</v>
      </c>
      <c r="B59" s="70">
        <f>'CHICLETS MASTER S2'!X7</f>
        <v>0.39583333333333398</v>
      </c>
      <c r="C59" s="71" t="s">
        <v>218</v>
      </c>
      <c r="D59" s="71" t="str">
        <f t="shared" si="7"/>
        <v>VALLEY HS (SA)</v>
      </c>
      <c r="E59" s="71">
        <v>15</v>
      </c>
      <c r="F59" s="71" t="str">
        <f>A12</f>
        <v>18-ROSE BOWL RED</v>
      </c>
      <c r="G59" s="73">
        <v>14</v>
      </c>
      <c r="H59" s="71" t="str">
        <f>A13</f>
        <v>31-THIRD COAST</v>
      </c>
      <c r="I59" s="71">
        <v>10</v>
      </c>
      <c r="J59" s="71">
        <v>35</v>
      </c>
      <c r="K59" s="71">
        <v>39</v>
      </c>
      <c r="L59" s="71" t="str">
        <f t="shared" si="8"/>
        <v>18BX-015</v>
      </c>
    </row>
    <row r="60" spans="1:12" ht="14.1" customHeight="1">
      <c r="A60" s="69">
        <f t="shared" si="6"/>
        <v>46226</v>
      </c>
      <c r="B60" s="70">
        <f>'CHICLETS MASTER S2'!X8</f>
        <v>0.43055555555555602</v>
      </c>
      <c r="C60" s="71" t="s">
        <v>218</v>
      </c>
      <c r="D60" s="71" t="str">
        <f t="shared" si="7"/>
        <v>VALLEY HS (SA)</v>
      </c>
      <c r="E60" s="71">
        <v>19</v>
      </c>
      <c r="F60" s="71" t="str">
        <f>B11</f>
        <v>8-ORWP</v>
      </c>
      <c r="G60" s="73">
        <v>14</v>
      </c>
      <c r="H60" s="71" t="str">
        <f>B14</f>
        <v>41-WCAC UNITED B</v>
      </c>
      <c r="I60" s="71">
        <v>7</v>
      </c>
      <c r="J60" s="71">
        <v>43</v>
      </c>
      <c r="K60" s="71">
        <v>47</v>
      </c>
      <c r="L60" s="71" t="str">
        <f t="shared" si="8"/>
        <v>18BX-019</v>
      </c>
    </row>
    <row r="61" spans="1:12" ht="14.1" customHeight="1">
      <c r="A61" s="69">
        <f t="shared" si="6"/>
        <v>46226</v>
      </c>
      <c r="B61" s="70">
        <f>'CHICLETS MASTER S2'!X9</f>
        <v>0.46527777777777801</v>
      </c>
      <c r="C61" s="71" t="s">
        <v>218</v>
      </c>
      <c r="D61" s="71" t="str">
        <f t="shared" si="7"/>
        <v>VALLEY HS (SA)</v>
      </c>
      <c r="E61" s="71">
        <v>23</v>
      </c>
      <c r="F61" s="71" t="str">
        <f>B12</f>
        <v>17-SUPREME</v>
      </c>
      <c r="G61" s="73">
        <v>12</v>
      </c>
      <c r="H61" s="71" t="str">
        <f>B13</f>
        <v>32-MID PEN</v>
      </c>
      <c r="I61" s="71">
        <v>4</v>
      </c>
      <c r="J61" s="71">
        <v>43</v>
      </c>
      <c r="K61" s="71">
        <v>47</v>
      </c>
      <c r="L61" s="71" t="str">
        <f t="shared" si="8"/>
        <v>18BX-023</v>
      </c>
    </row>
    <row r="62" spans="1:12" ht="14.1" customHeight="1">
      <c r="A62" s="69">
        <f t="shared" si="6"/>
        <v>46226</v>
      </c>
      <c r="B62" s="70">
        <f>'CHICLETS MASTER S2'!X10</f>
        <v>0.5</v>
      </c>
      <c r="C62" s="71" t="s">
        <v>218</v>
      </c>
      <c r="D62" s="71" t="str">
        <f t="shared" si="7"/>
        <v>VALLEY HS (SA)</v>
      </c>
      <c r="E62" s="71">
        <v>27</v>
      </c>
      <c r="F62" s="71" t="str">
        <f>IF(G56="","W3",IF(G56&gt;I56,_xlfn.CONCAT("W3-",RIGHT(F56,LEN(F56) - FIND("-",F56))), _xlfn.CONCAT("W3-",RIGHT(H56,LEN(H56) - FIND("-",H56)))))</f>
        <v>W3-KINGSBURG</v>
      </c>
      <c r="G62" s="73">
        <v>15</v>
      </c>
      <c r="H62" s="71" t="str">
        <f>IF(G57="","W7",IF(G57&gt;I57,_xlfn.CONCAT("W7-",RIGHT(F57,LEN(F57) - FIND("-",F57))), _xlfn.CONCAT("W7-",RIGHT(H57,LEN(H57) - FIND("-",H57)))))</f>
        <v>W7-ASPHALT GREEN</v>
      </c>
      <c r="I62" s="71">
        <v>9</v>
      </c>
      <c r="J62" s="71" t="s">
        <v>920</v>
      </c>
      <c r="K62" s="71">
        <v>52</v>
      </c>
      <c r="L62" s="71" t="str">
        <f t="shared" si="8"/>
        <v>18BX-027</v>
      </c>
    </row>
    <row r="63" spans="1:12" ht="14.1" customHeight="1">
      <c r="A63" s="69">
        <f t="shared" si="6"/>
        <v>46226</v>
      </c>
      <c r="B63" s="70">
        <f>'CHICLETS MASTER S2'!X11</f>
        <v>0.53472222222222199</v>
      </c>
      <c r="C63" s="71" t="s">
        <v>218</v>
      </c>
      <c r="D63" s="71" t="str">
        <f t="shared" si="7"/>
        <v>VALLEY HS (SA)</v>
      </c>
      <c r="E63" s="71">
        <v>31</v>
      </c>
      <c r="F63" s="71" t="str">
        <f>IF(G56="","L3",IF(G56&lt;I56,_xlfn.CONCAT("L3-",RIGHT(F56,LEN(F56) - FIND("-",F56))), _xlfn.CONCAT("L3-",RIGHT(H56,LEN(H56) - FIND("-",H56)))))</f>
        <v>L3-NEWBERG</v>
      </c>
      <c r="G63" s="73">
        <v>7</v>
      </c>
      <c r="H63" s="71" t="str">
        <f>IF(G57="","L7",IF(G57&lt;I57,_xlfn.CONCAT("L7-",RIGHT(F57,LEN(F57) - FIND("-",F57))), _xlfn.CONCAT("L7-",RIGHT(H57,LEN(H57) - FIND("-",H57)))))</f>
        <v>L7-NAVY</v>
      </c>
      <c r="I63" s="71">
        <v>8</v>
      </c>
      <c r="J63" s="71">
        <v>51</v>
      </c>
      <c r="K63" s="71" t="s">
        <v>904</v>
      </c>
      <c r="L63" s="71" t="str">
        <f t="shared" si="8"/>
        <v>18BX-031</v>
      </c>
    </row>
    <row r="64" spans="1:12" ht="14.1" customHeight="1">
      <c r="A64" s="69">
        <f t="shared" si="6"/>
        <v>46226</v>
      </c>
      <c r="B64" s="70">
        <f>'CHICLETS MASTER S2'!X12</f>
        <v>0.56944444444444497</v>
      </c>
      <c r="C64" s="71" t="s">
        <v>218</v>
      </c>
      <c r="D64" s="71" t="str">
        <f t="shared" si="7"/>
        <v>VALLEY HS (SA)</v>
      </c>
      <c r="E64" s="71">
        <v>35</v>
      </c>
      <c r="F64" s="71" t="str">
        <f>IF(G58="","W11",IF(G58&gt;I58,_xlfn.CONCAT("W11-",RIGHT(F58,LEN(F58) - FIND("-",F58))), _xlfn.CONCAT("W11-",RIGHT(H58,LEN(H58) - FIND("-",H58)))))</f>
        <v>W11-HIELAND</v>
      </c>
      <c r="G64" s="73">
        <v>8</v>
      </c>
      <c r="H64" s="71" t="str">
        <f>IF(G59="","W15",IF(G59&gt;I59,_xlfn.CONCAT("W15-",RIGHT(F59,LEN(F59) - FIND("-",F59))), _xlfn.CONCAT("W15-",RIGHT(H59,LEN(H59) - FIND("-",H59)))))</f>
        <v>W15-ROSE BOWL RED</v>
      </c>
      <c r="I64" s="71">
        <v>11</v>
      </c>
      <c r="J64" s="71" t="s">
        <v>1259</v>
      </c>
      <c r="K64" s="71">
        <v>59</v>
      </c>
      <c r="L64" s="71" t="str">
        <f t="shared" si="8"/>
        <v>18BX-035</v>
      </c>
    </row>
    <row r="65" spans="1:12" ht="14.1" customHeight="1">
      <c r="A65" s="69">
        <f t="shared" si="6"/>
        <v>46226</v>
      </c>
      <c r="B65" s="70">
        <f>'CHICLETS MASTER S2'!X13</f>
        <v>0.60416666666666696</v>
      </c>
      <c r="C65" s="71" t="s">
        <v>218</v>
      </c>
      <c r="D65" s="71" t="str">
        <f t="shared" si="7"/>
        <v>VALLEY HS (SA)</v>
      </c>
      <c r="E65" s="71">
        <v>39</v>
      </c>
      <c r="F65" s="71" t="str">
        <f>IF(G58="","L11",IF(G58&lt;I58,_xlfn.CONCAT("L11-",RIGHT(F58,LEN(F58) - FIND("-",F58))), _xlfn.CONCAT("L11-",RIGHT(H58,LEN(H58) - FIND("-",H58)))))</f>
        <v>L11-CC UNITED BLUE</v>
      </c>
      <c r="G65" s="73">
        <v>12</v>
      </c>
      <c r="H65" s="71" t="str">
        <f>IF(G59="","L15",IF(G59&lt;I59,_xlfn.CONCAT("L15-",RIGHT(F59,LEN(F59) - FIND("-",F59))), _xlfn.CONCAT("L15-",RIGHT(H59,LEN(H59) - FIND("-",H59)))))</f>
        <v>L15-THIRD COAST</v>
      </c>
      <c r="I65" s="71">
        <v>11</v>
      </c>
      <c r="J65" s="71">
        <v>55</v>
      </c>
      <c r="K65" s="71" t="s">
        <v>1260</v>
      </c>
      <c r="L65" s="71" t="str">
        <f t="shared" si="8"/>
        <v>18BX-039</v>
      </c>
    </row>
    <row r="66" spans="1:12" ht="14.1" customHeight="1">
      <c r="A66" s="69">
        <f t="shared" si="6"/>
        <v>46226</v>
      </c>
      <c r="B66" s="70">
        <f>'CHICLETS MASTER S2'!X14</f>
        <v>0.63888888888888895</v>
      </c>
      <c r="C66" s="71" t="s">
        <v>218</v>
      </c>
      <c r="D66" s="71" t="str">
        <f t="shared" si="7"/>
        <v>VALLEY HS (SA)</v>
      </c>
      <c r="E66" s="71">
        <v>43</v>
      </c>
      <c r="F66" s="71" t="str">
        <f>IF(G60="","W19",IF(G60&gt;I60,_xlfn.CONCAT("W19-",RIGHT(F60,LEN(F60) - FIND("-",F60))), _xlfn.CONCAT("W19-",RIGHT(H60,LEN(H60) - FIND("-",H60)))))</f>
        <v>W19-ORWP</v>
      </c>
      <c r="G66" s="73">
        <v>7</v>
      </c>
      <c r="H66" s="71" t="str">
        <f>IF(G61="","W23",IF(G61&gt;I61,_xlfn.CONCAT("W23-",RIGHT(F61,LEN(F61) - FIND("-",F61))), _xlfn.CONCAT("W23-",RIGHT(H61,LEN(H61) - FIND("-",H61)))))</f>
        <v>W23-SUPREME</v>
      </c>
      <c r="I66" s="71">
        <v>10</v>
      </c>
      <c r="J66" s="71" t="s">
        <v>1261</v>
      </c>
      <c r="K66" s="71">
        <v>55</v>
      </c>
      <c r="L66" s="71" t="str">
        <f t="shared" si="8"/>
        <v>18BX-043</v>
      </c>
    </row>
    <row r="67" spans="1:12" ht="14.1" customHeight="1">
      <c r="A67" s="69">
        <f t="shared" si="6"/>
        <v>46226</v>
      </c>
      <c r="B67" s="70">
        <f>'CHICLETS MASTER S2'!X15</f>
        <v>0.67361111111111105</v>
      </c>
      <c r="C67" s="71" t="s">
        <v>218</v>
      </c>
      <c r="D67" s="71" t="str">
        <f t="shared" si="7"/>
        <v>VALLEY HS (SA)</v>
      </c>
      <c r="E67" s="71">
        <v>47</v>
      </c>
      <c r="F67" s="71" t="str">
        <f>IF(G60="","L19",IF(G60&lt;I60,_xlfn.CONCAT("L19-",RIGHT(F60,LEN(F60) - FIND("-",F60))), _xlfn.CONCAT("L19-",RIGHT(H60,LEN(H60) - FIND("-",H60)))))</f>
        <v>L19-WCAC UNITED B</v>
      </c>
      <c r="G67" s="73">
        <v>10</v>
      </c>
      <c r="H67" s="71" t="str">
        <f>IF(G61="","L23",IF(G61&lt;I61,_xlfn.CONCAT("L23-",RIGHT(F61,LEN(F61) - FIND("-",F61))), _xlfn.CONCAT("L23-",RIGHT(H61,LEN(H61) - FIND("-",H61)))))</f>
        <v>L23-MID PEN</v>
      </c>
      <c r="I67" s="71">
        <v>17</v>
      </c>
      <c r="J67" s="71">
        <v>59</v>
      </c>
      <c r="K67" s="71" t="s">
        <v>1262</v>
      </c>
      <c r="L67" s="71" t="str">
        <f t="shared" si="8"/>
        <v>18BX-047</v>
      </c>
    </row>
    <row r="68" spans="1:12" ht="14.1" customHeight="1">
      <c r="A68" s="75"/>
      <c r="B68" s="60" t="s">
        <v>139</v>
      </c>
      <c r="C68" s="60"/>
      <c r="D68" s="60"/>
      <c r="E68" s="60"/>
      <c r="F68" s="60"/>
      <c r="G68" s="64"/>
      <c r="H68" s="60"/>
      <c r="I68" s="60"/>
      <c r="J68" s="60"/>
      <c r="K68" s="60"/>
      <c r="L68" s="60"/>
    </row>
    <row r="69" spans="1:12" ht="14.1" customHeight="1">
      <c r="A69" s="69">
        <f>$A$2</f>
        <v>46226</v>
      </c>
      <c r="B69" s="70">
        <f>'CHICLETS MASTER S2'!X17</f>
        <v>0.74305555555555602</v>
      </c>
      <c r="C69" s="71" t="s">
        <v>140</v>
      </c>
      <c r="D69" s="71" t="str">
        <f>$D$54</f>
        <v>VALLEY HS (SA)</v>
      </c>
      <c r="E69" s="71">
        <v>51</v>
      </c>
      <c r="F69" s="76" t="str">
        <f>IF(G81="","L28",IF(G81&lt;I81,_xlfn.CONCAT("L28-",RIGHT(F81,LEN(F81) - FIND("-",F81))), _xlfn.CONCAT("L28-",RIGHT(H81,LEN(H81) - FIND("-",H81)))))</f>
        <v>L28-OHANA</v>
      </c>
      <c r="G69" s="73">
        <v>10</v>
      </c>
      <c r="H69" s="77" t="str">
        <f>IF(G63="","W31",IF(G63&gt;I63,_xlfn.CONCAT("W31-",RIGHT(F63,LEN(F63) - FIND("-",F63))), _xlfn.CONCAT("W31-",RIGHT(H63,LEN(H63) - FIND("-",H63)))))</f>
        <v>W31-NAVY</v>
      </c>
      <c r="I69" s="71">
        <v>9</v>
      </c>
      <c r="J69" s="71" t="s">
        <v>1263</v>
      </c>
      <c r="K69" s="71" t="s">
        <v>1264</v>
      </c>
      <c r="L69" s="71" t="str">
        <f>IF(E69="","",$L$15&amp;"-"&amp;TEXT(E69,"000"))</f>
        <v>18BX-051</v>
      </c>
    </row>
    <row r="70" spans="1:12" ht="14.1" customHeight="1">
      <c r="A70" s="69">
        <f>$A$2</f>
        <v>46226</v>
      </c>
      <c r="B70" s="70">
        <f>'CHICLETS MASTER S2'!X18</f>
        <v>0.77777777777777801</v>
      </c>
      <c r="C70" s="71" t="s">
        <v>140</v>
      </c>
      <c r="D70" s="71" t="str">
        <f>$D$54</f>
        <v>VALLEY HS (SA)</v>
      </c>
      <c r="E70" s="71">
        <v>55</v>
      </c>
      <c r="F70" s="71" t="str">
        <f>IF(G66="","L43",IF(G66&lt;I66,_xlfn.CONCAT("L43-",RIGHT(F66,LEN(F66) - FIND("-",F66))), _xlfn.CONCAT("L43-",RIGHT(H66,LEN(H66) - FIND("-",H66)))))</f>
        <v>L43-ORWP</v>
      </c>
      <c r="G70" s="73">
        <v>11</v>
      </c>
      <c r="H70" s="71" t="str">
        <f>IF(G65="","W39",IF(G65&gt;I65,_xlfn.CONCAT("W39-",RIGHT(F65,LEN(F65) - FIND("-",F65))), _xlfn.CONCAT("W39-",RIGHT(H65,LEN(H65) - FIND("-",H65)))))</f>
        <v>W39-CC UNITED BLUE</v>
      </c>
      <c r="I70" s="71">
        <v>5</v>
      </c>
      <c r="J70" s="71" t="s">
        <v>1265</v>
      </c>
      <c r="K70" s="71" t="s">
        <v>1266</v>
      </c>
      <c r="L70" s="71" t="str">
        <f>IF(E70="","",$L$15&amp;"-"&amp;TEXT(E70,"000"))</f>
        <v>18BX-055</v>
      </c>
    </row>
    <row r="71" spans="1:12" ht="14.1" customHeight="1">
      <c r="A71" s="69">
        <f>$A$2</f>
        <v>46226</v>
      </c>
      <c r="B71" s="70">
        <f>'CHICLETS MASTER S2'!X19</f>
        <v>0.8125</v>
      </c>
      <c r="C71" s="71" t="s">
        <v>140</v>
      </c>
      <c r="D71" s="71" t="str">
        <f>$D$54</f>
        <v>VALLEY HS (SA)</v>
      </c>
      <c r="E71" s="71">
        <v>59</v>
      </c>
      <c r="F71" s="71" t="str">
        <f>IF(G64="","L35",IF(G64&lt;I64,_xlfn.CONCAT("L35-",RIGHT(F64,LEN(F64) - FIND("-",F64))), _xlfn.CONCAT("L35-",RIGHT(H64,LEN(H64) - FIND("-",H64)))))</f>
        <v>L35-HIELAND</v>
      </c>
      <c r="G71" s="73">
        <v>10</v>
      </c>
      <c r="H71" s="71" t="str">
        <f>IF(G67="","W47",IF(G67&gt;I67,_xlfn.CONCAT("W47-",RIGHT(F67,LEN(F67) - FIND("-",F67))), _xlfn.CONCAT("W47-",RIGHT(H67,LEN(H67) - FIND("-",H67)))))</f>
        <v>W47-MID PEN</v>
      </c>
      <c r="I71" s="71">
        <v>5</v>
      </c>
      <c r="J71" s="71" t="s">
        <v>1267</v>
      </c>
      <c r="K71" s="71" t="s">
        <v>1268</v>
      </c>
      <c r="L71" s="71" t="str">
        <f>IF(E71="","",$L$15&amp;"-"&amp;TEXT(E71,"000"))</f>
        <v>18BX-059</v>
      </c>
    </row>
    <row r="72" spans="1:12" ht="14.1" customHeight="1" thickBot="1">
      <c r="A72" s="78"/>
      <c r="B72" s="79"/>
      <c r="C72" s="60"/>
      <c r="D72" s="60"/>
      <c r="E72" s="60"/>
      <c r="I72" s="60"/>
      <c r="J72" s="60"/>
      <c r="K72" s="60"/>
      <c r="L72" s="60"/>
    </row>
    <row r="73" spans="1:12" ht="14.1" customHeight="1" thickBot="1">
      <c r="A73" s="60"/>
      <c r="B73" s="60"/>
      <c r="C73" s="60"/>
      <c r="D73" s="68" t="str">
        <f>'CHICLETS MASTER S2'!$AG$3</f>
        <v>GOLDEN WEST COLLEGE 1</v>
      </c>
      <c r="I73" s="60"/>
      <c r="J73" s="60"/>
      <c r="K73" s="60"/>
      <c r="L73" s="60"/>
    </row>
    <row r="74" spans="1:12" ht="14.1" customHeight="1">
      <c r="A74" s="144" t="s">
        <v>124</v>
      </c>
      <c r="B74" s="145" t="s">
        <v>125</v>
      </c>
      <c r="C74" s="145" t="s">
        <v>126</v>
      </c>
      <c r="D74" s="145" t="s">
        <v>127</v>
      </c>
      <c r="E74" s="145" t="s">
        <v>128</v>
      </c>
      <c r="F74" s="145" t="s">
        <v>129</v>
      </c>
      <c r="G74" s="145" t="s">
        <v>130</v>
      </c>
      <c r="H74" s="145" t="s">
        <v>131</v>
      </c>
      <c r="I74" s="145" t="s">
        <v>130</v>
      </c>
      <c r="J74" s="145" t="s">
        <v>132</v>
      </c>
      <c r="K74" s="145" t="s">
        <v>133</v>
      </c>
      <c r="L74" s="145" t="s">
        <v>134</v>
      </c>
    </row>
    <row r="75" spans="1:12" ht="14.1" customHeight="1">
      <c r="A75" s="69">
        <f t="shared" ref="A75:A86" si="9">$A$2</f>
        <v>46226</v>
      </c>
      <c r="B75" s="70">
        <f>'CHICLETS MASTER S2'!X4</f>
        <v>0.29166666666666669</v>
      </c>
      <c r="C75" s="71" t="s">
        <v>218</v>
      </c>
      <c r="D75" s="72" t="str">
        <f t="shared" ref="D75:D86" si="10">$D$73</f>
        <v>GOLDEN WEST COLLEGE 1</v>
      </c>
      <c r="E75" s="71">
        <v>4</v>
      </c>
      <c r="F75" s="71" t="str">
        <f>D11</f>
        <v>10-SD SHORES GOLD</v>
      </c>
      <c r="G75" s="73">
        <v>13</v>
      </c>
      <c r="H75" s="71" t="str">
        <f>D14</f>
        <v>39-TOPAZ TSUNAMI</v>
      </c>
      <c r="I75" s="71">
        <v>5</v>
      </c>
      <c r="J75" s="71">
        <v>28</v>
      </c>
      <c r="K75" s="71">
        <v>32</v>
      </c>
      <c r="L75" s="71" t="str">
        <f t="shared" ref="L75:L86" si="11">IF(E75="","",$L$15&amp;"-"&amp;TEXT(E75,"000"))</f>
        <v>18BX-004</v>
      </c>
    </row>
    <row r="76" spans="1:12" ht="14.1" customHeight="1">
      <c r="A76" s="69">
        <f t="shared" si="9"/>
        <v>46226</v>
      </c>
      <c r="B76" s="70">
        <f>'CHICLETS MASTER S2'!X5</f>
        <v>0.3263888888888889</v>
      </c>
      <c r="C76" s="71" t="s">
        <v>218</v>
      </c>
      <c r="D76" s="72" t="str">
        <f t="shared" si="10"/>
        <v>GOLDEN WEST COLLEGE 1</v>
      </c>
      <c r="E76" s="71">
        <v>8</v>
      </c>
      <c r="F76" s="71" t="str">
        <f>D12</f>
        <v>15-OHANA</v>
      </c>
      <c r="G76" s="73">
        <v>11</v>
      </c>
      <c r="H76" s="71" t="str">
        <f>D13</f>
        <v>34-CLOVIS B</v>
      </c>
      <c r="I76" s="71">
        <v>9</v>
      </c>
      <c r="J76" s="71">
        <v>28</v>
      </c>
      <c r="K76" s="71">
        <v>32</v>
      </c>
      <c r="L76" s="71" t="str">
        <f t="shared" si="11"/>
        <v>18BX-008</v>
      </c>
    </row>
    <row r="77" spans="1:12" ht="14.1" customHeight="1">
      <c r="A77" s="69">
        <f t="shared" si="9"/>
        <v>46226</v>
      </c>
      <c r="B77" s="70">
        <f>'CHICLETS MASTER S2'!X6</f>
        <v>0.36111111111111099</v>
      </c>
      <c r="C77" s="71" t="s">
        <v>218</v>
      </c>
      <c r="D77" s="72" t="str">
        <f t="shared" si="10"/>
        <v>GOLDEN WEST COLLEGE 1</v>
      </c>
      <c r="E77" s="71">
        <v>12</v>
      </c>
      <c r="F77" s="71" t="str">
        <f>E11</f>
        <v>11-SET</v>
      </c>
      <c r="G77" s="73">
        <v>18</v>
      </c>
      <c r="H77" s="71" t="str">
        <f>E14</f>
        <v>38-FARALLON</v>
      </c>
      <c r="I77" s="71">
        <v>6</v>
      </c>
      <c r="J77" s="71">
        <v>36</v>
      </c>
      <c r="K77" s="71">
        <v>40</v>
      </c>
      <c r="L77" s="71" t="str">
        <f t="shared" si="11"/>
        <v>18BX-012</v>
      </c>
    </row>
    <row r="78" spans="1:12" ht="14.1" customHeight="1">
      <c r="A78" s="69">
        <f t="shared" si="9"/>
        <v>46226</v>
      </c>
      <c r="B78" s="70">
        <f>'CHICLETS MASTER S2'!X7</f>
        <v>0.39583333333333398</v>
      </c>
      <c r="C78" s="71" t="s">
        <v>218</v>
      </c>
      <c r="D78" s="72" t="str">
        <f t="shared" si="10"/>
        <v>GOLDEN WEST COLLEGE 1</v>
      </c>
      <c r="E78" s="71">
        <v>16</v>
      </c>
      <c r="F78" s="71" t="str">
        <f>E12</f>
        <v>14-SAND CANYON RED</v>
      </c>
      <c r="G78" s="73">
        <v>5</v>
      </c>
      <c r="H78" s="71" t="str">
        <f>E13</f>
        <v>35-VIPER PIGEON</v>
      </c>
      <c r="I78" s="71">
        <v>12</v>
      </c>
      <c r="J78" s="71">
        <v>36</v>
      </c>
      <c r="K78" s="71">
        <v>40</v>
      </c>
      <c r="L78" s="71" t="str">
        <f t="shared" si="11"/>
        <v>18BX-016</v>
      </c>
    </row>
    <row r="79" spans="1:12" ht="14.1" customHeight="1">
      <c r="A79" s="69">
        <f t="shared" si="9"/>
        <v>46226</v>
      </c>
      <c r="B79" s="70">
        <f>'CHICLETS MASTER S2'!X8</f>
        <v>0.43055555555555602</v>
      </c>
      <c r="C79" s="71" t="s">
        <v>218</v>
      </c>
      <c r="D79" s="72" t="str">
        <f t="shared" si="10"/>
        <v>GOLDEN WEST COLLEGE 1</v>
      </c>
      <c r="E79" s="71">
        <v>20</v>
      </c>
      <c r="F79" s="71" t="str">
        <f>F11</f>
        <v>12-CENTRAL VALLEY UNITED</v>
      </c>
      <c r="G79" s="73">
        <v>20</v>
      </c>
      <c r="H79" s="71" t="str">
        <f>F14</f>
        <v>37-MESA</v>
      </c>
      <c r="I79" s="71">
        <v>4</v>
      </c>
      <c r="J79" s="71">
        <v>44</v>
      </c>
      <c r="K79" s="71">
        <v>48</v>
      </c>
      <c r="L79" s="71" t="str">
        <f t="shared" si="11"/>
        <v>18BX-020</v>
      </c>
    </row>
    <row r="80" spans="1:12" ht="14.1" customHeight="1">
      <c r="A80" s="69">
        <f t="shared" si="9"/>
        <v>46226</v>
      </c>
      <c r="B80" s="70">
        <f>'CHICLETS MASTER S2'!X9</f>
        <v>0.46527777777777801</v>
      </c>
      <c r="C80" s="71" t="s">
        <v>218</v>
      </c>
      <c r="D80" s="72" t="str">
        <f t="shared" si="10"/>
        <v>GOLDEN WEST COLLEGE 1</v>
      </c>
      <c r="E80" s="71">
        <v>24</v>
      </c>
      <c r="F80" s="71" t="str">
        <f>F12</f>
        <v>13-TSUNAMI</v>
      </c>
      <c r="G80" s="73">
        <v>19</v>
      </c>
      <c r="H80" s="71" t="str">
        <f>F13</f>
        <v>36-AQUATEX</v>
      </c>
      <c r="I80" s="71">
        <v>9</v>
      </c>
      <c r="J80" s="71">
        <v>44</v>
      </c>
      <c r="K80" s="71">
        <v>48</v>
      </c>
      <c r="L80" s="71" t="str">
        <f t="shared" si="11"/>
        <v>18BX-024</v>
      </c>
    </row>
    <row r="81" spans="1:12" ht="14.1" customHeight="1">
      <c r="A81" s="69">
        <f t="shared" si="9"/>
        <v>46226</v>
      </c>
      <c r="B81" s="70">
        <f>'CHICLETS MASTER S2'!X10</f>
        <v>0.5</v>
      </c>
      <c r="C81" s="71" t="s">
        <v>218</v>
      </c>
      <c r="D81" s="72" t="str">
        <f t="shared" si="10"/>
        <v>GOLDEN WEST COLLEGE 1</v>
      </c>
      <c r="E81" s="71">
        <v>28</v>
      </c>
      <c r="F81" s="71" t="str">
        <f>IF(G75="","W4",IF(G75&gt;I75,_xlfn.CONCAT("W4-",RIGHT(F75,LEN(F75) - FIND("-",F75))), _xlfn.CONCAT("W4-",RIGHT(H75,LEN(H75) - FIND("-",H75)))))</f>
        <v>W4-SD SHORES GOLD</v>
      </c>
      <c r="G81" s="73">
        <v>11</v>
      </c>
      <c r="H81" s="71" t="str">
        <f>IF(G76="","W8",IF(G76&gt;I76,_xlfn.CONCAT("W8-",RIGHT(F76,LEN(F76) - FIND("-",F76))), _xlfn.CONCAT("W8-",RIGHT(H76,LEN(H76) - FIND("-",H76)))))</f>
        <v>W8-OHANA</v>
      </c>
      <c r="I81" s="71">
        <v>6</v>
      </c>
      <c r="J81" s="71" t="s">
        <v>915</v>
      </c>
      <c r="K81" s="71">
        <v>51</v>
      </c>
      <c r="L81" s="71" t="str">
        <f t="shared" si="11"/>
        <v>18BX-028</v>
      </c>
    </row>
    <row r="82" spans="1:12" ht="14.1" customHeight="1">
      <c r="A82" s="69">
        <f t="shared" si="9"/>
        <v>46226</v>
      </c>
      <c r="B82" s="70">
        <f>'CHICLETS MASTER S2'!X11</f>
        <v>0.53472222222222199</v>
      </c>
      <c r="C82" s="71" t="s">
        <v>218</v>
      </c>
      <c r="D82" s="72" t="str">
        <f t="shared" si="10"/>
        <v>GOLDEN WEST COLLEGE 1</v>
      </c>
      <c r="E82" s="71">
        <v>32</v>
      </c>
      <c r="F82" s="71" t="str">
        <f>IF(G75="","L4",IF(G75&lt;I75,_xlfn.CONCAT("L4-",RIGHT(F75,LEN(F75) - FIND("-",F75))), _xlfn.CONCAT("L4-",RIGHT(H75,LEN(H75) - FIND("-",H75)))))</f>
        <v>L4-TOPAZ TSUNAMI</v>
      </c>
      <c r="G82" s="73">
        <v>13</v>
      </c>
      <c r="H82" s="71" t="str">
        <f>IF(G76="","L8",IF(G76&lt;I76,_xlfn.CONCAT("L8-",RIGHT(F76,LEN(F76) - FIND("-",F76))), _xlfn.CONCAT("L8-",RIGHT(H76,LEN(H76) - FIND("-",H76)))))</f>
        <v>L8-CLOVIS B</v>
      </c>
      <c r="I82" s="71">
        <v>18</v>
      </c>
      <c r="J82" s="71">
        <v>52</v>
      </c>
      <c r="K82" s="71" t="s">
        <v>909</v>
      </c>
      <c r="L82" s="71" t="str">
        <f t="shared" si="11"/>
        <v>18BX-032</v>
      </c>
    </row>
    <row r="83" spans="1:12" ht="14.1" customHeight="1">
      <c r="A83" s="69">
        <f t="shared" si="9"/>
        <v>46226</v>
      </c>
      <c r="B83" s="70">
        <f>'CHICLETS MASTER S2'!X12</f>
        <v>0.56944444444444497</v>
      </c>
      <c r="C83" s="71" t="s">
        <v>218</v>
      </c>
      <c r="D83" s="72" t="str">
        <f t="shared" si="10"/>
        <v>GOLDEN WEST COLLEGE 1</v>
      </c>
      <c r="E83" s="71">
        <v>36</v>
      </c>
      <c r="F83" s="71" t="str">
        <f>IF(G77="","W12",IF(G77&gt;I77,_xlfn.CONCAT("W12-",RIGHT(F77,LEN(F77) - FIND("-",F77))), _xlfn.CONCAT("W12-",RIGHT(H77,LEN(H77) - FIND("-",H77)))))</f>
        <v>W12-SET</v>
      </c>
      <c r="G83" s="73">
        <v>13</v>
      </c>
      <c r="H83" s="71" t="str">
        <f>IF(G78="","W16",IF(G78&gt;I78,_xlfn.CONCAT("W16-",RIGHT(F78,LEN(F78) - FIND("-",F78))), _xlfn.CONCAT("W16-",RIGHT(H78,LEN(H78) - FIND("-",H78)))))</f>
        <v>W16-VIPER PIGEON</v>
      </c>
      <c r="I83" s="71">
        <v>9</v>
      </c>
      <c r="J83" s="71" t="s">
        <v>908</v>
      </c>
      <c r="K83" s="71">
        <v>60</v>
      </c>
      <c r="L83" s="71" t="str">
        <f t="shared" si="11"/>
        <v>18BX-036</v>
      </c>
    </row>
    <row r="84" spans="1:12" ht="14.1" customHeight="1">
      <c r="A84" s="69">
        <f t="shared" si="9"/>
        <v>46226</v>
      </c>
      <c r="B84" s="70">
        <f>'CHICLETS MASTER S2'!X13</f>
        <v>0.60416666666666696</v>
      </c>
      <c r="C84" s="71" t="s">
        <v>218</v>
      </c>
      <c r="D84" s="72" t="str">
        <f t="shared" si="10"/>
        <v>GOLDEN WEST COLLEGE 1</v>
      </c>
      <c r="E84" s="71">
        <v>40</v>
      </c>
      <c r="F84" s="71" t="str">
        <f>IF(G77="","L12",IF(G77&lt;I77,_xlfn.CONCAT("L12-",RIGHT(F77,LEN(F77) - FIND("-",F77))), _xlfn.CONCAT("L12-",RIGHT(H77,LEN(H77) - FIND("-",H77)))))</f>
        <v>L12-FARALLON</v>
      </c>
      <c r="G84" s="73">
        <v>12</v>
      </c>
      <c r="H84" s="71" t="str">
        <f>IF(G78="","L16",IF(G78&lt;I78,_xlfn.CONCAT("L16-",RIGHT(F78,LEN(F78) - FIND("-",F78))), _xlfn.CONCAT("L16-",RIGHT(H78,LEN(H78) - FIND("-",H78)))))</f>
        <v>L16-SAND CANYON RED</v>
      </c>
      <c r="I84" s="71">
        <v>8</v>
      </c>
      <c r="J84" s="71">
        <v>56</v>
      </c>
      <c r="K84" s="71" t="s">
        <v>916</v>
      </c>
      <c r="L84" s="71" t="str">
        <f t="shared" si="11"/>
        <v>18BX-040</v>
      </c>
    </row>
    <row r="85" spans="1:12" ht="14.1" customHeight="1">
      <c r="A85" s="69">
        <f t="shared" si="9"/>
        <v>46226</v>
      </c>
      <c r="B85" s="70">
        <f>'CHICLETS MASTER S2'!X14</f>
        <v>0.63888888888888895</v>
      </c>
      <c r="C85" s="71" t="s">
        <v>218</v>
      </c>
      <c r="D85" s="72" t="str">
        <f t="shared" si="10"/>
        <v>GOLDEN WEST COLLEGE 1</v>
      </c>
      <c r="E85" s="71">
        <v>44</v>
      </c>
      <c r="F85" s="71" t="str">
        <f>IF(G79="","W20",IF(G79&gt;I79,_xlfn.CONCAT("W20-",RIGHT(F79,LEN(F79) - FIND("-",F79))), _xlfn.CONCAT("W20-",RIGHT(H79,LEN(H79) - FIND("-",H79)))))</f>
        <v>W20-CENTRAL VALLEY UNITED</v>
      </c>
      <c r="G85" s="73">
        <v>5</v>
      </c>
      <c r="H85" s="71" t="str">
        <f>IF(G80="","W24",IF(G80&gt;I80,_xlfn.CONCAT("W24-",RIGHT(F80,LEN(F80) - FIND("-",F80))), _xlfn.CONCAT("W24-",RIGHT(H80,LEN(H80) - FIND("-",H80)))))</f>
        <v>W24-TSUNAMI</v>
      </c>
      <c r="I85" s="71">
        <v>13</v>
      </c>
      <c r="J85" s="71" t="s">
        <v>903</v>
      </c>
      <c r="K85" s="71">
        <v>56</v>
      </c>
      <c r="L85" s="71" t="str">
        <f t="shared" si="11"/>
        <v>18BX-044</v>
      </c>
    </row>
    <row r="86" spans="1:12" ht="14.1" customHeight="1">
      <c r="A86" s="69">
        <f t="shared" si="9"/>
        <v>46226</v>
      </c>
      <c r="B86" s="70">
        <f>'CHICLETS MASTER S2'!X15</f>
        <v>0.67361111111111105</v>
      </c>
      <c r="C86" s="71" t="s">
        <v>218</v>
      </c>
      <c r="D86" s="71" t="str">
        <f t="shared" si="10"/>
        <v>GOLDEN WEST COLLEGE 1</v>
      </c>
      <c r="E86" s="71">
        <v>48</v>
      </c>
      <c r="F86" s="71" t="str">
        <f>IF(G79="","L20",IF(G79&lt;I79,_xlfn.CONCAT("L20-",RIGHT(F79,LEN(F79) - FIND("-",F79))), _xlfn.CONCAT("L20-",RIGHT(H79,LEN(H79) - FIND("-",H79)))))</f>
        <v>L20-MESA</v>
      </c>
      <c r="G86" s="73">
        <v>8</v>
      </c>
      <c r="H86" s="71" t="str">
        <f>IF(G80="","L24",IF(G80&lt;I80,_xlfn.CONCAT("L24-",RIGHT(F80,LEN(F80) - FIND("-",F80))), _xlfn.CONCAT("L24-",RIGHT(H80,LEN(H80) - FIND("-",H80)))))</f>
        <v>L24-AQUATEX</v>
      </c>
      <c r="I86" s="71">
        <v>6</v>
      </c>
      <c r="J86" s="71">
        <v>60</v>
      </c>
      <c r="K86" s="71" t="s">
        <v>921</v>
      </c>
      <c r="L86" s="71" t="str">
        <f t="shared" si="11"/>
        <v>18BX-048</v>
      </c>
    </row>
    <row r="87" spans="1:12" ht="14.1" customHeight="1">
      <c r="A87" s="75"/>
      <c r="B87" s="60" t="s">
        <v>139</v>
      </c>
      <c r="C87" s="60"/>
      <c r="D87" s="60"/>
      <c r="E87" s="60"/>
      <c r="F87" s="60"/>
      <c r="G87" s="64"/>
      <c r="H87" s="60"/>
      <c r="I87" s="60"/>
      <c r="J87" s="60"/>
      <c r="K87" s="60"/>
      <c r="L87" s="60"/>
    </row>
    <row r="88" spans="1:12" ht="14.1" customHeight="1">
      <c r="A88" s="69">
        <f>$A$2</f>
        <v>46226</v>
      </c>
      <c r="B88" s="70">
        <f>'CHICLETS MASTER S2'!X17</f>
        <v>0.74305555555555602</v>
      </c>
      <c r="C88" s="71" t="s">
        <v>140</v>
      </c>
      <c r="D88" s="71" t="str">
        <f>$D$73</f>
        <v>GOLDEN WEST COLLEGE 1</v>
      </c>
      <c r="E88" s="71">
        <v>52</v>
      </c>
      <c r="F88" s="76" t="str">
        <f>IF(G62="","L27",IF(G62&lt;I62,_xlfn.CONCAT("L27-",RIGHT(F62,LEN(F62) - FIND("-",F62))), _xlfn.CONCAT("L27-",RIGHT(H62,LEN(H62) - FIND("-",H62)))))</f>
        <v>L27-ASPHALT GREEN</v>
      </c>
      <c r="G88" s="81">
        <v>10</v>
      </c>
      <c r="H88" s="77" t="str">
        <f>IF(G82="","W32",IF(G82&gt;I82,_xlfn.CONCAT("W32-",RIGHT(F82,LEN(F82) - FIND("-",F82))), _xlfn.CONCAT("W32-",RIGHT(H82,LEN(H82) - FIND("-",H82)))))</f>
        <v>W32-CLOVIS B</v>
      </c>
      <c r="I88" s="71">
        <v>14</v>
      </c>
      <c r="J88" s="71" t="s">
        <v>1253</v>
      </c>
      <c r="K88" s="71" t="s">
        <v>1254</v>
      </c>
      <c r="L88" s="71" t="str">
        <f>IF(E88="","",$L$15&amp;"-"&amp;TEXT(E88,"000"))</f>
        <v>18BX-052</v>
      </c>
    </row>
    <row r="89" spans="1:12" ht="14.1" customHeight="1">
      <c r="A89" s="69">
        <f>$A$2</f>
        <v>46226</v>
      </c>
      <c r="B89" s="70">
        <f>'CHICLETS MASTER S2'!X18</f>
        <v>0.77777777777777801</v>
      </c>
      <c r="C89" s="71" t="s">
        <v>140</v>
      </c>
      <c r="D89" s="71" t="str">
        <f>$D$73</f>
        <v>GOLDEN WEST COLLEGE 1</v>
      </c>
      <c r="E89" s="71">
        <v>56</v>
      </c>
      <c r="F89" s="71" t="str">
        <f>IF(G85="","L44",IF(G85&lt;I85,_xlfn.CONCAT("L44-",RIGHT(F85,LEN(F85) - FIND("-",F85))), _xlfn.CONCAT("L44-",RIGHT(H85,LEN(H85) - FIND("-",H85)))))</f>
        <v>L44-CENTRAL VALLEY UNITED</v>
      </c>
      <c r="G89" s="73">
        <v>12</v>
      </c>
      <c r="H89" s="71" t="str">
        <f>IF(G84="","W40",IF(G84&gt;I84,_xlfn.CONCAT("W40-",RIGHT(F84,LEN(F84) - FIND("-",F84))), _xlfn.CONCAT("W40-",RIGHT(H84,LEN(H84) - FIND("-",H84)))))</f>
        <v>W40-FARALLON</v>
      </c>
      <c r="I89" s="71">
        <v>8</v>
      </c>
      <c r="J89" s="71" t="s">
        <v>1255</v>
      </c>
      <c r="K89" s="71" t="s">
        <v>1256</v>
      </c>
      <c r="L89" s="71" t="str">
        <f>IF(E89="","",$L$15&amp;"-"&amp;TEXT(E89,"000"))</f>
        <v>18BX-056</v>
      </c>
    </row>
    <row r="90" spans="1:12" ht="14.1" customHeight="1">
      <c r="A90" s="69">
        <f>$A$2</f>
        <v>46226</v>
      </c>
      <c r="B90" s="70">
        <f>'CHICLETS MASTER S2'!X19</f>
        <v>0.8125</v>
      </c>
      <c r="C90" s="71" t="s">
        <v>140</v>
      </c>
      <c r="D90" s="71" t="str">
        <f>$D$73</f>
        <v>GOLDEN WEST COLLEGE 1</v>
      </c>
      <c r="E90" s="71">
        <v>60</v>
      </c>
      <c r="F90" s="71" t="str">
        <f>IF(G83="","L36",IF(G83&lt;I83,_xlfn.CONCAT("L36-",RIGHT(F83,LEN(F83) - FIND("-",F83))), _xlfn.CONCAT("L36-",RIGHT(H83,LEN(H83) - FIND("-",H83)))))</f>
        <v>L36-VIPER PIGEON</v>
      </c>
      <c r="G90" s="73">
        <v>17</v>
      </c>
      <c r="H90" s="71" t="str">
        <f>IF(G86="","W48",IF(G86&gt;I86,_xlfn.CONCAT("W48-",RIGHT(F86,LEN(F86) - FIND("-",F86))), _xlfn.CONCAT("W48-",RIGHT(H86,LEN(H86) - FIND("-",H86)))))</f>
        <v>W48-MESA</v>
      </c>
      <c r="I90" s="71">
        <v>7</v>
      </c>
      <c r="J90" s="71" t="s">
        <v>1257</v>
      </c>
      <c r="K90" s="71" t="s">
        <v>1258</v>
      </c>
      <c r="L90" s="71" t="str">
        <f>IF(E90="","",$L$15&amp;"-"&amp;TEXT(E90,"000"))</f>
        <v>18BX-060</v>
      </c>
    </row>
    <row r="91" spans="1:12" ht="14.1" customHeight="1" thickBot="1"/>
    <row r="92" spans="1:12" ht="14.1" customHeight="1" thickTop="1" thickBot="1">
      <c r="A92" s="68" t="s">
        <v>196</v>
      </c>
      <c r="B92" s="82"/>
      <c r="C92" s="82"/>
      <c r="D92" s="82"/>
      <c r="E92" s="82"/>
      <c r="F92" s="82"/>
      <c r="G92" s="83"/>
      <c r="H92" s="82"/>
      <c r="I92" s="82"/>
      <c r="J92" s="82"/>
      <c r="K92" s="82"/>
      <c r="L92" s="82"/>
    </row>
    <row r="93" spans="1:12" s="60" customFormat="1" ht="14.1" customHeight="1">
      <c r="A93" s="61">
        <v>46227</v>
      </c>
    </row>
    <row r="94" spans="1:12" ht="14.1" customHeight="1">
      <c r="B94" s="84" t="s">
        <v>1495</v>
      </c>
      <c r="C94" s="60"/>
      <c r="D94" s="60"/>
      <c r="E94" s="60"/>
    </row>
    <row r="95" spans="1:12" ht="14.1" customHeight="1">
      <c r="A95" s="60"/>
      <c r="B95" s="85" t="s">
        <v>928</v>
      </c>
      <c r="C95" s="85" t="s">
        <v>929</v>
      </c>
      <c r="D95" s="85" t="s">
        <v>930</v>
      </c>
      <c r="E95" s="85" t="s">
        <v>931</v>
      </c>
    </row>
    <row r="96" spans="1:12" ht="14.1" customHeight="1">
      <c r="A96" s="60">
        <v>1</v>
      </c>
      <c r="B96" s="86" t="str">
        <f>IF(G26="","ag_M1(W33)",IF(G26&gt;I26,_xlfn.CONCAT("ag_M1(W33)-",RIGHT(F26,LEN(F26) - FIND("-",F26))), _xlfn.CONCAT("ag_M1(W33)-",RIGHT(H26,LEN(H26) - FIND("-",H26)))))</f>
        <v>ag_M1(W33)-SAN JOSE EXPRESS BLUE</v>
      </c>
      <c r="C96" s="87" t="str">
        <f>IF(G28="","ag_N1(W41)",IF(G28&gt;I28,_xlfn.CONCAT("ag_N1(W41)-",RIGHT(F28,LEN(F28) - FIND("-",F28))), _xlfn.CONCAT("ag_N1(W41)-",RIGHT(H28,LEN(H28) - FIND("-",H28)))))</f>
        <v>ag_N1(W41)-LB SHORE</v>
      </c>
      <c r="D96" s="87" t="str">
        <f>IF(G24="","ag_O1(W25)",IF(G24&gt;I24,_xlfn.CONCAT("ag_O1(W25)-",RIGHT(F24,LEN(F24) - FIND("-",F24))), _xlfn.CONCAT("ag_O1(W25)-",RIGHT(H24,LEN(H24) - FIND("-",H24)))))</f>
        <v>ag_O1(W25)-SANTA CRUZ</v>
      </c>
      <c r="E96" s="86" t="str">
        <f>IF(G43="","ag_P1(W26)",IF(G43&gt;I43,_xlfn.CONCAT("ag_P1(W26)-",RIGHT(F43,LEN(F43) - FIND("-",F43))), _xlfn.CONCAT("ag_P1(W26)-",RIGHT(H43,LEN(H43) - FIND("-",H43)))))</f>
        <v>ag_P1(W26)-SOUTH COAST RED</v>
      </c>
    </row>
    <row r="97" spans="1:5" ht="14.1" customHeight="1">
      <c r="A97" s="60">
        <v>2</v>
      </c>
      <c r="B97" s="87" t="str">
        <f>IF(G66="","ag_M2(W43)",IF(G66&gt;I66,_xlfn.CONCAT("ag_M2(W43)-",RIGHT(F66,LEN(F66) - FIND("-",F66))), _xlfn.CONCAT("ag_M2(W43)-",RIGHT(H66,LEN(H66) - FIND("-",H66)))))</f>
        <v>ag_M2(W43)-SUPREME</v>
      </c>
      <c r="C97" s="86" t="str">
        <f>IF(G64="","ag_N2(W35)",IF(G64&gt;I64,_xlfn.CONCAT("ag_N2(W35)-",RIGHT(F64,LEN(F64) - FIND("-",F64))), _xlfn.CONCAT("ag_N2(W35)-",RIGHT(H64,LEN(H64) - FIND("-",H64)))))</f>
        <v>ag_N2(W35)-ROSE BOWL RED</v>
      </c>
      <c r="D97" s="87" t="str">
        <f>IF(G47="","ag_O2(W42)",IF(G47&gt;I47,_xlfn.CONCAT("ag_O2(W42)-",RIGHT(F47,LEN(F47) - FIND("-",F47))), _xlfn.CONCAT("ag_O2(W42)-",RIGHT(H47,LEN(H47) - FIND("-",H47)))))</f>
        <v>ag_O2(W42)-CHAWP WHITE</v>
      </c>
      <c r="E97" s="87" t="str">
        <f>IF(G45="","ag_P2(W34)",IF(G45&gt;I45,_xlfn.CONCAT("ag_P2(W34)-",RIGHT(F45,LEN(F45) - FIND("-",F45))), _xlfn.CONCAT("ag_P2(W34)-",RIGHT(H45,LEN(H45) - FIND("-",H45)))))</f>
        <v>ag_P2(W34)-CARLSBAD</v>
      </c>
    </row>
    <row r="98" spans="1:5" ht="14.1" customHeight="1">
      <c r="A98" s="60">
        <v>3</v>
      </c>
      <c r="B98" s="87" t="str">
        <f>IF(G62="","ag_M3(W27)",IF(G62&gt;I62,_xlfn.CONCAT("ag_M3(W27)-",RIGHT(F62,LEN(F62) - FIND("-",F62))), _xlfn.CONCAT("ag_M3(W27)-",RIGHT(H62,LEN(H62) - FIND("-",H62)))))</f>
        <v>ag_M3(W27)-KINGSBURG</v>
      </c>
      <c r="C98" s="87" t="str">
        <f>IF(G81="","ag_N3(W28)",IF(G81&gt;I81,_xlfn.CONCAT("ag_N3(W28)-",RIGHT(F81,LEN(F81) - FIND("-",F81))), _xlfn.CONCAT("ag_N3(W28)-",RIGHT(H81,LEN(H81) - FIND("-",H81)))))</f>
        <v>ag_N3(W28)-SD SHORES GOLD</v>
      </c>
      <c r="D98" s="87" t="str">
        <f>IF(G83="","ag_O3(W36)",IF(G83&gt;I83,_xlfn.CONCAT("ag_O3(W36)-",RIGHT(F83,LEN(F83) - FIND("-",F83))), _xlfn.CONCAT("ag_O3(W36)-",RIGHT(H83,LEN(H83) - FIND("-",H83)))))</f>
        <v>ag_O3(W36)-SET</v>
      </c>
      <c r="E98" s="87" t="str">
        <f>IF(G85="","ag_P3(W44)",IF(G85&gt;I85,_xlfn.CONCAT("ag_P3(W44)-",RIGHT(F85,LEN(F85) - FIND("-",F85))), _xlfn.CONCAT("ag_P3(W44)-",RIGHT(H85,LEN(H85) - FIND("-",H85)))))</f>
        <v>ag_P3(W44)-TSUNAMI</v>
      </c>
    </row>
    <row r="100" spans="1:5" ht="14.1" customHeight="1">
      <c r="B100" s="85" t="s">
        <v>941</v>
      </c>
      <c r="C100" s="85" t="s">
        <v>942</v>
      </c>
      <c r="D100" s="85" t="s">
        <v>943</v>
      </c>
      <c r="E100" s="85" t="s">
        <v>944</v>
      </c>
    </row>
    <row r="101" spans="1:5" ht="14.1" customHeight="1">
      <c r="A101" s="60">
        <v>1</v>
      </c>
      <c r="B101" s="87" t="str">
        <f>IF(G89="","ag_R1(W56)",IF(G89&gt;I89,_xlfn.CONCAT("ag_R1(W56)-",RIGHT(F89,LEN(F89) - FIND("-",F89))), _xlfn.CONCAT("ag_R1(W56)-",RIGHT(H89,LEN(H89) - FIND("-",H89)))))</f>
        <v>ag_R1(W56)-CENTRAL VALLEY UNITED</v>
      </c>
      <c r="C101" s="87" t="str">
        <f>IF(G90="","ag_S1(W60)",IF(G90&gt;I90,_xlfn.CONCAT("ag_S1(W60)-",RIGHT(F90,LEN(F90) - FIND("-",F90))), _xlfn.CONCAT("ag_S1(W60)-",RIGHT(H90,LEN(H90) - FIND("-",H90)))))</f>
        <v>ag_S1(W60)-VIPER PIGEON</v>
      </c>
      <c r="D101" s="87" t="str">
        <f>IF(G69="","ag_T1(W51)",IF(G69&gt;I69,_xlfn.CONCAT("ag_T1(W51)-",RIGHT(F69,LEN(F69) - FIND("-",F69))), _xlfn.CONCAT("ag_T1(W51)-",RIGHT(H69,LEN(H69) - FIND("-",H69)))))</f>
        <v>ag_T1(W51)-OHANA</v>
      </c>
      <c r="E101" s="86" t="str">
        <f>IF(G88="","ag_U1(W52)",IF(G88&gt;I88,_xlfn.CONCAT("ag_U1(W52)-",RIGHT(F88,LEN(F88) - FIND("-",F88))), _xlfn.CONCAT("ag_U1(W52)-",RIGHT(H88,LEN(H88) - FIND("-",H88)))))</f>
        <v>ag_U1(W52)-CLOVIS B</v>
      </c>
    </row>
    <row r="102" spans="1:5" ht="14.1" customHeight="1">
      <c r="A102" s="60">
        <v>2</v>
      </c>
      <c r="B102" s="87" t="str">
        <f>IF(G52="","ag_R2(W58)",IF(G52&gt;I52,_xlfn.CONCAT("ag_R2(W58)-",RIGHT(F52,LEN(F52) - FIND("-",F52))), _xlfn.CONCAT("ag_R2(W58)-",RIGHT(H52,LEN(H52) - FIND("-",H52)))))</f>
        <v>ag_R2(W58)-COMMERCE</v>
      </c>
      <c r="C102" s="87" t="str">
        <f>IF(G51="","ag_S2(W54)",IF(G51&gt;I51,_xlfn.CONCAT("ag_S2(W54)-",RIGHT(F51,LEN(F51) - FIND("-",F51))), _xlfn.CONCAT("ag_S2(W54)-",RIGHT(H51,LEN(H51) - FIND("-",H51)))))</f>
        <v>ag_S2(W54)-SAN JOSE FOUNDATION</v>
      </c>
      <c r="D102" s="86" t="str">
        <f>IF(G71="","ag_T2(W59)",IF(G71&gt;I71,_xlfn.CONCAT("ag_T2(W59)-",RIGHT(F71,LEN(F71) - FIND("-",F71))), _xlfn.CONCAT("ag_T2(W59)-",RIGHT(H71,LEN(H71) - FIND("-",H71)))))</f>
        <v>ag_T2(W59)-HIELAND</v>
      </c>
      <c r="E102" s="86" t="str">
        <f>IF(G70="","ag_U2(W55)",IF(G70&gt;I70,_xlfn.CONCAT("ag_U2(W55)-",RIGHT(F70,LEN(F70) - FIND("-",F70))), _xlfn.CONCAT("ag_U2(W55)-",RIGHT(H70,LEN(H70) - FIND("-",H70)))))</f>
        <v>ag_U2(W55)-ORWP</v>
      </c>
    </row>
    <row r="103" spans="1:5" ht="14.1" customHeight="1">
      <c r="A103" s="60">
        <v>3</v>
      </c>
      <c r="B103" s="87" t="str">
        <f>IF(G31="","ag_R3(W49)",IF(G31&gt;I31,_xlfn.CONCAT("ag_R3(W49)-",RIGHT(F31,LEN(F31) - FIND("-",F31))), _xlfn.CONCAT("ag_R3(W49)-",RIGHT(H31,LEN(H31) - FIND("-",H31)))))</f>
        <v>ag_R3(W49)-RAIN CITY</v>
      </c>
      <c r="C103" s="87" t="str">
        <f>IF(G50="","ag_S3(W50)",IF(G50&gt;I50,_xlfn.CONCAT("ag_S3(W50)-",RIGHT(F50,LEN(F50) - FIND("-",F50))), _xlfn.CONCAT("ag_S3(W50)-",RIGHT(H50,LEN(H50) - FIND("-",H50)))))</f>
        <v>ag_S3(W50)-CLOVIS RED</v>
      </c>
      <c r="D103" s="87" t="str">
        <f>IF(G32="","ag_T3(W53)",IF(G32&gt;I32,_xlfn.CONCAT("ag_T3(W53)-",RIGHT(F32,LEN(F32) - FIND("-",F32))), _xlfn.CONCAT("ag_T3(W53)-",RIGHT(H32,LEN(H32) - FIND("-",H32)))))</f>
        <v>ag_T3(W53)-AMERICAN RIVER GOLD</v>
      </c>
      <c r="E103" s="87" t="str">
        <f>IF(G33="","ag_U3(W57)",IF(G33&gt;I33,_xlfn.CONCAT("ag_U3(W57)-",RIGHT(F33,LEN(F33) - FIND("-",F33))), _xlfn.CONCAT("ag_U3(W57)-",RIGHT(H33,LEN(H33) - FIND("-",H33)))))</f>
        <v>ag_U3(W57)-VANGUARD SILVER</v>
      </c>
    </row>
    <row r="105" spans="1:5" ht="14.1" customHeight="1">
      <c r="A105" s="60"/>
      <c r="B105" s="84" t="s">
        <v>1496</v>
      </c>
      <c r="C105" s="60"/>
      <c r="D105" s="60"/>
      <c r="E105" s="60"/>
    </row>
    <row r="106" spans="1:5" ht="14.1" customHeight="1">
      <c r="A106" s="60"/>
      <c r="B106" s="88" t="s">
        <v>953</v>
      </c>
      <c r="C106" s="88" t="s">
        <v>954</v>
      </c>
      <c r="D106" s="88" t="s">
        <v>955</v>
      </c>
      <c r="E106" s="88" t="s">
        <v>956</v>
      </c>
    </row>
    <row r="107" spans="1:5" ht="14.1" customHeight="1">
      <c r="A107" s="60">
        <v>1</v>
      </c>
      <c r="B107" s="87" t="str">
        <f>IF(G32="","bz_M1(L53)",IF(G32&lt;I32,_xlfn.CONCAT("bz_M1(L53)-",RIGHT(F32,LEN(F32) - FIND("-",F32))), _xlfn.CONCAT("bz_M1(L53)-",RIGHT(H32,LEN(H32) - FIND("-",H32)))))</f>
        <v>bz_M1(L53)-WEST VALLEY</v>
      </c>
      <c r="C107" s="87" t="str">
        <f>IF(G33="","bz_N1(L57)",IF(G33&lt;I33,_xlfn.CONCAT("bz_N1(L57)-",RIGHT(F33,LEN(F33) - FIND("-",F33))), _xlfn.CONCAT("bz_N1(L57)-",RIGHT(H33,LEN(H33) - FIND("-",H33)))))</f>
        <v>bz_N1(L57)-LA JOLLA UNITED B</v>
      </c>
      <c r="D107" s="87" t="str">
        <f>IF(G31="","bz_O1(L49)",IF(G31&lt;I31,_xlfn.CONCAT("bz_O1(L49)-",RIGHT(F31,LEN(F31) - FIND("-",F31))), _xlfn.CONCAT("bz_O1(L49)-",RIGHT(H31,LEN(H31) - FIND("-",H31)))))</f>
        <v>bz_O1(L49)-ALAMEDA</v>
      </c>
      <c r="E107" s="87" t="str">
        <f>IF(G50="","bz_P1(L50)",IF(G50&lt;I50,_xlfn.CONCAT("bz_P1(L50)-",RIGHT(F50,LEN(F50) - FIND("-",F50))), _xlfn.CONCAT("bz_P1(L50)-",RIGHT(H50,LEN(H50) - FIND("-",H50)))))</f>
        <v>bz_P1(L50)-CHULA VISTA PREMIER</v>
      </c>
    </row>
    <row r="108" spans="1:5" ht="14.1" customHeight="1">
      <c r="A108" s="60">
        <v>2</v>
      </c>
      <c r="B108" s="86" t="str">
        <f>IF(G71="","bz_M2(L59)",IF(G71&lt;I71,_xlfn.CONCAT("bz_M2(L59)-",RIGHT(F71,LEN(F71) - FIND("-",F71))), _xlfn.CONCAT("bz_M2(L59)-",RIGHT(H71,LEN(H71) - FIND("-",H71)))))</f>
        <v>bz_M2(L59)-MID PEN</v>
      </c>
      <c r="C108" s="86" t="str">
        <f>IF(G70="","bz_N2(L55)",IF(G70&lt;I70,_xlfn.CONCAT("bz_N2(L55)-",RIGHT(F70,LEN(F70) - FIND("-",F70))), _xlfn.CONCAT("bz_N2(L55)-",RIGHT(H70,LEN(H70) - FIND("-",H70)))))</f>
        <v>bz_N2(L55)-CC UNITED BLUE</v>
      </c>
      <c r="D108" s="87" t="str">
        <f>IF(G52="","bz_O2(L58)",IF(G52&lt;I52,_xlfn.CONCAT("bz_O2(L58)-",RIGHT(F52,LEN(F52) - FIND("-",F52))), _xlfn.CONCAT("bz_O2(L58)-",RIGHT(H52,LEN(H52) - FIND("-",H52)))))</f>
        <v>bz_O2(L58)-CHARGERS BLACK</v>
      </c>
      <c r="E108" s="87" t="str">
        <f>IF(G51="","bz_P2(L54)",IF(G51&lt;I51,_xlfn.CONCAT("bz_P2(L54)-",RIGHT(F51,LEN(F51) - FIND("-",F51))), _xlfn.CONCAT("bz_P2(L54)-",RIGHT(H51,LEN(H51) - FIND("-",H51)))))</f>
        <v>bz_P2(L54)-ALBUQUERQUE</v>
      </c>
    </row>
    <row r="109" spans="1:5" ht="14.1" customHeight="1">
      <c r="A109" s="60">
        <v>3</v>
      </c>
      <c r="B109" s="86" t="str">
        <f>IF(G69="","bz_M3(L51)",IF(G69&lt;I69,_xlfn.CONCAT("bz_M3(L51)-",RIGHT(F69,LEN(F69) - FIND("-",F69))), _xlfn.CONCAT("bz_M3(L51)-",RIGHT(H69,LEN(H69) - FIND("-",H69)))))</f>
        <v>bz_M3(L51)-NAVY</v>
      </c>
      <c r="C109" s="86" t="str">
        <f>IF(G88="","bz_N3(L52)",IF(G88&lt;I88,_xlfn.CONCAT("bz_N3(L52)-",RIGHT(F88,LEN(F88) - FIND("-",F88))), _xlfn.CONCAT("bz_N3(L52)-",RIGHT(H88,LEN(H88) - FIND("-",H88)))))</f>
        <v>bz_N3(L52)-ASPHALT GREEN</v>
      </c>
      <c r="D109" s="87" t="str">
        <f>IF(G89="","bz_O3(L56)",IF(G89&lt;I89,_xlfn.CONCAT("bz_O3(L56)-",RIGHT(F89,LEN(F89) - FIND("-",F89))), _xlfn.CONCAT("bz_O3(L56)-",RIGHT(H89,LEN(H89) - FIND("-",H89)))))</f>
        <v>bz_O3(L56)-FARALLON</v>
      </c>
      <c r="E109" s="87" t="str">
        <f>IF(G90="","bz_P3(L60)",IF(G90&lt;I90,_xlfn.CONCAT("bz_P3(L60)-",RIGHT(F90,LEN(F90) - FIND("-",F90))), _xlfn.CONCAT("bz_P3(L60)-",RIGHT(H90,LEN(H90) - FIND("-",H90)))))</f>
        <v>bz_P3(L60)-MESA</v>
      </c>
    </row>
    <row r="110" spans="1:5" ht="14.1" customHeight="1">
      <c r="B110" s="60"/>
      <c r="C110" s="60"/>
      <c r="D110" s="60"/>
      <c r="E110" s="60"/>
    </row>
    <row r="111" spans="1:5" ht="14.1" customHeight="1">
      <c r="B111" s="88" t="s">
        <v>966</v>
      </c>
      <c r="C111" s="88" t="s">
        <v>967</v>
      </c>
      <c r="D111" s="88" t="s">
        <v>968</v>
      </c>
      <c r="E111" s="88" t="s">
        <v>969</v>
      </c>
    </row>
    <row r="112" spans="1:5" ht="14.1" customHeight="1">
      <c r="A112" s="60">
        <v>1</v>
      </c>
      <c r="B112" s="87" t="str">
        <f>IF(G86="","bz_R1(L48)",IF(G86&lt;I86,_xlfn.CONCAT("bz_R1(L48)-",RIGHT(F86,LEN(F86) - FIND("-",F86))), _xlfn.CONCAT("bz_R1(L48)-",RIGHT(H86,LEN(H86) - FIND("-",H86)))))</f>
        <v>bz_R1(L48)-AQUATEX</v>
      </c>
      <c r="C112" s="87" t="str">
        <f>IF(G84="","bz_S1(L40)",IF(G84&lt;I84,_xlfn.CONCAT("bz_S1(L40)-",RIGHT(F84,LEN(F84) - FIND("-",F84))), _xlfn.CONCAT("bz_S1(L40)-",RIGHT(H84,LEN(H84) - FIND("-",H84)))))</f>
        <v>bz_S1(L40)-SAND CANYON RED</v>
      </c>
      <c r="D112" s="87" t="str">
        <f>IF(G82="","bz_T1(L32)",IF(G82&lt;I82,_xlfn.CONCAT("bz_T1(L32)-",RIGHT(F82,LEN(F82) - FIND("-",F82))), _xlfn.CONCAT("bz_T1(L32)-",RIGHT(H82,LEN(H82) - FIND("-",H82)))))</f>
        <v>bz_T1(L32)-TOPAZ TSUNAMI</v>
      </c>
      <c r="E112" s="86" t="str">
        <f>IF(G63="","bz_U1(L31)",IF(G63&lt;I63,_xlfn.CONCAT("bz_U1(L31)-",RIGHT(F63,LEN(F63) - FIND("-",F63))), _xlfn.CONCAT("bz_U1(L31)-",RIGHT(H63,LEN(H63) - FIND("-",H63)))))</f>
        <v>bz_U1(L31)-NEWBERG</v>
      </c>
    </row>
    <row r="113" spans="1:15" ht="14.1" customHeight="1">
      <c r="A113" s="60">
        <v>2</v>
      </c>
      <c r="B113" s="87" t="str">
        <f>IF(G46="","bz_R2(L38)",IF(G46&lt;I46,_xlfn.CONCAT("bz_R2(L38)-",RIGHT(F46,LEN(F46) - FIND("-",F46))), _xlfn.CONCAT("bz_R2(L38)-",RIGHT(H46,LEN(H46) - FIND("-",H46)))))</f>
        <v>bz_R2(L38)-SHAQ WHITE</v>
      </c>
      <c r="C113" s="87" t="str">
        <f>IF(G48="","bz_S2(L46)",IF(G48&lt;I48,_xlfn.CONCAT("bz_S2(L46)-",RIGHT(F48,LEN(F48) - FIND("-",F48))), _xlfn.CONCAT("bz_S2(L46)-",RIGHT(H48,LEN(H48) - FIND("-",H48)))))</f>
        <v>bz_S2(L46)-CINCINNATI MARLINS</v>
      </c>
      <c r="D113" s="86" t="str">
        <f>IF(G65="","bz_T2(L39)",IF(G65&lt;I65,_xlfn.CONCAT("bz_T2(L39)-",RIGHT(F65,LEN(F65) - FIND("-",F65))), _xlfn.CONCAT("bz_T2(L39)-",RIGHT(H65,LEN(H65) - FIND("-",H65)))))</f>
        <v>bz_T2(L39)-THIRD COAST</v>
      </c>
      <c r="E113" s="86" t="str">
        <f>IF(G67="","bz_U2(L47)",IF(G67&lt;I67,_xlfn.CONCAT("bz_U2(L47)-",RIGHT(F67,LEN(F67) - FIND("-",F67))), _xlfn.CONCAT("bz_U2(L47)-",RIGHT(H67,LEN(H67) - FIND("-",H67)))))</f>
        <v>bz_U2(L47)-WCAC UNITED B</v>
      </c>
    </row>
    <row r="114" spans="1:15" ht="14.1" customHeight="1">
      <c r="A114" s="60">
        <v>3</v>
      </c>
      <c r="B114" s="86" t="str">
        <f>IF(G44="","bz_R3(L30)",IF(G44&lt;I44,_xlfn.CONCAT("bz_R3(L30)-",RIGHT(F44,LEN(F44) - FIND("-",F44))), _xlfn.CONCAT("bz_R3(L30)-",RIGHT(H44,LEN(H44) - FIND("-",H44)))))</f>
        <v>bz_R3(L30)-MOOSE</v>
      </c>
      <c r="C114" s="87" t="str">
        <f>IF(G25="","bz_S3(L29)",IF(G25&lt;I25,_xlfn.CONCAT("bz_S3(L29)-",RIGHT(F25,LEN(F25) - FIND("-",F25))), _xlfn.CONCAT("bz_S3(L29)-",RIGHT(H25,LEN(H25) - FIND("-",H25)))))</f>
        <v>bz_S3(L29)-LV LEGENDS</v>
      </c>
      <c r="D114" s="87" t="str">
        <f>IF(G29="","bz_T3(L45)",IF(G29&lt;I29,_xlfn.CONCAT("bz_T3(L45)-",RIGHT(F29,LEN(F29) - FIND("-",F29))), _xlfn.CONCAT("bz_T3(L45)-",RIGHT(H29,LEN(H29) - FIND("-",H29)))))</f>
        <v>bz_T3(L45)-NORCO</v>
      </c>
      <c r="E114" s="86" t="str">
        <f>IF(G27="","bz_U3(L37)",IF(G27&lt;I27,_xlfn.CONCAT("bz_U3(L37)-",RIGHT(F27,LEN(F27) - FIND("-",F27))), _xlfn.CONCAT("bz_U3(L37)-",RIGHT(H27,LEN(H27) - FIND("-",H27)))))</f>
        <v>bz_U3(L37)-ELMHURST</v>
      </c>
    </row>
    <row r="115" spans="1:15" ht="14.1" customHeight="1" thickBot="1">
      <c r="B115" s="60"/>
      <c r="C115" s="60"/>
      <c r="D115" s="60"/>
      <c r="E115" s="60"/>
      <c r="F115" s="60"/>
      <c r="G115" s="64"/>
      <c r="H115" s="60"/>
      <c r="I115" s="60"/>
      <c r="J115" s="60"/>
      <c r="K115" s="60"/>
      <c r="L115" s="60"/>
    </row>
    <row r="116" spans="1:15" ht="14.1" customHeight="1" thickBot="1">
      <c r="B116" s="60"/>
      <c r="C116" s="60"/>
      <c r="D116" s="68" t="str">
        <f>'CHICLETS MASTER S2'!$AJ$27</f>
        <v>SUNNY HILLS HS</v>
      </c>
      <c r="E116" s="60"/>
      <c r="F116" s="60"/>
      <c r="G116" s="64"/>
      <c r="H116" s="60"/>
      <c r="I116" s="60"/>
      <c r="J116" s="60"/>
      <c r="K116" s="60"/>
      <c r="L116" s="60"/>
    </row>
    <row r="117" spans="1:15" ht="14.1" customHeight="1">
      <c r="A117" s="144" t="s">
        <v>124</v>
      </c>
      <c r="B117" s="145" t="s">
        <v>125</v>
      </c>
      <c r="C117" s="145" t="s">
        <v>126</v>
      </c>
      <c r="D117" s="145" t="s">
        <v>127</v>
      </c>
      <c r="E117" s="145" t="s">
        <v>128</v>
      </c>
      <c r="F117" s="145" t="s">
        <v>129</v>
      </c>
      <c r="G117" s="145" t="s">
        <v>130</v>
      </c>
      <c r="H117" s="145" t="s">
        <v>131</v>
      </c>
      <c r="I117" s="145" t="s">
        <v>130</v>
      </c>
      <c r="J117" s="145" t="s">
        <v>132</v>
      </c>
      <c r="K117" s="145" t="s">
        <v>133</v>
      </c>
      <c r="L117" s="145" t="s">
        <v>134</v>
      </c>
    </row>
    <row r="118" spans="1:15" ht="14.1" customHeight="1">
      <c r="A118" s="89">
        <f t="shared" ref="A118:A129" si="12">$A$93</f>
        <v>46227</v>
      </c>
      <c r="B118" s="70">
        <f>'CHICLETS MASTER S2'!X28</f>
        <v>0.29166666666666669</v>
      </c>
      <c r="C118" s="71" t="s">
        <v>218</v>
      </c>
      <c r="D118" s="71" t="str">
        <f t="shared" ref="D118:D129" si="13">$D$116</f>
        <v>SUNNY HILLS HS</v>
      </c>
      <c r="E118" s="71">
        <v>61</v>
      </c>
      <c r="F118" s="90" t="str">
        <f>B97</f>
        <v>ag_M2(W43)-SUPREME</v>
      </c>
      <c r="G118" s="90">
        <v>5</v>
      </c>
      <c r="H118" s="90" t="str">
        <f>B98</f>
        <v>ag_M3(W27)-KINGSBURG</v>
      </c>
      <c r="I118" s="90">
        <v>3</v>
      </c>
      <c r="J118" s="90"/>
      <c r="K118" s="90"/>
      <c r="L118" s="90" t="str">
        <f t="shared" ref="L118:L129" si="14">IF(E118="","",$L$15&amp;"-"&amp;TEXT(E118,"000"))</f>
        <v>18BX-061</v>
      </c>
      <c r="O118" s="62" t="str">
        <f t="shared" ref="O118:O129" si="15">$K$255&amp;C118</f>
        <v>ag_Group</v>
      </c>
    </row>
    <row r="119" spans="1:15" ht="14.1" customHeight="1">
      <c r="A119" s="89">
        <f t="shared" si="12"/>
        <v>46227</v>
      </c>
      <c r="B119" s="70">
        <f>'CHICLETS MASTER S2'!X29</f>
        <v>0.3263888888888889</v>
      </c>
      <c r="C119" s="71" t="s">
        <v>218</v>
      </c>
      <c r="D119" s="71" t="str">
        <f t="shared" si="13"/>
        <v>SUNNY HILLS HS</v>
      </c>
      <c r="E119" s="71">
        <v>65</v>
      </c>
      <c r="F119" s="90" t="str">
        <f>C97</f>
        <v>ag_N2(W35)-ROSE BOWL RED</v>
      </c>
      <c r="G119" s="90">
        <v>3</v>
      </c>
      <c r="H119" s="90" t="str">
        <f>C98</f>
        <v>ag_N3(W28)-SD SHORES GOLD</v>
      </c>
      <c r="I119" s="90">
        <v>10</v>
      </c>
      <c r="J119" s="90"/>
      <c r="K119" s="90"/>
      <c r="L119" s="90" t="str">
        <f t="shared" si="14"/>
        <v>18BX-065</v>
      </c>
      <c r="O119" s="62" t="str">
        <f t="shared" si="15"/>
        <v>ag_Group</v>
      </c>
    </row>
    <row r="120" spans="1:15" ht="14.1" customHeight="1">
      <c r="A120" s="89">
        <f t="shared" si="12"/>
        <v>46227</v>
      </c>
      <c r="B120" s="70">
        <f>'CHICLETS MASTER S2'!X30</f>
        <v>0.36111111111111099</v>
      </c>
      <c r="C120" s="71" t="s">
        <v>218</v>
      </c>
      <c r="D120" s="71" t="str">
        <f t="shared" si="13"/>
        <v>SUNNY HILLS HS</v>
      </c>
      <c r="E120" s="71">
        <v>69</v>
      </c>
      <c r="F120" s="90" t="str">
        <f>C101</f>
        <v>ag_S1(W60)-VIPER PIGEON</v>
      </c>
      <c r="G120" s="90">
        <v>8</v>
      </c>
      <c r="H120" s="90" t="str">
        <f>C102</f>
        <v>ag_S2(W54)-SAN JOSE FOUNDATION</v>
      </c>
      <c r="I120" s="90">
        <v>13</v>
      </c>
      <c r="J120" s="90"/>
      <c r="K120" s="90"/>
      <c r="L120" s="90" t="str">
        <f t="shared" si="14"/>
        <v>18BX-069</v>
      </c>
      <c r="O120" s="62" t="str">
        <f t="shared" si="15"/>
        <v>ag_Group</v>
      </c>
    </row>
    <row r="121" spans="1:15" ht="14.1" customHeight="1">
      <c r="A121" s="89">
        <f t="shared" si="12"/>
        <v>46227</v>
      </c>
      <c r="B121" s="70">
        <f>'CHICLETS MASTER S2'!X31</f>
        <v>0.39583333333333398</v>
      </c>
      <c r="C121" s="71" t="s">
        <v>218</v>
      </c>
      <c r="D121" s="71" t="str">
        <f t="shared" si="13"/>
        <v>SUNNY HILLS HS</v>
      </c>
      <c r="E121" s="71">
        <v>73</v>
      </c>
      <c r="F121" s="90" t="str">
        <f>B101</f>
        <v>ag_R1(W56)-CENTRAL VALLEY UNITED</v>
      </c>
      <c r="G121" s="90">
        <v>8</v>
      </c>
      <c r="H121" s="90" t="str">
        <f>B102</f>
        <v>ag_R2(W58)-COMMERCE</v>
      </c>
      <c r="I121" s="90">
        <v>12</v>
      </c>
      <c r="J121" s="90"/>
      <c r="K121" s="90"/>
      <c r="L121" s="90" t="str">
        <f t="shared" si="14"/>
        <v>18BX-073</v>
      </c>
      <c r="O121" s="62" t="str">
        <f t="shared" si="15"/>
        <v>ag_Group</v>
      </c>
    </row>
    <row r="122" spans="1:15" ht="14.1" customHeight="1">
      <c r="A122" s="89">
        <f t="shared" si="12"/>
        <v>46227</v>
      </c>
      <c r="B122" s="70">
        <f>'CHICLETS MASTER S2'!X32</f>
        <v>0.43055555555555602</v>
      </c>
      <c r="C122" s="71" t="s">
        <v>218</v>
      </c>
      <c r="D122" s="71" t="str">
        <f t="shared" si="13"/>
        <v>SUNNY HILLS HS</v>
      </c>
      <c r="E122" s="71">
        <v>77</v>
      </c>
      <c r="F122" s="90" t="str">
        <f>B96</f>
        <v>ag_M1(W33)-SAN JOSE EXPRESS BLUE</v>
      </c>
      <c r="G122" s="90">
        <v>10</v>
      </c>
      <c r="H122" s="90" t="str">
        <f>B98</f>
        <v>ag_M3(W27)-KINGSBURG</v>
      </c>
      <c r="I122" s="90">
        <v>5</v>
      </c>
      <c r="J122" s="90"/>
      <c r="K122" s="90"/>
      <c r="L122" s="90" t="str">
        <f t="shared" si="14"/>
        <v>18BX-077</v>
      </c>
      <c r="O122" s="62" t="str">
        <f t="shared" si="15"/>
        <v>ag_Group</v>
      </c>
    </row>
    <row r="123" spans="1:15" ht="14.1" customHeight="1">
      <c r="A123" s="89">
        <f t="shared" si="12"/>
        <v>46227</v>
      </c>
      <c r="B123" s="70">
        <f>'CHICLETS MASTER S2'!X33</f>
        <v>0.46527777777777801</v>
      </c>
      <c r="C123" s="71" t="s">
        <v>218</v>
      </c>
      <c r="D123" s="71" t="str">
        <f t="shared" si="13"/>
        <v>SUNNY HILLS HS</v>
      </c>
      <c r="E123" s="71">
        <v>81</v>
      </c>
      <c r="F123" s="90" t="str">
        <f>C96</f>
        <v>ag_N1(W41)-LB SHORE</v>
      </c>
      <c r="G123" s="90">
        <v>14</v>
      </c>
      <c r="H123" s="90" t="str">
        <f>C98</f>
        <v>ag_N3(W28)-SD SHORES GOLD</v>
      </c>
      <c r="I123" s="90">
        <v>5</v>
      </c>
      <c r="J123" s="90"/>
      <c r="K123" s="90"/>
      <c r="L123" s="90" t="str">
        <f t="shared" si="14"/>
        <v>18BX-081</v>
      </c>
      <c r="O123" s="62" t="str">
        <f t="shared" si="15"/>
        <v>ag_Group</v>
      </c>
    </row>
    <row r="124" spans="1:15" ht="14.1" customHeight="1">
      <c r="A124" s="89">
        <f t="shared" si="12"/>
        <v>46227</v>
      </c>
      <c r="B124" s="70">
        <f>'CHICLETS MASTER S2'!X34</f>
        <v>0.5</v>
      </c>
      <c r="C124" s="71" t="s">
        <v>218</v>
      </c>
      <c r="D124" s="71" t="str">
        <f t="shared" si="13"/>
        <v>SUNNY HILLS HS</v>
      </c>
      <c r="E124" s="71">
        <v>85</v>
      </c>
      <c r="F124" s="90" t="str">
        <f>C101</f>
        <v>ag_S1(W60)-VIPER PIGEON</v>
      </c>
      <c r="G124" s="90">
        <v>5</v>
      </c>
      <c r="H124" s="90" t="str">
        <f>C103</f>
        <v>ag_S3(W50)-CLOVIS RED</v>
      </c>
      <c r="I124" s="90">
        <v>7</v>
      </c>
      <c r="J124" s="90"/>
      <c r="K124" s="90"/>
      <c r="L124" s="90" t="str">
        <f t="shared" si="14"/>
        <v>18BX-085</v>
      </c>
      <c r="O124" s="62" t="str">
        <f t="shared" si="15"/>
        <v>ag_Group</v>
      </c>
    </row>
    <row r="125" spans="1:15" ht="14.1" customHeight="1">
      <c r="A125" s="89">
        <f t="shared" si="12"/>
        <v>46227</v>
      </c>
      <c r="B125" s="70">
        <f>'CHICLETS MASTER S2'!X35</f>
        <v>0.53472222222222199</v>
      </c>
      <c r="C125" s="71" t="s">
        <v>218</v>
      </c>
      <c r="D125" s="71" t="str">
        <f t="shared" si="13"/>
        <v>SUNNY HILLS HS</v>
      </c>
      <c r="E125" s="71">
        <v>89</v>
      </c>
      <c r="F125" s="90" t="str">
        <f>B101</f>
        <v>ag_R1(W56)-CENTRAL VALLEY UNITED</v>
      </c>
      <c r="G125" s="90">
        <v>6</v>
      </c>
      <c r="H125" s="90" t="str">
        <f>B103</f>
        <v>ag_R3(W49)-RAIN CITY</v>
      </c>
      <c r="I125" s="90">
        <v>5</v>
      </c>
      <c r="J125" s="90"/>
      <c r="K125" s="90"/>
      <c r="L125" s="90" t="str">
        <f t="shared" si="14"/>
        <v>18BX-089</v>
      </c>
      <c r="O125" s="62" t="str">
        <f t="shared" si="15"/>
        <v>ag_Group</v>
      </c>
    </row>
    <row r="126" spans="1:15" ht="14.1" customHeight="1">
      <c r="A126" s="89">
        <f t="shared" si="12"/>
        <v>46227</v>
      </c>
      <c r="B126" s="70">
        <f>'CHICLETS MASTER S2'!X36</f>
        <v>0.56944444444444497</v>
      </c>
      <c r="C126" s="71" t="s">
        <v>218</v>
      </c>
      <c r="D126" s="71" t="str">
        <f t="shared" si="13"/>
        <v>SUNNY HILLS HS</v>
      </c>
      <c r="E126" s="71">
        <v>93</v>
      </c>
      <c r="F126" s="90" t="str">
        <f>B96</f>
        <v>ag_M1(W33)-SAN JOSE EXPRESS BLUE</v>
      </c>
      <c r="G126" s="93">
        <v>13</v>
      </c>
      <c r="H126" s="90" t="str">
        <f>B97</f>
        <v>ag_M2(W43)-SUPREME</v>
      </c>
      <c r="I126" s="90">
        <v>9</v>
      </c>
      <c r="J126" s="90"/>
      <c r="K126" s="90"/>
      <c r="L126" s="90" t="str">
        <f t="shared" si="14"/>
        <v>18BX-093</v>
      </c>
      <c r="O126" s="62" t="str">
        <f t="shared" si="15"/>
        <v>ag_Group</v>
      </c>
    </row>
    <row r="127" spans="1:15" ht="14.1" customHeight="1">
      <c r="A127" s="89">
        <f t="shared" si="12"/>
        <v>46227</v>
      </c>
      <c r="B127" s="70">
        <f>'CHICLETS MASTER S2'!X37</f>
        <v>0.60416666666666696</v>
      </c>
      <c r="C127" s="71" t="s">
        <v>218</v>
      </c>
      <c r="D127" s="71" t="str">
        <f t="shared" si="13"/>
        <v>SUNNY HILLS HS</v>
      </c>
      <c r="E127" s="71">
        <v>97</v>
      </c>
      <c r="F127" s="90" t="str">
        <f>C96</f>
        <v>ag_N1(W41)-LB SHORE</v>
      </c>
      <c r="G127" s="90">
        <v>16</v>
      </c>
      <c r="H127" s="90" t="str">
        <f>C97</f>
        <v>ag_N2(W35)-ROSE BOWL RED</v>
      </c>
      <c r="I127" s="90">
        <v>8</v>
      </c>
      <c r="J127" s="90"/>
      <c r="K127" s="90"/>
      <c r="L127" s="90" t="str">
        <f t="shared" si="14"/>
        <v>18BX-097</v>
      </c>
      <c r="O127" s="62" t="str">
        <f t="shared" si="15"/>
        <v>ag_Group</v>
      </c>
    </row>
    <row r="128" spans="1:15" ht="14.1" customHeight="1">
      <c r="A128" s="89">
        <f t="shared" si="12"/>
        <v>46227</v>
      </c>
      <c r="B128" s="70">
        <f>'CHICLETS MASTER S2'!X38</f>
        <v>0.63888888888888895</v>
      </c>
      <c r="C128" s="71" t="s">
        <v>218</v>
      </c>
      <c r="D128" s="71" t="str">
        <f t="shared" si="13"/>
        <v>SUNNY HILLS HS</v>
      </c>
      <c r="E128" s="71">
        <v>101</v>
      </c>
      <c r="F128" s="90" t="str">
        <f>C102</f>
        <v>ag_S2(W54)-SAN JOSE FOUNDATION</v>
      </c>
      <c r="G128" s="90">
        <v>7</v>
      </c>
      <c r="H128" s="90" t="str">
        <f>C103</f>
        <v>ag_S3(W50)-CLOVIS RED</v>
      </c>
      <c r="I128" s="90">
        <v>9</v>
      </c>
      <c r="J128" s="90"/>
      <c r="K128" s="90"/>
      <c r="L128" s="90" t="str">
        <f t="shared" si="14"/>
        <v>18BX-101</v>
      </c>
      <c r="O128" s="62" t="str">
        <f t="shared" si="15"/>
        <v>ag_Group</v>
      </c>
    </row>
    <row r="129" spans="1:15" ht="14.1" customHeight="1">
      <c r="A129" s="89">
        <f t="shared" si="12"/>
        <v>46227</v>
      </c>
      <c r="B129" s="70">
        <f>'CHICLETS MASTER S2'!X39</f>
        <v>0.67361111111111105</v>
      </c>
      <c r="C129" s="71" t="s">
        <v>218</v>
      </c>
      <c r="D129" s="71" t="str">
        <f t="shared" si="13"/>
        <v>SUNNY HILLS HS</v>
      </c>
      <c r="E129" s="71">
        <v>105</v>
      </c>
      <c r="F129" s="90" t="str">
        <f>B102</f>
        <v>ag_R2(W58)-COMMERCE</v>
      </c>
      <c r="G129" s="90">
        <v>9</v>
      </c>
      <c r="H129" s="90" t="str">
        <f>B103</f>
        <v>ag_R3(W49)-RAIN CITY</v>
      </c>
      <c r="I129" s="90">
        <v>5</v>
      </c>
      <c r="J129" s="90"/>
      <c r="K129" s="90"/>
      <c r="L129" s="90" t="str">
        <f t="shared" si="14"/>
        <v>18BX-105</v>
      </c>
      <c r="O129" s="62" t="str">
        <f t="shared" si="15"/>
        <v>ag_Group</v>
      </c>
    </row>
    <row r="130" spans="1:15" ht="14.1" customHeight="1">
      <c r="A130" s="75"/>
      <c r="B130" s="75"/>
      <c r="C130" s="60"/>
      <c r="D130" s="60"/>
      <c r="E130" s="60"/>
      <c r="F130" s="60"/>
      <c r="G130" s="64"/>
      <c r="H130" s="60"/>
      <c r="I130" s="60"/>
      <c r="J130" s="60"/>
      <c r="K130" s="60"/>
      <c r="L130" s="60"/>
    </row>
    <row r="131" spans="1:15" ht="14.1" customHeight="1">
      <c r="A131" s="75" t="s">
        <v>633</v>
      </c>
      <c r="B131" s="75" t="s">
        <v>633</v>
      </c>
      <c r="C131" s="60"/>
      <c r="D131" s="60"/>
      <c r="E131" s="60"/>
      <c r="F131" s="60"/>
      <c r="G131" s="64"/>
      <c r="H131" s="60"/>
      <c r="I131" s="60"/>
      <c r="J131" s="60"/>
      <c r="K131" s="60"/>
      <c r="L131" s="60"/>
    </row>
    <row r="132" spans="1:15" ht="14.1" customHeight="1">
      <c r="A132" s="89">
        <f>$A$93</f>
        <v>46227</v>
      </c>
      <c r="B132" s="70">
        <f>'CHICLETS MASTER S2'!X42</f>
        <v>0.77777777777777801</v>
      </c>
      <c r="C132" s="71" t="s">
        <v>219</v>
      </c>
      <c r="D132" s="71" t="str">
        <f>$D$116</f>
        <v>SUNNY HILLS HS</v>
      </c>
      <c r="E132" s="71">
        <v>109</v>
      </c>
      <c r="F132" s="90" t="s">
        <v>1497</v>
      </c>
      <c r="G132" s="90">
        <v>6</v>
      </c>
      <c r="H132" s="90" t="s">
        <v>1498</v>
      </c>
      <c r="I132" s="90">
        <v>7</v>
      </c>
      <c r="J132" s="90">
        <v>129</v>
      </c>
      <c r="K132" s="90">
        <v>134</v>
      </c>
      <c r="L132" s="90" t="str">
        <f>IF(E132="","",$L$15&amp;"-"&amp;TEXT(E132,"000"))</f>
        <v>18BX-109</v>
      </c>
      <c r="O132" s="62" t="str">
        <f>$K$255&amp;C132</f>
        <v>ag_Play-in</v>
      </c>
    </row>
    <row r="133" spans="1:15" ht="14.1" customHeight="1">
      <c r="A133" s="89">
        <f>$A$93</f>
        <v>46227</v>
      </c>
      <c r="B133" s="70">
        <f>'CHICLETS MASTER S2'!X43</f>
        <v>0.8125</v>
      </c>
      <c r="C133" s="71" t="s">
        <v>219</v>
      </c>
      <c r="D133" s="71" t="str">
        <f>$D$116</f>
        <v>SUNNY HILLS HS</v>
      </c>
      <c r="E133" s="71">
        <v>113</v>
      </c>
      <c r="F133" s="90" t="s">
        <v>1499</v>
      </c>
      <c r="G133" s="90">
        <v>9</v>
      </c>
      <c r="H133" s="90" t="s">
        <v>1500</v>
      </c>
      <c r="I133" s="90">
        <v>12</v>
      </c>
      <c r="J133" s="90">
        <v>121</v>
      </c>
      <c r="K133" s="90">
        <v>126</v>
      </c>
      <c r="L133" s="90" t="str">
        <f>IF(E133="","",$L$15&amp;"-"&amp;TEXT(E133,"000"))</f>
        <v>18BX-113</v>
      </c>
      <c r="O133" s="62" t="str">
        <f>$K$255&amp;C133</f>
        <v>ag_Play-in</v>
      </c>
    </row>
    <row r="134" spans="1:15" ht="14.1" customHeight="1" thickBot="1">
      <c r="A134" s="78"/>
      <c r="B134" s="79"/>
      <c r="C134" s="60"/>
      <c r="D134" s="60"/>
      <c r="E134" s="60"/>
      <c r="F134" s="60" t="s">
        <v>418</v>
      </c>
      <c r="G134" s="64"/>
      <c r="H134" s="60" t="s">
        <v>418</v>
      </c>
      <c r="I134" s="60"/>
      <c r="J134" s="60"/>
      <c r="K134" s="60"/>
      <c r="L134" s="60"/>
    </row>
    <row r="135" spans="1:15" ht="14.1" customHeight="1" thickBot="1">
      <c r="A135" s="78"/>
      <c r="B135" s="79"/>
      <c r="C135" s="60"/>
      <c r="D135" s="68" t="str">
        <f>'CHICLETS MASTER S2'!$AH$27</f>
        <v>TROY HS</v>
      </c>
      <c r="E135" s="60"/>
      <c r="F135" s="60"/>
      <c r="G135" s="64"/>
      <c r="H135" s="60"/>
      <c r="I135" s="60"/>
      <c r="J135" s="60"/>
      <c r="K135" s="60"/>
      <c r="L135" s="60"/>
    </row>
    <row r="136" spans="1:15" ht="14.1" customHeight="1">
      <c r="A136" s="144" t="s">
        <v>124</v>
      </c>
      <c r="B136" s="145" t="s">
        <v>125</v>
      </c>
      <c r="C136" s="145" t="s">
        <v>126</v>
      </c>
      <c r="D136" s="145" t="s">
        <v>127</v>
      </c>
      <c r="E136" s="145" t="s">
        <v>128</v>
      </c>
      <c r="F136" s="145" t="s">
        <v>129</v>
      </c>
      <c r="G136" s="145" t="s">
        <v>130</v>
      </c>
      <c r="H136" s="145" t="s">
        <v>131</v>
      </c>
      <c r="I136" s="145" t="s">
        <v>130</v>
      </c>
      <c r="J136" s="145" t="s">
        <v>132</v>
      </c>
      <c r="K136" s="145" t="s">
        <v>133</v>
      </c>
      <c r="L136" s="145" t="s">
        <v>134</v>
      </c>
    </row>
    <row r="137" spans="1:15" ht="14.1" customHeight="1">
      <c r="A137" s="89">
        <f t="shared" ref="A137:A148" si="16">$A$93</f>
        <v>46227</v>
      </c>
      <c r="B137" s="70">
        <f>'CHICLETS MASTER S2'!X28</f>
        <v>0.29166666666666669</v>
      </c>
      <c r="C137" s="71" t="s">
        <v>218</v>
      </c>
      <c r="D137" s="71" t="str">
        <f t="shared" ref="D137:D148" si="17">$D$135</f>
        <v>TROY HS</v>
      </c>
      <c r="E137" s="71">
        <v>62</v>
      </c>
      <c r="F137" s="90" t="str">
        <f>D97</f>
        <v>ag_O2(W42)-CHAWP WHITE</v>
      </c>
      <c r="G137" s="90">
        <v>7</v>
      </c>
      <c r="H137" s="90" t="str">
        <f>D98</f>
        <v>ag_O3(W36)-SET</v>
      </c>
      <c r="I137" s="90">
        <v>10</v>
      </c>
      <c r="J137" s="90"/>
      <c r="K137" s="90"/>
      <c r="L137" s="90" t="str">
        <f t="shared" ref="L137:L148" si="18">IF(E137="","",$L$15&amp;"-"&amp;TEXT(E137,"000"))</f>
        <v>18BX-062</v>
      </c>
      <c r="O137" s="62" t="str">
        <f t="shared" ref="O137:O148" si="19">$K$255&amp;C137</f>
        <v>ag_Group</v>
      </c>
    </row>
    <row r="138" spans="1:15" ht="14.1" customHeight="1">
      <c r="A138" s="89">
        <f t="shared" si="16"/>
        <v>46227</v>
      </c>
      <c r="B138" s="70">
        <f>'CHICLETS MASTER S2'!X29</f>
        <v>0.3263888888888889</v>
      </c>
      <c r="C138" s="71" t="s">
        <v>218</v>
      </c>
      <c r="D138" s="71" t="str">
        <f t="shared" si="17"/>
        <v>TROY HS</v>
      </c>
      <c r="E138" s="71">
        <v>66</v>
      </c>
      <c r="F138" s="90" t="str">
        <f>E97</f>
        <v>ag_P2(W34)-CARLSBAD</v>
      </c>
      <c r="G138" s="90">
        <v>6</v>
      </c>
      <c r="H138" s="90" t="str">
        <f>E98</f>
        <v>ag_P3(W44)-TSUNAMI</v>
      </c>
      <c r="I138" s="90">
        <v>7</v>
      </c>
      <c r="J138" s="90"/>
      <c r="K138" s="90"/>
      <c r="L138" s="90" t="str">
        <f t="shared" si="18"/>
        <v>18BX-066</v>
      </c>
      <c r="O138" s="62" t="str">
        <f t="shared" si="19"/>
        <v>ag_Group</v>
      </c>
    </row>
    <row r="139" spans="1:15" ht="14.1" customHeight="1">
      <c r="A139" s="89">
        <f t="shared" si="16"/>
        <v>46227</v>
      </c>
      <c r="B139" s="70">
        <f>'CHICLETS MASTER S2'!X30</f>
        <v>0.36111111111111099</v>
      </c>
      <c r="C139" s="71" t="s">
        <v>218</v>
      </c>
      <c r="D139" s="71" t="str">
        <f t="shared" si="17"/>
        <v>TROY HS</v>
      </c>
      <c r="E139" s="71">
        <v>70</v>
      </c>
      <c r="F139" s="90" t="str">
        <f>E101</f>
        <v>ag_U1(W52)-CLOVIS B</v>
      </c>
      <c r="G139" s="90">
        <v>10</v>
      </c>
      <c r="H139" s="90" t="str">
        <f>E102</f>
        <v>ag_U2(W55)-ORWP</v>
      </c>
      <c r="I139" s="90">
        <v>5</v>
      </c>
      <c r="J139" s="90"/>
      <c r="K139" s="90"/>
      <c r="L139" s="90" t="str">
        <f t="shared" si="18"/>
        <v>18BX-070</v>
      </c>
      <c r="O139" s="62" t="str">
        <f t="shared" si="19"/>
        <v>ag_Group</v>
      </c>
    </row>
    <row r="140" spans="1:15" ht="14.1" customHeight="1">
      <c r="A140" s="89">
        <f t="shared" si="16"/>
        <v>46227</v>
      </c>
      <c r="B140" s="70">
        <f>'CHICLETS MASTER S2'!X31</f>
        <v>0.39583333333333398</v>
      </c>
      <c r="C140" s="71" t="s">
        <v>218</v>
      </c>
      <c r="D140" s="71" t="str">
        <f t="shared" si="17"/>
        <v>TROY HS</v>
      </c>
      <c r="E140" s="71">
        <v>74</v>
      </c>
      <c r="F140" s="90" t="str">
        <f>D101</f>
        <v>ag_T1(W51)-OHANA</v>
      </c>
      <c r="G140" s="90">
        <v>7</v>
      </c>
      <c r="H140" s="90" t="str">
        <f>D102</f>
        <v>ag_T2(W59)-HIELAND</v>
      </c>
      <c r="I140" s="90">
        <v>11</v>
      </c>
      <c r="J140" s="90"/>
      <c r="K140" s="90"/>
      <c r="L140" s="90" t="str">
        <f t="shared" si="18"/>
        <v>18BX-074</v>
      </c>
      <c r="O140" s="62" t="str">
        <f t="shared" si="19"/>
        <v>ag_Group</v>
      </c>
    </row>
    <row r="141" spans="1:15" ht="14.1" customHeight="1">
      <c r="A141" s="89">
        <f t="shared" si="16"/>
        <v>46227</v>
      </c>
      <c r="B141" s="70">
        <f>'CHICLETS MASTER S2'!X32</f>
        <v>0.43055555555555602</v>
      </c>
      <c r="C141" s="71" t="s">
        <v>218</v>
      </c>
      <c r="D141" s="71" t="str">
        <f t="shared" si="17"/>
        <v>TROY HS</v>
      </c>
      <c r="E141" s="71">
        <v>78</v>
      </c>
      <c r="F141" s="90" t="str">
        <f>D96</f>
        <v>ag_O1(W25)-SANTA CRUZ</v>
      </c>
      <c r="G141" s="90">
        <v>4</v>
      </c>
      <c r="H141" s="90" t="str">
        <f>D98</f>
        <v>ag_O3(W36)-SET</v>
      </c>
      <c r="I141" s="90">
        <v>11</v>
      </c>
      <c r="J141" s="90"/>
      <c r="K141" s="90"/>
      <c r="L141" s="90" t="str">
        <f t="shared" si="18"/>
        <v>18BX-078</v>
      </c>
      <c r="O141" s="62" t="str">
        <f t="shared" si="19"/>
        <v>ag_Group</v>
      </c>
    </row>
    <row r="142" spans="1:15" ht="14.1" customHeight="1">
      <c r="A142" s="89">
        <f t="shared" si="16"/>
        <v>46227</v>
      </c>
      <c r="B142" s="70">
        <f>'CHICLETS MASTER S2'!X33</f>
        <v>0.46527777777777801</v>
      </c>
      <c r="C142" s="71" t="s">
        <v>218</v>
      </c>
      <c r="D142" s="71" t="str">
        <f t="shared" si="17"/>
        <v>TROY HS</v>
      </c>
      <c r="E142" s="71">
        <v>82</v>
      </c>
      <c r="F142" s="90" t="str">
        <f>E96</f>
        <v>ag_P1(W26)-SOUTH COAST RED</v>
      </c>
      <c r="G142" s="90">
        <v>1</v>
      </c>
      <c r="H142" s="90" t="str">
        <f>E98</f>
        <v>ag_P3(W44)-TSUNAMI</v>
      </c>
      <c r="I142" s="90">
        <v>8</v>
      </c>
      <c r="J142" s="90"/>
      <c r="K142" s="90"/>
      <c r="L142" s="90" t="str">
        <f t="shared" si="18"/>
        <v>18BX-082</v>
      </c>
      <c r="O142" s="62" t="str">
        <f t="shared" si="19"/>
        <v>ag_Group</v>
      </c>
    </row>
    <row r="143" spans="1:15" ht="14.1" customHeight="1">
      <c r="A143" s="89">
        <f t="shared" si="16"/>
        <v>46227</v>
      </c>
      <c r="B143" s="70">
        <f>'CHICLETS MASTER S2'!X34</f>
        <v>0.5</v>
      </c>
      <c r="C143" s="71" t="s">
        <v>218</v>
      </c>
      <c r="D143" s="71" t="str">
        <f t="shared" si="17"/>
        <v>TROY HS</v>
      </c>
      <c r="E143" s="71">
        <v>86</v>
      </c>
      <c r="F143" s="90" t="str">
        <f>E101</f>
        <v>ag_U1(W52)-CLOVIS B</v>
      </c>
      <c r="G143" s="90">
        <v>7</v>
      </c>
      <c r="H143" s="90" t="str">
        <f>E103</f>
        <v>ag_U3(W57)-VANGUARD SILVER</v>
      </c>
      <c r="I143" s="90">
        <v>8</v>
      </c>
      <c r="J143" s="90"/>
      <c r="K143" s="90"/>
      <c r="L143" s="90" t="str">
        <f t="shared" si="18"/>
        <v>18BX-086</v>
      </c>
      <c r="O143" s="62" t="str">
        <f t="shared" si="19"/>
        <v>ag_Group</v>
      </c>
    </row>
    <row r="144" spans="1:15" ht="14.1" customHeight="1">
      <c r="A144" s="89">
        <f t="shared" si="16"/>
        <v>46227</v>
      </c>
      <c r="B144" s="70">
        <f>'CHICLETS MASTER S2'!X35</f>
        <v>0.53472222222222199</v>
      </c>
      <c r="C144" s="71" t="s">
        <v>218</v>
      </c>
      <c r="D144" s="71" t="str">
        <f t="shared" si="17"/>
        <v>TROY HS</v>
      </c>
      <c r="E144" s="71">
        <v>90</v>
      </c>
      <c r="F144" s="90" t="str">
        <f>D101</f>
        <v>ag_T1(W51)-OHANA</v>
      </c>
      <c r="G144" s="90">
        <v>9</v>
      </c>
      <c r="H144" s="90" t="str">
        <f>D103</f>
        <v>ag_T3(W53)-AMERICAN RIVER GOLD</v>
      </c>
      <c r="I144" s="90">
        <v>5</v>
      </c>
      <c r="J144" s="90"/>
      <c r="K144" s="90"/>
      <c r="L144" s="90" t="str">
        <f t="shared" si="18"/>
        <v>18BX-090</v>
      </c>
      <c r="O144" s="62" t="str">
        <f t="shared" si="19"/>
        <v>ag_Group</v>
      </c>
    </row>
    <row r="145" spans="1:15" ht="14.1" customHeight="1">
      <c r="A145" s="89">
        <f t="shared" si="16"/>
        <v>46227</v>
      </c>
      <c r="B145" s="70">
        <f>'CHICLETS MASTER S2'!X36</f>
        <v>0.56944444444444497</v>
      </c>
      <c r="C145" s="71" t="s">
        <v>218</v>
      </c>
      <c r="D145" s="71" t="str">
        <f t="shared" si="17"/>
        <v>TROY HS</v>
      </c>
      <c r="E145" s="71">
        <v>94</v>
      </c>
      <c r="F145" s="90" t="str">
        <f>D96</f>
        <v>ag_O1(W25)-SANTA CRUZ</v>
      </c>
      <c r="G145" s="90">
        <v>7.3</v>
      </c>
      <c r="H145" s="90" t="str">
        <f>D97</f>
        <v>ag_O2(W42)-CHAWP WHITE</v>
      </c>
      <c r="I145" s="90">
        <v>7.1</v>
      </c>
      <c r="J145" s="90"/>
      <c r="K145" s="90"/>
      <c r="L145" s="90" t="str">
        <f t="shared" si="18"/>
        <v>18BX-094</v>
      </c>
      <c r="O145" s="62" t="str">
        <f t="shared" si="19"/>
        <v>ag_Group</v>
      </c>
    </row>
    <row r="146" spans="1:15" ht="14.1" customHeight="1">
      <c r="A146" s="89">
        <f t="shared" si="16"/>
        <v>46227</v>
      </c>
      <c r="B146" s="70">
        <f>'CHICLETS MASTER S2'!X37</f>
        <v>0.60416666666666696</v>
      </c>
      <c r="C146" s="71" t="s">
        <v>218</v>
      </c>
      <c r="D146" s="71" t="str">
        <f t="shared" si="17"/>
        <v>TROY HS</v>
      </c>
      <c r="E146" s="71">
        <v>98</v>
      </c>
      <c r="F146" s="90" t="str">
        <f>E96</f>
        <v>ag_P1(W26)-SOUTH COAST RED</v>
      </c>
      <c r="G146" s="90">
        <v>7</v>
      </c>
      <c r="H146" s="90" t="str">
        <f>E97</f>
        <v>ag_P2(W34)-CARLSBAD</v>
      </c>
      <c r="I146" s="90">
        <v>3</v>
      </c>
      <c r="J146" s="90"/>
      <c r="K146" s="90"/>
      <c r="L146" s="90" t="str">
        <f t="shared" si="18"/>
        <v>18BX-098</v>
      </c>
      <c r="O146" s="62" t="str">
        <f t="shared" si="19"/>
        <v>ag_Group</v>
      </c>
    </row>
    <row r="147" spans="1:15" ht="14.1" customHeight="1">
      <c r="A147" s="89">
        <f t="shared" si="16"/>
        <v>46227</v>
      </c>
      <c r="B147" s="70">
        <f>'CHICLETS MASTER S2'!X38</f>
        <v>0.63888888888888895</v>
      </c>
      <c r="C147" s="71" t="s">
        <v>218</v>
      </c>
      <c r="D147" s="71" t="str">
        <f t="shared" si="17"/>
        <v>TROY HS</v>
      </c>
      <c r="E147" s="71">
        <v>102</v>
      </c>
      <c r="F147" s="90" t="str">
        <f>E102</f>
        <v>ag_U2(W55)-ORWP</v>
      </c>
      <c r="G147" s="90">
        <v>12</v>
      </c>
      <c r="H147" s="90" t="str">
        <f>E103</f>
        <v>ag_U3(W57)-VANGUARD SILVER</v>
      </c>
      <c r="I147" s="90">
        <v>6</v>
      </c>
      <c r="J147" s="90"/>
      <c r="K147" s="90"/>
      <c r="L147" s="90" t="str">
        <f t="shared" si="18"/>
        <v>18BX-102</v>
      </c>
      <c r="O147" s="62" t="str">
        <f t="shared" si="19"/>
        <v>ag_Group</v>
      </c>
    </row>
    <row r="148" spans="1:15" ht="14.1" customHeight="1">
      <c r="A148" s="89">
        <f t="shared" si="16"/>
        <v>46227</v>
      </c>
      <c r="B148" s="70">
        <f>'CHICLETS MASTER S2'!X39</f>
        <v>0.67361111111111105</v>
      </c>
      <c r="C148" s="71" t="s">
        <v>218</v>
      </c>
      <c r="D148" s="71" t="str">
        <f t="shared" si="17"/>
        <v>TROY HS</v>
      </c>
      <c r="E148" s="71">
        <v>106</v>
      </c>
      <c r="F148" s="90" t="str">
        <f>D102</f>
        <v>ag_T2(W59)-HIELAND</v>
      </c>
      <c r="G148" s="90">
        <v>9</v>
      </c>
      <c r="H148" s="90" t="str">
        <f>D103</f>
        <v>ag_T3(W53)-AMERICAN RIVER GOLD</v>
      </c>
      <c r="I148" s="90">
        <v>4</v>
      </c>
      <c r="J148" s="90"/>
      <c r="K148" s="90"/>
      <c r="L148" s="90" t="str">
        <f t="shared" si="18"/>
        <v>18BX-106</v>
      </c>
      <c r="O148" s="62" t="str">
        <f t="shared" si="19"/>
        <v>ag_Group</v>
      </c>
    </row>
    <row r="149" spans="1:15" ht="14.1" customHeight="1">
      <c r="A149" s="75"/>
      <c r="B149" s="60" t="s">
        <v>139</v>
      </c>
      <c r="C149" s="60"/>
      <c r="D149" s="60"/>
      <c r="E149" s="60"/>
      <c r="F149" s="60"/>
      <c r="G149" s="64"/>
      <c r="H149" s="60"/>
      <c r="I149" s="60"/>
      <c r="J149" s="60"/>
      <c r="K149" s="60"/>
      <c r="L149" s="60"/>
    </row>
    <row r="150" spans="1:15" ht="14.1" customHeight="1">
      <c r="A150" s="75"/>
      <c r="B150" s="60" t="s">
        <v>139</v>
      </c>
      <c r="C150" s="60"/>
      <c r="D150" s="60"/>
      <c r="E150" s="60"/>
      <c r="F150" s="60"/>
      <c r="G150" s="64"/>
      <c r="H150" s="60"/>
      <c r="I150" s="60"/>
      <c r="J150" s="60"/>
      <c r="K150" s="60"/>
      <c r="L150" s="60"/>
    </row>
    <row r="151" spans="1:15" ht="14.1" customHeight="1">
      <c r="A151" s="89">
        <f>$A$93</f>
        <v>46227</v>
      </c>
      <c r="B151" s="70">
        <f>'CHICLETS MASTER S2'!X42</f>
        <v>0.77777777777777801</v>
      </c>
      <c r="C151" s="71" t="s">
        <v>219</v>
      </c>
      <c r="D151" s="71" t="str">
        <f>$D$135</f>
        <v>TROY HS</v>
      </c>
      <c r="E151" s="71">
        <v>110</v>
      </c>
      <c r="F151" s="90" t="s">
        <v>1501</v>
      </c>
      <c r="G151" s="90">
        <v>12</v>
      </c>
      <c r="H151" s="90" t="s">
        <v>1502</v>
      </c>
      <c r="I151" s="90">
        <v>11</v>
      </c>
      <c r="J151" s="90">
        <v>117</v>
      </c>
      <c r="K151" s="90">
        <v>138</v>
      </c>
      <c r="L151" s="90" t="str">
        <f>IF(E151="","",$L$15&amp;"-"&amp;TEXT(E151,"000"))</f>
        <v>18BX-110</v>
      </c>
      <c r="O151" s="62" t="str">
        <f>$K$255&amp;C151</f>
        <v>ag_Play-in</v>
      </c>
    </row>
    <row r="152" spans="1:15" ht="14.1" customHeight="1">
      <c r="A152" s="89">
        <f>$A$93</f>
        <v>46227</v>
      </c>
      <c r="B152" s="70">
        <f>'CHICLETS MASTER S2'!X43</f>
        <v>0.8125</v>
      </c>
      <c r="C152" s="71" t="s">
        <v>219</v>
      </c>
      <c r="D152" s="71" t="str">
        <f>$D$135</f>
        <v>TROY HS</v>
      </c>
      <c r="E152" s="71">
        <v>114</v>
      </c>
      <c r="F152" s="90" t="s">
        <v>1503</v>
      </c>
      <c r="G152" s="90">
        <v>10</v>
      </c>
      <c r="H152" s="90" t="s">
        <v>1504</v>
      </c>
      <c r="I152" s="90">
        <v>2</v>
      </c>
      <c r="J152" s="90">
        <v>125</v>
      </c>
      <c r="K152" s="90">
        <v>130</v>
      </c>
      <c r="L152" s="90" t="str">
        <f>IF(E152="","",$L$15&amp;"-"&amp;TEXT(E152,"000"))</f>
        <v>18BX-114</v>
      </c>
      <c r="O152" s="62" t="str">
        <f>$K$255&amp;C152</f>
        <v>ag_Play-in</v>
      </c>
    </row>
    <row r="153" spans="1:15" ht="14.1" customHeight="1" thickBot="1">
      <c r="A153" s="78"/>
      <c r="B153" s="60"/>
      <c r="C153" s="60"/>
      <c r="D153" s="60"/>
      <c r="E153" s="60"/>
      <c r="F153" s="60" t="s">
        <v>418</v>
      </c>
      <c r="G153" s="64" t="s">
        <v>418</v>
      </c>
      <c r="H153" s="60" t="s">
        <v>418</v>
      </c>
      <c r="I153" s="60"/>
      <c r="J153" s="60"/>
      <c r="K153" s="60"/>
      <c r="L153" s="60"/>
    </row>
    <row r="154" spans="1:15" ht="14.1" customHeight="1" thickBot="1">
      <c r="B154" s="60"/>
      <c r="C154" s="60"/>
      <c r="D154" s="68" t="str">
        <f>'CHICLETS MASTER S2'!$AI$27</f>
        <v>VALLEY HS (SA)</v>
      </c>
      <c r="F154" s="60"/>
      <c r="G154" s="64"/>
      <c r="H154" s="60"/>
      <c r="I154" s="60"/>
      <c r="J154" s="60"/>
      <c r="K154" s="60"/>
      <c r="L154" s="60"/>
    </row>
    <row r="155" spans="1:15" ht="14.1" customHeight="1">
      <c r="A155" s="144" t="s">
        <v>124</v>
      </c>
      <c r="B155" s="145" t="s">
        <v>125</v>
      </c>
      <c r="C155" s="145" t="s">
        <v>126</v>
      </c>
      <c r="D155" s="145" t="s">
        <v>127</v>
      </c>
      <c r="E155" s="145" t="s">
        <v>128</v>
      </c>
      <c r="F155" s="145" t="s">
        <v>129</v>
      </c>
      <c r="G155" s="145" t="s">
        <v>130</v>
      </c>
      <c r="H155" s="145" t="s">
        <v>131</v>
      </c>
      <c r="I155" s="145" t="s">
        <v>130</v>
      </c>
      <c r="J155" s="145" t="s">
        <v>132</v>
      </c>
      <c r="K155" s="145" t="s">
        <v>133</v>
      </c>
      <c r="L155" s="145" t="s">
        <v>134</v>
      </c>
    </row>
    <row r="156" spans="1:15" ht="14.1" customHeight="1">
      <c r="A156" s="89">
        <f t="shared" ref="A156:A167" si="20">$A$93</f>
        <v>46227</v>
      </c>
      <c r="B156" s="70">
        <f>'CHICLETS MASTER S2'!X28</f>
        <v>0.29166666666666669</v>
      </c>
      <c r="C156" s="71" t="s">
        <v>218</v>
      </c>
      <c r="D156" s="71" t="str">
        <f t="shared" ref="D156:D167" si="21">$D$154</f>
        <v>VALLEY HS (SA)</v>
      </c>
      <c r="E156" s="71">
        <v>63</v>
      </c>
      <c r="F156" s="91" t="str">
        <f>C112</f>
        <v>bz_S1(L40)-SAND CANYON RED</v>
      </c>
      <c r="G156" s="92">
        <v>11</v>
      </c>
      <c r="H156" s="91" t="str">
        <f>C113</f>
        <v>bz_S2(L46)-CINCINNATI MARLINS</v>
      </c>
      <c r="I156" s="92">
        <v>10</v>
      </c>
      <c r="J156" s="91"/>
      <c r="K156" s="91"/>
      <c r="L156" s="91" t="str">
        <f t="shared" ref="L156:L167" si="22">IF(E156="","",$L$15&amp;"-"&amp;TEXT(E156,"000"))</f>
        <v>18BX-063</v>
      </c>
      <c r="O156" s="62" t="str">
        <f t="shared" ref="O156:O167" si="23">$L$255&amp;C156</f>
        <v>bz_Group</v>
      </c>
    </row>
    <row r="157" spans="1:15" ht="14.1" customHeight="1">
      <c r="A157" s="89">
        <f t="shared" si="20"/>
        <v>46227</v>
      </c>
      <c r="B157" s="70">
        <f>'CHICLETS MASTER S2'!X29</f>
        <v>0.3263888888888889</v>
      </c>
      <c r="C157" s="71" t="s">
        <v>218</v>
      </c>
      <c r="D157" s="71" t="str">
        <f t="shared" si="21"/>
        <v>VALLEY HS (SA)</v>
      </c>
      <c r="E157" s="71">
        <v>67</v>
      </c>
      <c r="F157" s="91" t="str">
        <f>B112</f>
        <v>bz_R1(L48)-AQUATEX</v>
      </c>
      <c r="G157" s="92">
        <v>10</v>
      </c>
      <c r="H157" s="91" t="str">
        <f>B113</f>
        <v>bz_R2(L38)-SHAQ WHITE</v>
      </c>
      <c r="I157" s="92">
        <v>8</v>
      </c>
      <c r="J157" s="91"/>
      <c r="K157" s="91"/>
      <c r="L157" s="91" t="str">
        <f t="shared" si="22"/>
        <v>18BX-067</v>
      </c>
      <c r="O157" s="62" t="str">
        <f t="shared" si="23"/>
        <v>bz_Group</v>
      </c>
    </row>
    <row r="158" spans="1:15" ht="14.1" customHeight="1">
      <c r="A158" s="89">
        <f t="shared" si="20"/>
        <v>46227</v>
      </c>
      <c r="B158" s="70">
        <f>'CHICLETS MASTER S2'!X30</f>
        <v>0.36111111111111099</v>
      </c>
      <c r="C158" s="71" t="s">
        <v>218</v>
      </c>
      <c r="D158" s="71" t="str">
        <f t="shared" si="21"/>
        <v>VALLEY HS (SA)</v>
      </c>
      <c r="E158" s="71">
        <v>71</v>
      </c>
      <c r="F158" s="91" t="str">
        <f>B108</f>
        <v>bz_M2(L59)-MID PEN</v>
      </c>
      <c r="G158" s="92">
        <v>5</v>
      </c>
      <c r="H158" s="91" t="str">
        <f>B109</f>
        <v>bz_M3(L51)-NAVY</v>
      </c>
      <c r="I158" s="92">
        <v>7</v>
      </c>
      <c r="J158" s="91"/>
      <c r="K158" s="91"/>
      <c r="L158" s="91" t="str">
        <f t="shared" si="22"/>
        <v>18BX-071</v>
      </c>
      <c r="O158" s="62" t="str">
        <f t="shared" si="23"/>
        <v>bz_Group</v>
      </c>
    </row>
    <row r="159" spans="1:15" ht="14.1" customHeight="1">
      <c r="A159" s="89">
        <f t="shared" si="20"/>
        <v>46227</v>
      </c>
      <c r="B159" s="70">
        <f>'CHICLETS MASTER S2'!X31</f>
        <v>0.39583333333333398</v>
      </c>
      <c r="C159" s="71" t="s">
        <v>218</v>
      </c>
      <c r="D159" s="71" t="str">
        <f t="shared" si="21"/>
        <v>VALLEY HS (SA)</v>
      </c>
      <c r="E159" s="71">
        <v>75</v>
      </c>
      <c r="F159" s="91" t="str">
        <f>C108</f>
        <v>bz_N2(L55)-CC UNITED BLUE</v>
      </c>
      <c r="G159" s="92">
        <v>11</v>
      </c>
      <c r="H159" s="91" t="str">
        <f>C109</f>
        <v>bz_N3(L52)-ASPHALT GREEN</v>
      </c>
      <c r="I159" s="92">
        <v>15</v>
      </c>
      <c r="J159" s="91"/>
      <c r="K159" s="91"/>
      <c r="L159" s="91" t="str">
        <f t="shared" si="22"/>
        <v>18BX-075</v>
      </c>
      <c r="O159" s="62" t="str">
        <f t="shared" si="23"/>
        <v>bz_Group</v>
      </c>
    </row>
    <row r="160" spans="1:15" ht="14.1" customHeight="1">
      <c r="A160" s="89">
        <f t="shared" si="20"/>
        <v>46227</v>
      </c>
      <c r="B160" s="70">
        <f>'CHICLETS MASTER S2'!X32</f>
        <v>0.43055555555555602</v>
      </c>
      <c r="C160" s="71" t="s">
        <v>218</v>
      </c>
      <c r="D160" s="71" t="str">
        <f t="shared" si="21"/>
        <v>VALLEY HS (SA)</v>
      </c>
      <c r="E160" s="71">
        <v>79</v>
      </c>
      <c r="F160" s="91" t="str">
        <f>C112</f>
        <v>bz_S1(L40)-SAND CANYON RED</v>
      </c>
      <c r="G160" s="92">
        <v>7</v>
      </c>
      <c r="H160" s="91" t="str">
        <f>C114</f>
        <v>bz_S3(L29)-LV LEGENDS</v>
      </c>
      <c r="I160" s="92">
        <v>10</v>
      </c>
      <c r="J160" s="91"/>
      <c r="K160" s="91"/>
      <c r="L160" s="91" t="str">
        <f t="shared" si="22"/>
        <v>18BX-079</v>
      </c>
      <c r="O160" s="62" t="str">
        <f t="shared" si="23"/>
        <v>bz_Group</v>
      </c>
    </row>
    <row r="161" spans="1:15" ht="14.1" customHeight="1">
      <c r="A161" s="89">
        <f t="shared" si="20"/>
        <v>46227</v>
      </c>
      <c r="B161" s="70">
        <f>'CHICLETS MASTER S2'!X33</f>
        <v>0.46527777777777801</v>
      </c>
      <c r="C161" s="71" t="s">
        <v>218</v>
      </c>
      <c r="D161" s="71" t="str">
        <f t="shared" si="21"/>
        <v>VALLEY HS (SA)</v>
      </c>
      <c r="E161" s="71">
        <v>83</v>
      </c>
      <c r="F161" s="91" t="str">
        <f>B112</f>
        <v>bz_R1(L48)-AQUATEX</v>
      </c>
      <c r="G161" s="92">
        <v>6</v>
      </c>
      <c r="H161" s="91" t="str">
        <f>B114</f>
        <v>bz_R3(L30)-MOOSE</v>
      </c>
      <c r="I161" s="92">
        <v>10</v>
      </c>
      <c r="J161" s="91"/>
      <c r="K161" s="91"/>
      <c r="L161" s="91" t="str">
        <f t="shared" si="22"/>
        <v>18BX-083</v>
      </c>
      <c r="O161" s="62" t="str">
        <f t="shared" si="23"/>
        <v>bz_Group</v>
      </c>
    </row>
    <row r="162" spans="1:15" ht="14.1" customHeight="1">
      <c r="A162" s="89">
        <f t="shared" si="20"/>
        <v>46227</v>
      </c>
      <c r="B162" s="70">
        <f>'CHICLETS MASTER S2'!X34</f>
        <v>0.5</v>
      </c>
      <c r="C162" s="71" t="s">
        <v>218</v>
      </c>
      <c r="D162" s="71" t="str">
        <f t="shared" si="21"/>
        <v>VALLEY HS (SA)</v>
      </c>
      <c r="E162" s="71">
        <v>87</v>
      </c>
      <c r="F162" s="91" t="str">
        <f>B107</f>
        <v>bz_M1(L53)-WEST VALLEY</v>
      </c>
      <c r="G162" s="92">
        <v>9</v>
      </c>
      <c r="H162" s="91" t="str">
        <f>B109</f>
        <v>bz_M3(L51)-NAVY</v>
      </c>
      <c r="I162" s="92">
        <v>4</v>
      </c>
      <c r="J162" s="91"/>
      <c r="K162" s="91"/>
      <c r="L162" s="91" t="str">
        <f t="shared" si="22"/>
        <v>18BX-087</v>
      </c>
      <c r="O162" s="62" t="str">
        <f t="shared" si="23"/>
        <v>bz_Group</v>
      </c>
    </row>
    <row r="163" spans="1:15" ht="14.1" customHeight="1">
      <c r="A163" s="89">
        <f t="shared" si="20"/>
        <v>46227</v>
      </c>
      <c r="B163" s="70">
        <f>'CHICLETS MASTER S2'!X35</f>
        <v>0.53472222222222199</v>
      </c>
      <c r="C163" s="71" t="s">
        <v>218</v>
      </c>
      <c r="D163" s="71" t="str">
        <f t="shared" si="21"/>
        <v>VALLEY HS (SA)</v>
      </c>
      <c r="E163" s="71">
        <v>91</v>
      </c>
      <c r="F163" s="91" t="str">
        <f>C107</f>
        <v>bz_N1(L57)-LA JOLLA UNITED B</v>
      </c>
      <c r="G163" s="92">
        <v>15</v>
      </c>
      <c r="H163" s="91" t="str">
        <f>C109</f>
        <v>bz_N3(L52)-ASPHALT GREEN</v>
      </c>
      <c r="I163" s="92">
        <v>16</v>
      </c>
      <c r="J163" s="91"/>
      <c r="K163" s="91"/>
      <c r="L163" s="91" t="str">
        <f t="shared" si="22"/>
        <v>18BX-091</v>
      </c>
      <c r="O163" s="62" t="str">
        <f t="shared" si="23"/>
        <v>bz_Group</v>
      </c>
    </row>
    <row r="164" spans="1:15" ht="14.1" customHeight="1">
      <c r="A164" s="89">
        <f t="shared" si="20"/>
        <v>46227</v>
      </c>
      <c r="B164" s="70">
        <f>'CHICLETS MASTER S2'!X36</f>
        <v>0.56944444444444497</v>
      </c>
      <c r="C164" s="71" t="s">
        <v>218</v>
      </c>
      <c r="D164" s="71" t="str">
        <f t="shared" si="21"/>
        <v>VALLEY HS (SA)</v>
      </c>
      <c r="E164" s="71">
        <v>95</v>
      </c>
      <c r="F164" s="91" t="str">
        <f>C113</f>
        <v>bz_S2(L46)-CINCINNATI MARLINS</v>
      </c>
      <c r="G164" s="92">
        <v>7</v>
      </c>
      <c r="H164" s="91" t="str">
        <f>C114</f>
        <v>bz_S3(L29)-LV LEGENDS</v>
      </c>
      <c r="I164" s="92">
        <v>13</v>
      </c>
      <c r="J164" s="91"/>
      <c r="K164" s="91"/>
      <c r="L164" s="91" t="str">
        <f t="shared" si="22"/>
        <v>18BX-095</v>
      </c>
      <c r="O164" s="62" t="str">
        <f t="shared" si="23"/>
        <v>bz_Group</v>
      </c>
    </row>
    <row r="165" spans="1:15" ht="14.1" customHeight="1">
      <c r="A165" s="89">
        <f t="shared" si="20"/>
        <v>46227</v>
      </c>
      <c r="B165" s="70">
        <f>'CHICLETS MASTER S2'!X37</f>
        <v>0.60416666666666696</v>
      </c>
      <c r="C165" s="71" t="s">
        <v>218</v>
      </c>
      <c r="D165" s="71" t="str">
        <f t="shared" si="21"/>
        <v>VALLEY HS (SA)</v>
      </c>
      <c r="E165" s="71">
        <v>99</v>
      </c>
      <c r="F165" s="91" t="str">
        <f>B113</f>
        <v>bz_R2(L38)-SHAQ WHITE</v>
      </c>
      <c r="G165" s="92">
        <v>12</v>
      </c>
      <c r="H165" s="91" t="str">
        <f>B114</f>
        <v>bz_R3(L30)-MOOSE</v>
      </c>
      <c r="I165" s="92">
        <v>13</v>
      </c>
      <c r="J165" s="91"/>
      <c r="K165" s="91"/>
      <c r="L165" s="91" t="str">
        <f t="shared" si="22"/>
        <v>18BX-099</v>
      </c>
      <c r="O165" s="62" t="str">
        <f t="shared" si="23"/>
        <v>bz_Group</v>
      </c>
    </row>
    <row r="166" spans="1:15" ht="14.1" customHeight="1">
      <c r="A166" s="89">
        <f t="shared" si="20"/>
        <v>46227</v>
      </c>
      <c r="B166" s="70">
        <f>'CHICLETS MASTER S2'!X38</f>
        <v>0.63888888888888895</v>
      </c>
      <c r="C166" s="71" t="s">
        <v>218</v>
      </c>
      <c r="D166" s="71" t="str">
        <f t="shared" si="21"/>
        <v>VALLEY HS (SA)</v>
      </c>
      <c r="E166" s="71">
        <v>103</v>
      </c>
      <c r="F166" s="91" t="str">
        <f>B107</f>
        <v>bz_M1(L53)-WEST VALLEY</v>
      </c>
      <c r="G166" s="92">
        <v>10</v>
      </c>
      <c r="H166" s="91" t="str">
        <f>B108</f>
        <v>bz_M2(L59)-MID PEN</v>
      </c>
      <c r="I166" s="92">
        <v>6</v>
      </c>
      <c r="J166" s="91"/>
      <c r="K166" s="91"/>
      <c r="L166" s="91" t="str">
        <f t="shared" si="22"/>
        <v>18BX-103</v>
      </c>
      <c r="O166" s="62" t="str">
        <f t="shared" si="23"/>
        <v>bz_Group</v>
      </c>
    </row>
    <row r="167" spans="1:15" ht="14.1" customHeight="1">
      <c r="A167" s="89">
        <f t="shared" si="20"/>
        <v>46227</v>
      </c>
      <c r="B167" s="70">
        <f>'CHICLETS MASTER S2'!X39</f>
        <v>0.67361111111111105</v>
      </c>
      <c r="C167" s="71" t="s">
        <v>218</v>
      </c>
      <c r="D167" s="71" t="str">
        <f t="shared" si="21"/>
        <v>VALLEY HS (SA)</v>
      </c>
      <c r="E167" s="71">
        <v>107</v>
      </c>
      <c r="F167" s="91" t="str">
        <f>C107</f>
        <v>bz_N1(L57)-LA JOLLA UNITED B</v>
      </c>
      <c r="G167" s="92">
        <v>15</v>
      </c>
      <c r="H167" s="91" t="str">
        <f>C108</f>
        <v>bz_N2(L55)-CC UNITED BLUE</v>
      </c>
      <c r="I167" s="92">
        <v>8</v>
      </c>
      <c r="J167" s="91"/>
      <c r="K167" s="91"/>
      <c r="L167" s="91" t="str">
        <f t="shared" si="22"/>
        <v>18BX-107</v>
      </c>
      <c r="O167" s="62" t="str">
        <f t="shared" si="23"/>
        <v>bz_Group</v>
      </c>
    </row>
    <row r="168" spans="1:15" ht="14.1" customHeight="1">
      <c r="A168" s="75"/>
      <c r="B168" s="60" t="s">
        <v>139</v>
      </c>
      <c r="C168" s="60"/>
      <c r="D168" s="60"/>
      <c r="E168" s="60"/>
      <c r="F168" s="60"/>
      <c r="G168" s="64"/>
      <c r="H168" s="60"/>
      <c r="I168" s="60"/>
      <c r="J168" s="60"/>
      <c r="K168" s="60"/>
      <c r="L168" s="60"/>
    </row>
    <row r="169" spans="1:15" ht="14.1" customHeight="1">
      <c r="A169" s="75"/>
      <c r="B169" s="60" t="s">
        <v>139</v>
      </c>
      <c r="C169" s="60"/>
      <c r="D169" s="60"/>
      <c r="E169" s="60"/>
      <c r="F169" s="60"/>
      <c r="G169" s="64"/>
      <c r="H169" s="60"/>
      <c r="I169" s="60"/>
      <c r="J169" s="60"/>
      <c r="K169" s="60"/>
      <c r="L169" s="60"/>
    </row>
    <row r="170" spans="1:15" ht="14.1" customHeight="1">
      <c r="A170" s="89">
        <f>$A$93</f>
        <v>46227</v>
      </c>
      <c r="B170" s="70">
        <f>'CHICLETS MASTER S2'!X42</f>
        <v>0.77777777777777801</v>
      </c>
      <c r="C170" s="71" t="s">
        <v>219</v>
      </c>
      <c r="D170" s="71" t="str">
        <f>$D$154</f>
        <v>VALLEY HS (SA)</v>
      </c>
      <c r="E170" s="71">
        <v>111</v>
      </c>
      <c r="F170" s="91" t="s">
        <v>1505</v>
      </c>
      <c r="G170" s="92">
        <v>5</v>
      </c>
      <c r="H170" s="91" t="s">
        <v>1506</v>
      </c>
      <c r="I170" s="92">
        <v>12</v>
      </c>
      <c r="J170" s="91">
        <v>131</v>
      </c>
      <c r="K170" s="91">
        <v>136</v>
      </c>
      <c r="L170" s="91" t="str">
        <f>IF(E170="","",$L$15&amp;"-"&amp;TEXT(E170,"000"))</f>
        <v>18BX-111</v>
      </c>
      <c r="O170" s="62" t="str">
        <f>$L$255&amp;C170</f>
        <v>bz_Play-in</v>
      </c>
    </row>
    <row r="171" spans="1:15" ht="14.1" customHeight="1">
      <c r="A171" s="89">
        <f>$A$93</f>
        <v>46227</v>
      </c>
      <c r="B171" s="70">
        <f>'CHICLETS MASTER S2'!X43</f>
        <v>0.8125</v>
      </c>
      <c r="C171" s="71" t="s">
        <v>219</v>
      </c>
      <c r="D171" s="71" t="str">
        <f>$D$154</f>
        <v>VALLEY HS (SA)</v>
      </c>
      <c r="E171" s="71">
        <v>115</v>
      </c>
      <c r="F171" s="91" t="s">
        <v>1507</v>
      </c>
      <c r="G171" s="92">
        <v>10</v>
      </c>
      <c r="H171" s="91" t="s">
        <v>1508</v>
      </c>
      <c r="I171" s="92">
        <v>11</v>
      </c>
      <c r="J171" s="91">
        <v>123</v>
      </c>
      <c r="K171" s="91">
        <v>128</v>
      </c>
      <c r="L171" s="91" t="str">
        <f>IF(E171="","",$L$15&amp;"-"&amp;TEXT(E171,"000"))</f>
        <v>18BX-115</v>
      </c>
      <c r="O171" s="62" t="str">
        <f>$L$255&amp;C171</f>
        <v>bz_Play-in</v>
      </c>
    </row>
    <row r="172" spans="1:15" ht="14.1" customHeight="1" thickBot="1">
      <c r="A172" s="78"/>
      <c r="B172" s="79"/>
      <c r="C172" s="60"/>
      <c r="D172" s="60"/>
      <c r="E172" s="60"/>
      <c r="F172" s="60" t="s">
        <v>418</v>
      </c>
      <c r="G172" s="64"/>
      <c r="H172" s="60" t="s">
        <v>418</v>
      </c>
      <c r="I172" s="60"/>
      <c r="J172" s="60"/>
      <c r="K172" s="60"/>
      <c r="L172" s="60"/>
    </row>
    <row r="173" spans="1:15" ht="14.1" customHeight="1" thickBot="1">
      <c r="A173" s="60"/>
      <c r="B173" s="60"/>
      <c r="C173" s="60"/>
      <c r="D173" s="68" t="str">
        <f>'CHICLETS MASTER S2'!$AS$27</f>
        <v>ANAHEIM HS</v>
      </c>
      <c r="F173" s="60"/>
      <c r="G173" s="64"/>
      <c r="H173" s="60"/>
      <c r="I173" s="60"/>
    </row>
    <row r="174" spans="1:15" ht="14.1" customHeight="1">
      <c r="A174" s="144" t="s">
        <v>124</v>
      </c>
      <c r="B174" s="145" t="s">
        <v>125</v>
      </c>
      <c r="C174" s="145" t="s">
        <v>126</v>
      </c>
      <c r="D174" s="145" t="s">
        <v>127</v>
      </c>
      <c r="E174" s="145" t="s">
        <v>128</v>
      </c>
      <c r="F174" s="145" t="s">
        <v>129</v>
      </c>
      <c r="G174" s="145" t="s">
        <v>130</v>
      </c>
      <c r="H174" s="145" t="s">
        <v>131</v>
      </c>
      <c r="I174" s="145" t="s">
        <v>130</v>
      </c>
      <c r="J174" s="145" t="s">
        <v>132</v>
      </c>
      <c r="K174" s="145" t="s">
        <v>133</v>
      </c>
      <c r="L174" s="145" t="s">
        <v>134</v>
      </c>
    </row>
    <row r="175" spans="1:15" ht="14.1" customHeight="1">
      <c r="A175" s="89">
        <f t="shared" ref="A175:A186" si="24">$A$93</f>
        <v>46227</v>
      </c>
      <c r="B175" s="70">
        <f>'CHICLETS MASTER S2'!X28</f>
        <v>0.29166666666666669</v>
      </c>
      <c r="C175" s="71" t="s">
        <v>218</v>
      </c>
      <c r="D175" s="71" t="str">
        <f t="shared" ref="D175:D186" si="25">$D$173</f>
        <v>ANAHEIM HS</v>
      </c>
      <c r="E175" s="71">
        <v>64</v>
      </c>
      <c r="F175" s="91" t="str">
        <f>E112</f>
        <v>bz_U1(L31)-NEWBERG</v>
      </c>
      <c r="G175" s="92">
        <v>11</v>
      </c>
      <c r="H175" s="91" t="str">
        <f>E113</f>
        <v>bz_U2(L47)-WCAC UNITED B</v>
      </c>
      <c r="I175" s="92">
        <v>8</v>
      </c>
      <c r="J175" s="91"/>
      <c r="K175" s="91"/>
      <c r="L175" s="91" t="str">
        <f t="shared" ref="L175:L186" si="26">IF(E175="","",$L$15&amp;"-"&amp;TEXT(E175,"000"))</f>
        <v>18BX-064</v>
      </c>
      <c r="O175" s="62" t="str">
        <f t="shared" ref="O175:O186" si="27">$L$255&amp;C175</f>
        <v>bz_Group</v>
      </c>
    </row>
    <row r="176" spans="1:15" ht="14.1" customHeight="1">
      <c r="A176" s="89">
        <f t="shared" si="24"/>
        <v>46227</v>
      </c>
      <c r="B176" s="70">
        <f>'CHICLETS MASTER S2'!X29</f>
        <v>0.3263888888888889</v>
      </c>
      <c r="C176" s="71" t="s">
        <v>218</v>
      </c>
      <c r="D176" s="71" t="str">
        <f t="shared" si="25"/>
        <v>ANAHEIM HS</v>
      </c>
      <c r="E176" s="71">
        <v>68</v>
      </c>
      <c r="F176" s="91" t="str">
        <f>D112</f>
        <v>bz_T1(L32)-TOPAZ TSUNAMI</v>
      </c>
      <c r="G176" s="92">
        <v>10</v>
      </c>
      <c r="H176" s="91" t="str">
        <f>D113</f>
        <v>bz_T2(L39)-THIRD COAST</v>
      </c>
      <c r="I176" s="92">
        <v>11</v>
      </c>
      <c r="J176" s="91"/>
      <c r="K176" s="91"/>
      <c r="L176" s="91" t="str">
        <f t="shared" si="26"/>
        <v>18BX-068</v>
      </c>
      <c r="O176" s="62" t="str">
        <f t="shared" si="27"/>
        <v>bz_Group</v>
      </c>
    </row>
    <row r="177" spans="1:15" ht="14.1" customHeight="1">
      <c r="A177" s="89">
        <f t="shared" si="24"/>
        <v>46227</v>
      </c>
      <c r="B177" s="70">
        <f>'CHICLETS MASTER S2'!X30</f>
        <v>0.36111111111111099</v>
      </c>
      <c r="C177" s="71" t="s">
        <v>218</v>
      </c>
      <c r="D177" s="71" t="str">
        <f t="shared" si="25"/>
        <v>ANAHEIM HS</v>
      </c>
      <c r="E177" s="71">
        <v>72</v>
      </c>
      <c r="F177" s="91" t="str">
        <f>D108</f>
        <v>bz_O2(L58)-CHARGERS BLACK</v>
      </c>
      <c r="G177" s="92">
        <v>8</v>
      </c>
      <c r="H177" s="91" t="str">
        <f>D109</f>
        <v>bz_O3(L56)-FARALLON</v>
      </c>
      <c r="I177" s="92">
        <v>11</v>
      </c>
      <c r="J177" s="91"/>
      <c r="K177" s="91"/>
      <c r="L177" s="91" t="str">
        <f t="shared" si="26"/>
        <v>18BX-072</v>
      </c>
      <c r="O177" s="62" t="str">
        <f t="shared" si="27"/>
        <v>bz_Group</v>
      </c>
    </row>
    <row r="178" spans="1:15" ht="14.1" customHeight="1">
      <c r="A178" s="89">
        <f t="shared" si="24"/>
        <v>46227</v>
      </c>
      <c r="B178" s="70">
        <f>'CHICLETS MASTER S2'!X31</f>
        <v>0.39583333333333398</v>
      </c>
      <c r="C178" s="71" t="s">
        <v>218</v>
      </c>
      <c r="D178" s="71" t="str">
        <f t="shared" si="25"/>
        <v>ANAHEIM HS</v>
      </c>
      <c r="E178" s="71">
        <v>76</v>
      </c>
      <c r="F178" s="91" t="str">
        <f>E108</f>
        <v>bz_P2(L54)-ALBUQUERQUE</v>
      </c>
      <c r="G178" s="92">
        <v>9</v>
      </c>
      <c r="H178" s="91" t="str">
        <f>E109</f>
        <v>bz_P3(L60)-MESA</v>
      </c>
      <c r="I178" s="92">
        <v>6</v>
      </c>
      <c r="J178" s="91"/>
      <c r="K178" s="91"/>
      <c r="L178" s="91" t="str">
        <f t="shared" si="26"/>
        <v>18BX-076</v>
      </c>
      <c r="O178" s="62" t="str">
        <f t="shared" si="27"/>
        <v>bz_Group</v>
      </c>
    </row>
    <row r="179" spans="1:15" ht="14.1" customHeight="1">
      <c r="A179" s="89">
        <f t="shared" si="24"/>
        <v>46227</v>
      </c>
      <c r="B179" s="70">
        <f>'CHICLETS MASTER S2'!X32</f>
        <v>0.43055555555555602</v>
      </c>
      <c r="C179" s="71" t="s">
        <v>218</v>
      </c>
      <c r="D179" s="71" t="str">
        <f t="shared" si="25"/>
        <v>ANAHEIM HS</v>
      </c>
      <c r="E179" s="71">
        <v>80</v>
      </c>
      <c r="F179" s="91" t="str">
        <f>E112</f>
        <v>bz_U1(L31)-NEWBERG</v>
      </c>
      <c r="G179" s="92">
        <v>8</v>
      </c>
      <c r="H179" s="91" t="str">
        <f>E114</f>
        <v>bz_U3(L37)-ELMHURST</v>
      </c>
      <c r="I179" s="92">
        <v>5</v>
      </c>
      <c r="J179" s="91"/>
      <c r="K179" s="91"/>
      <c r="L179" s="91" t="str">
        <f t="shared" si="26"/>
        <v>18BX-080</v>
      </c>
      <c r="O179" s="62" t="str">
        <f t="shared" si="27"/>
        <v>bz_Group</v>
      </c>
    </row>
    <row r="180" spans="1:15" ht="14.1" customHeight="1">
      <c r="A180" s="89">
        <f t="shared" si="24"/>
        <v>46227</v>
      </c>
      <c r="B180" s="70">
        <f>'CHICLETS MASTER S2'!X33</f>
        <v>0.46527777777777801</v>
      </c>
      <c r="C180" s="71" t="s">
        <v>218</v>
      </c>
      <c r="D180" s="71" t="str">
        <f t="shared" si="25"/>
        <v>ANAHEIM HS</v>
      </c>
      <c r="E180" s="71">
        <v>84</v>
      </c>
      <c r="F180" s="91" t="str">
        <f>D112</f>
        <v>bz_T1(L32)-TOPAZ TSUNAMI</v>
      </c>
      <c r="G180" s="92">
        <v>7</v>
      </c>
      <c r="H180" s="91" t="str">
        <f>D114</f>
        <v>bz_T3(L45)-NORCO</v>
      </c>
      <c r="I180" s="92">
        <v>1</v>
      </c>
      <c r="J180" s="91"/>
      <c r="K180" s="91"/>
      <c r="L180" s="91" t="str">
        <f t="shared" si="26"/>
        <v>18BX-084</v>
      </c>
      <c r="O180" s="62" t="str">
        <f t="shared" si="27"/>
        <v>bz_Group</v>
      </c>
    </row>
    <row r="181" spans="1:15" ht="14.1" customHeight="1">
      <c r="A181" s="89">
        <f t="shared" si="24"/>
        <v>46227</v>
      </c>
      <c r="B181" s="70">
        <f>'CHICLETS MASTER S2'!X34</f>
        <v>0.5</v>
      </c>
      <c r="C181" s="71" t="s">
        <v>218</v>
      </c>
      <c r="D181" s="71" t="str">
        <f t="shared" si="25"/>
        <v>ANAHEIM HS</v>
      </c>
      <c r="E181" s="71">
        <v>88</v>
      </c>
      <c r="F181" s="91" t="str">
        <f>D107</f>
        <v>bz_O1(L49)-ALAMEDA</v>
      </c>
      <c r="G181" s="92">
        <v>12</v>
      </c>
      <c r="H181" s="91" t="str">
        <f>D109</f>
        <v>bz_O3(L56)-FARALLON</v>
      </c>
      <c r="I181" s="92">
        <v>7</v>
      </c>
      <c r="J181" s="91"/>
      <c r="K181" s="91"/>
      <c r="L181" s="91" t="str">
        <f t="shared" si="26"/>
        <v>18BX-088</v>
      </c>
      <c r="O181" s="62" t="str">
        <f t="shared" si="27"/>
        <v>bz_Group</v>
      </c>
    </row>
    <row r="182" spans="1:15" ht="14.1" customHeight="1">
      <c r="A182" s="89">
        <f t="shared" si="24"/>
        <v>46227</v>
      </c>
      <c r="B182" s="70">
        <f>'CHICLETS MASTER S2'!X35</f>
        <v>0.53472222222222199</v>
      </c>
      <c r="C182" s="71" t="s">
        <v>218</v>
      </c>
      <c r="D182" s="71" t="str">
        <f t="shared" si="25"/>
        <v>ANAHEIM HS</v>
      </c>
      <c r="E182" s="71">
        <v>92</v>
      </c>
      <c r="F182" s="91" t="str">
        <f>E107</f>
        <v>bz_P1(L50)-CHULA VISTA PREMIER</v>
      </c>
      <c r="G182" s="92">
        <v>13</v>
      </c>
      <c r="H182" s="91" t="str">
        <f>E109</f>
        <v>bz_P3(L60)-MESA</v>
      </c>
      <c r="I182" s="92">
        <v>1</v>
      </c>
      <c r="J182" s="91"/>
      <c r="K182" s="91"/>
      <c r="L182" s="91" t="str">
        <f t="shared" si="26"/>
        <v>18BX-092</v>
      </c>
      <c r="O182" s="62" t="str">
        <f t="shared" si="27"/>
        <v>bz_Group</v>
      </c>
    </row>
    <row r="183" spans="1:15" ht="14.1" customHeight="1">
      <c r="A183" s="89">
        <f t="shared" si="24"/>
        <v>46227</v>
      </c>
      <c r="B183" s="70">
        <f>'CHICLETS MASTER S2'!X36</f>
        <v>0.56944444444444497</v>
      </c>
      <c r="C183" s="71" t="s">
        <v>218</v>
      </c>
      <c r="D183" s="71" t="str">
        <f t="shared" si="25"/>
        <v>ANAHEIM HS</v>
      </c>
      <c r="E183" s="71">
        <v>96</v>
      </c>
      <c r="F183" s="91" t="str">
        <f>E113</f>
        <v>bz_U2(L47)-WCAC UNITED B</v>
      </c>
      <c r="G183" s="92">
        <v>9</v>
      </c>
      <c r="H183" s="91" t="str">
        <f>E114</f>
        <v>bz_U3(L37)-ELMHURST</v>
      </c>
      <c r="I183" s="92">
        <v>14</v>
      </c>
      <c r="J183" s="91"/>
      <c r="K183" s="91"/>
      <c r="L183" s="91" t="str">
        <f t="shared" si="26"/>
        <v>18BX-096</v>
      </c>
      <c r="O183" s="62" t="str">
        <f t="shared" si="27"/>
        <v>bz_Group</v>
      </c>
    </row>
    <row r="184" spans="1:15" ht="14.1" customHeight="1">
      <c r="A184" s="89">
        <f t="shared" si="24"/>
        <v>46227</v>
      </c>
      <c r="B184" s="70">
        <f>'CHICLETS MASTER S2'!X37</f>
        <v>0.60416666666666696</v>
      </c>
      <c r="C184" s="71" t="s">
        <v>218</v>
      </c>
      <c r="D184" s="71" t="str">
        <f t="shared" si="25"/>
        <v>ANAHEIM HS</v>
      </c>
      <c r="E184" s="71">
        <v>100</v>
      </c>
      <c r="F184" s="91" t="str">
        <f>D113</f>
        <v>bz_T2(L39)-THIRD COAST</v>
      </c>
      <c r="G184" s="92">
        <v>9</v>
      </c>
      <c r="H184" s="91" t="str">
        <f>D114</f>
        <v>bz_T3(L45)-NORCO</v>
      </c>
      <c r="I184" s="92">
        <v>7</v>
      </c>
      <c r="J184" s="91"/>
      <c r="K184" s="91"/>
      <c r="L184" s="91" t="str">
        <f t="shared" si="26"/>
        <v>18BX-100</v>
      </c>
      <c r="O184" s="62" t="str">
        <f t="shared" si="27"/>
        <v>bz_Group</v>
      </c>
    </row>
    <row r="185" spans="1:15" ht="14.1" customHeight="1">
      <c r="A185" s="89">
        <f t="shared" si="24"/>
        <v>46227</v>
      </c>
      <c r="B185" s="70">
        <f>'CHICLETS MASTER S2'!X38</f>
        <v>0.63888888888888895</v>
      </c>
      <c r="C185" s="71" t="s">
        <v>218</v>
      </c>
      <c r="D185" s="71" t="str">
        <f t="shared" si="25"/>
        <v>ANAHEIM HS</v>
      </c>
      <c r="E185" s="71">
        <v>104</v>
      </c>
      <c r="F185" s="91" t="str">
        <f>D107</f>
        <v>bz_O1(L49)-ALAMEDA</v>
      </c>
      <c r="G185" s="92">
        <v>12</v>
      </c>
      <c r="H185" s="91" t="str">
        <f>D108</f>
        <v>bz_O2(L58)-CHARGERS BLACK</v>
      </c>
      <c r="I185" s="92">
        <v>10</v>
      </c>
      <c r="J185" s="91"/>
      <c r="K185" s="91"/>
      <c r="L185" s="91" t="str">
        <f t="shared" si="26"/>
        <v>18BX-104</v>
      </c>
      <c r="O185" s="62" t="str">
        <f t="shared" si="27"/>
        <v>bz_Group</v>
      </c>
    </row>
    <row r="186" spans="1:15" ht="14.1" customHeight="1">
      <c r="A186" s="89">
        <f t="shared" si="24"/>
        <v>46227</v>
      </c>
      <c r="B186" s="70">
        <f>'CHICLETS MASTER S2'!X39</f>
        <v>0.67361111111111105</v>
      </c>
      <c r="C186" s="71" t="s">
        <v>218</v>
      </c>
      <c r="D186" s="71" t="str">
        <f t="shared" si="25"/>
        <v>ANAHEIM HS</v>
      </c>
      <c r="E186" s="71">
        <v>108</v>
      </c>
      <c r="F186" s="91" t="str">
        <f>E107</f>
        <v>bz_P1(L50)-CHULA VISTA PREMIER</v>
      </c>
      <c r="G186" s="92">
        <v>17</v>
      </c>
      <c r="H186" s="91" t="str">
        <f>E108</f>
        <v>bz_P2(L54)-ALBUQUERQUE</v>
      </c>
      <c r="I186" s="92">
        <v>7</v>
      </c>
      <c r="J186" s="91"/>
      <c r="K186" s="91"/>
      <c r="L186" s="91" t="str">
        <f t="shared" si="26"/>
        <v>18BX-108</v>
      </c>
      <c r="O186" s="62" t="str">
        <f t="shared" si="27"/>
        <v>bz_Group</v>
      </c>
    </row>
    <row r="187" spans="1:15" ht="14.1" customHeight="1">
      <c r="A187" s="75"/>
      <c r="B187" s="60" t="s">
        <v>139</v>
      </c>
      <c r="C187" s="60"/>
      <c r="D187" s="60"/>
      <c r="E187" s="60"/>
      <c r="F187" s="60"/>
      <c r="G187" s="64"/>
      <c r="H187" s="60"/>
      <c r="I187" s="60"/>
      <c r="J187" s="60"/>
      <c r="K187" s="60"/>
      <c r="L187" s="60"/>
    </row>
    <row r="188" spans="1:15" ht="14.1" customHeight="1">
      <c r="A188" s="75"/>
      <c r="B188" s="60" t="s">
        <v>139</v>
      </c>
      <c r="C188" s="60"/>
      <c r="D188" s="60"/>
      <c r="E188" s="60"/>
      <c r="F188" s="60"/>
      <c r="G188" s="64"/>
      <c r="H188" s="60"/>
      <c r="I188" s="60"/>
      <c r="J188" s="60"/>
      <c r="K188" s="60"/>
      <c r="L188" s="60"/>
    </row>
    <row r="189" spans="1:15" ht="14.1" customHeight="1">
      <c r="A189" s="89">
        <f>$A$93</f>
        <v>46227</v>
      </c>
      <c r="B189" s="70">
        <f>'CHICLETS MASTER S2'!X42</f>
        <v>0.77777777777777801</v>
      </c>
      <c r="C189" s="71" t="s">
        <v>219</v>
      </c>
      <c r="D189" s="71" t="str">
        <f>$D$173</f>
        <v>ANAHEIM HS</v>
      </c>
      <c r="E189" s="71">
        <v>112</v>
      </c>
      <c r="F189" s="91" t="s">
        <v>1509</v>
      </c>
      <c r="G189" s="92">
        <v>7</v>
      </c>
      <c r="H189" s="91" t="s">
        <v>1510</v>
      </c>
      <c r="I189" s="92">
        <v>6</v>
      </c>
      <c r="J189" s="91">
        <v>119</v>
      </c>
      <c r="K189" s="91">
        <v>140</v>
      </c>
      <c r="L189" s="91" t="str">
        <f>IF(E189="","",$L$15&amp;"-"&amp;TEXT(E189,"000"))</f>
        <v>18BX-112</v>
      </c>
      <c r="O189" s="62" t="str">
        <f>$L$255&amp;C189</f>
        <v>bz_Play-in</v>
      </c>
    </row>
    <row r="190" spans="1:15" ht="14.1" customHeight="1">
      <c r="A190" s="89">
        <f>$A$93</f>
        <v>46227</v>
      </c>
      <c r="B190" s="70">
        <f>'CHICLETS MASTER S2'!X43</f>
        <v>0.8125</v>
      </c>
      <c r="C190" s="71" t="s">
        <v>219</v>
      </c>
      <c r="D190" s="71" t="str">
        <f>$D$173</f>
        <v>ANAHEIM HS</v>
      </c>
      <c r="E190" s="71">
        <v>116</v>
      </c>
      <c r="F190" s="91" t="s">
        <v>1511</v>
      </c>
      <c r="G190" s="92">
        <v>7</v>
      </c>
      <c r="H190" s="91" t="s">
        <v>1512</v>
      </c>
      <c r="I190" s="92">
        <v>11</v>
      </c>
      <c r="J190" s="91">
        <v>127</v>
      </c>
      <c r="K190" s="91">
        <v>132</v>
      </c>
      <c r="L190" s="91" t="str">
        <f>IF(E190="","",$L$15&amp;"-"&amp;TEXT(E190,"000"))</f>
        <v>18BX-116</v>
      </c>
      <c r="O190" s="62" t="str">
        <f>$L$255&amp;C190</f>
        <v>bz_Play-in</v>
      </c>
    </row>
    <row r="191" spans="1:15" ht="14.1" customHeight="1" thickBot="1">
      <c r="F191" s="62" t="s">
        <v>418</v>
      </c>
      <c r="H191" s="62" t="s">
        <v>418</v>
      </c>
    </row>
    <row r="192" spans="1:15" ht="14.1" customHeight="1" thickTop="1" thickBot="1">
      <c r="A192" s="68" t="s">
        <v>236</v>
      </c>
      <c r="B192" s="82"/>
      <c r="C192" s="82"/>
      <c r="D192" s="82"/>
      <c r="E192" s="82"/>
      <c r="F192" s="82"/>
      <c r="G192" s="83"/>
      <c r="H192" s="82"/>
      <c r="I192" s="82"/>
      <c r="J192" s="82"/>
      <c r="K192" s="82"/>
      <c r="L192" s="82"/>
    </row>
    <row r="193" spans="1:15" ht="14.1" customHeight="1" thickBot="1">
      <c r="A193" s="61">
        <v>46228</v>
      </c>
      <c r="G193" s="62"/>
    </row>
    <row r="194" spans="1:15" ht="14.1" customHeight="1" thickBot="1">
      <c r="D194" s="68" t="str">
        <f>'CHICLETS MASTER S2'!$AZ$51</f>
        <v>LA HABRA HS</v>
      </c>
      <c r="G194" s="62"/>
    </row>
    <row r="195" spans="1:15" ht="14.1" customHeight="1">
      <c r="A195" s="144" t="s">
        <v>124</v>
      </c>
      <c r="B195" s="145" t="s">
        <v>125</v>
      </c>
      <c r="C195" s="145" t="s">
        <v>126</v>
      </c>
      <c r="D195" s="145" t="s">
        <v>127</v>
      </c>
      <c r="E195" s="145" t="s">
        <v>128</v>
      </c>
      <c r="F195" s="145" t="s">
        <v>129</v>
      </c>
      <c r="G195" s="145" t="s">
        <v>130</v>
      </c>
      <c r="H195" s="145" t="s">
        <v>131</v>
      </c>
      <c r="I195" s="145" t="s">
        <v>130</v>
      </c>
      <c r="J195" s="145" t="s">
        <v>132</v>
      </c>
      <c r="K195" s="145" t="s">
        <v>133</v>
      </c>
      <c r="L195" s="145" t="s">
        <v>134</v>
      </c>
    </row>
    <row r="196" spans="1:15" ht="14.1" customHeight="1">
      <c r="A196" s="69">
        <f t="shared" ref="A196:A207" si="28">$A$193</f>
        <v>46228</v>
      </c>
      <c r="B196" s="70">
        <f>'CHICLETS MASTER S2'!X53</f>
        <v>0.33333333333333331</v>
      </c>
      <c r="C196" s="71" t="s">
        <v>237</v>
      </c>
      <c r="D196" s="71" t="str">
        <f t="shared" ref="D196:D207" si="29">$D$194</f>
        <v>LA HABRA HS</v>
      </c>
      <c r="E196" s="71">
        <v>117</v>
      </c>
      <c r="F196" s="90" t="s">
        <v>1513</v>
      </c>
      <c r="G196" s="90">
        <v>11</v>
      </c>
      <c r="H196" s="90" t="str">
        <f>IF(G151="","W110",IF(G151&gt;I151,_xlfn.CONCAT("W110-",RIGHT(F151,LEN(F151) - FIND("-",F151))), _xlfn.CONCAT("W110-",RIGHT(H151,LEN(H151) - FIND("-",H151)))))</f>
        <v>W110-CHAWP WHITE</v>
      </c>
      <c r="I196" s="90">
        <v>9</v>
      </c>
      <c r="J196" s="90">
        <v>141</v>
      </c>
      <c r="K196" s="90">
        <v>149</v>
      </c>
      <c r="L196" s="90" t="str">
        <f t="shared" ref="L196:L207" si="30">IF(E196="","",$L$15&amp;"-"&amp;TEXT(E196,"000"))</f>
        <v>18BX-117</v>
      </c>
      <c r="O196" s="62" t="str">
        <f t="shared" ref="O196:O207" si="31">$K$255&amp;C196</f>
        <v>ag_5-8 v 9-12</v>
      </c>
    </row>
    <row r="197" spans="1:15" ht="14.1" customHeight="1">
      <c r="A197" s="69">
        <f t="shared" si="28"/>
        <v>46228</v>
      </c>
      <c r="B197" s="70">
        <f>'CHICLETS MASTER S2'!X54</f>
        <v>0.375</v>
      </c>
      <c r="C197" s="71" t="s">
        <v>237</v>
      </c>
      <c r="D197" s="71" t="str">
        <f t="shared" si="29"/>
        <v>LA HABRA HS</v>
      </c>
      <c r="E197" s="71">
        <v>121</v>
      </c>
      <c r="F197" s="90" t="s">
        <v>1514</v>
      </c>
      <c r="G197" s="90">
        <v>7.3</v>
      </c>
      <c r="H197" s="90" t="str">
        <f>IF(G133="","W113",IF(G133&gt;I133,_xlfn.CONCAT("W113-",RIGHT(F133,LEN(F133) - FIND("-",F133))), _xlfn.CONCAT("W113-",RIGHT(H133,LEN(H133) - FIND("-",H133)))))</f>
        <v>W113-COMMERCE</v>
      </c>
      <c r="I197" s="97">
        <v>7.1</v>
      </c>
      <c r="J197" s="90">
        <v>141</v>
      </c>
      <c r="K197" s="90">
        <v>149</v>
      </c>
      <c r="L197" s="90" t="str">
        <f t="shared" si="30"/>
        <v>18BX-121</v>
      </c>
      <c r="O197" s="62" t="str">
        <f t="shared" si="31"/>
        <v>ag_5-8 v 9-12</v>
      </c>
    </row>
    <row r="198" spans="1:15" ht="14.1" customHeight="1">
      <c r="A198" s="69">
        <f t="shared" si="28"/>
        <v>46228</v>
      </c>
      <c r="B198" s="70">
        <f>'CHICLETS MASTER S2'!X55</f>
        <v>0.41666666666666702</v>
      </c>
      <c r="C198" s="71" t="s">
        <v>237</v>
      </c>
      <c r="D198" s="71" t="str">
        <f t="shared" si="29"/>
        <v>LA HABRA HS</v>
      </c>
      <c r="E198" s="71">
        <v>125</v>
      </c>
      <c r="F198" s="90" t="s">
        <v>1515</v>
      </c>
      <c r="G198" s="90">
        <v>7</v>
      </c>
      <c r="H198" s="90" t="str">
        <f>IF(G152="","W114",IF(G152&gt;I152,_xlfn.CONCAT("W114-",RIGHT(F152,LEN(F152) - FIND("-",F152))), _xlfn.CONCAT("W114-",RIGHT(H152,LEN(H152) - FIND("-",H152)))))</f>
        <v>W114-CARLSBAD</v>
      </c>
      <c r="I198" s="90">
        <v>4</v>
      </c>
      <c r="J198" s="90">
        <v>145</v>
      </c>
      <c r="K198" s="90">
        <v>153</v>
      </c>
      <c r="L198" s="90" t="str">
        <f t="shared" si="30"/>
        <v>18BX-125</v>
      </c>
      <c r="O198" s="62" t="str">
        <f t="shared" si="31"/>
        <v>ag_5-8 v 9-12</v>
      </c>
    </row>
    <row r="199" spans="1:15" ht="14.1" customHeight="1">
      <c r="A199" s="69">
        <f t="shared" si="28"/>
        <v>46228</v>
      </c>
      <c r="B199" s="70">
        <f>'CHICLETS MASTER S2'!X56</f>
        <v>0.45833333333333298</v>
      </c>
      <c r="C199" s="71" t="s">
        <v>237</v>
      </c>
      <c r="D199" s="71" t="str">
        <f t="shared" si="29"/>
        <v>LA HABRA HS</v>
      </c>
      <c r="E199" s="71">
        <v>129</v>
      </c>
      <c r="F199" s="90" t="s">
        <v>1516</v>
      </c>
      <c r="G199" s="90">
        <v>13</v>
      </c>
      <c r="H199" s="90" t="str">
        <f>IF(G132="","W109",IF(G132&gt;I132,_xlfn.CONCAT("W109-",RIGHT(F132,LEN(F132) - FIND("-",F132))), _xlfn.CONCAT("W109-",RIGHT(H132,LEN(H132) - FIND("-",H132)))))</f>
        <v>W109-CLOVIS RED</v>
      </c>
      <c r="I199" s="90">
        <v>12</v>
      </c>
      <c r="J199" s="90">
        <v>145</v>
      </c>
      <c r="K199" s="90">
        <v>153</v>
      </c>
      <c r="L199" s="90" t="str">
        <f t="shared" si="30"/>
        <v>18BX-129</v>
      </c>
      <c r="O199" s="62" t="str">
        <f t="shared" si="31"/>
        <v>ag_5-8 v 9-12</v>
      </c>
    </row>
    <row r="200" spans="1:15" ht="14.1" customHeight="1">
      <c r="A200" s="69">
        <f t="shared" si="28"/>
        <v>46228</v>
      </c>
      <c r="B200" s="70">
        <f>'CHICLETS MASTER S2'!X57</f>
        <v>0.5</v>
      </c>
      <c r="C200" s="71" t="s">
        <v>242</v>
      </c>
      <c r="D200" s="71" t="str">
        <f t="shared" si="29"/>
        <v>LA HABRA HS</v>
      </c>
      <c r="E200" s="71">
        <v>133</v>
      </c>
      <c r="F200" s="90" t="s">
        <v>1517</v>
      </c>
      <c r="G200" s="90">
        <v>18</v>
      </c>
      <c r="H200" s="90" t="s">
        <v>1518</v>
      </c>
      <c r="I200" s="90">
        <v>12</v>
      </c>
      <c r="J200" s="90">
        <v>174</v>
      </c>
      <c r="K200" s="90">
        <v>157</v>
      </c>
      <c r="L200" s="90" t="str">
        <f t="shared" si="30"/>
        <v>18BX-133</v>
      </c>
      <c r="O200" s="62" t="str">
        <f t="shared" si="31"/>
        <v>ag_1-2 v 3-4</v>
      </c>
    </row>
    <row r="201" spans="1:15" ht="14.1" customHeight="1">
      <c r="A201" s="69">
        <f t="shared" si="28"/>
        <v>46228</v>
      </c>
      <c r="B201" s="70">
        <f>'CHICLETS MASTER S2'!X58</f>
        <v>0.54166666666666696</v>
      </c>
      <c r="C201" s="71" t="s">
        <v>242</v>
      </c>
      <c r="D201" s="71" t="str">
        <f t="shared" si="29"/>
        <v>LA HABRA HS</v>
      </c>
      <c r="E201" s="71">
        <v>137</v>
      </c>
      <c r="F201" s="90" t="s">
        <v>1519</v>
      </c>
      <c r="G201" s="93">
        <v>11</v>
      </c>
      <c r="H201" s="90" t="s">
        <v>1520</v>
      </c>
      <c r="I201" s="90">
        <v>8</v>
      </c>
      <c r="J201" s="90">
        <v>173</v>
      </c>
      <c r="K201" s="90">
        <v>161</v>
      </c>
      <c r="L201" s="90" t="str">
        <f t="shared" si="30"/>
        <v>18BX-137</v>
      </c>
      <c r="O201" s="62" t="str">
        <f t="shared" si="31"/>
        <v>ag_1-2 v 3-4</v>
      </c>
    </row>
    <row r="202" spans="1:15" ht="14.1" customHeight="1">
      <c r="A202" s="69">
        <f t="shared" si="28"/>
        <v>46228</v>
      </c>
      <c r="B202" s="70">
        <f>'CHICLETS MASTER S2'!X59</f>
        <v>0.58333333333333304</v>
      </c>
      <c r="C202" s="71" t="s">
        <v>247</v>
      </c>
      <c r="D202" s="71" t="str">
        <f t="shared" si="29"/>
        <v>LA HABRA HS</v>
      </c>
      <c r="E202" s="71">
        <v>141</v>
      </c>
      <c r="F202" s="90" t="str">
        <f>IF(G196="","W117",IF(G196&gt;I196,_xlfn.CONCAT("W117-",RIGHT(F196,LEN(F196) - FIND("-",F196))), _xlfn.CONCAT("W117-",RIGHT(H196,LEN(H196) - FIND("-",H196)))))</f>
        <v>W117-SOUTH COAST RED</v>
      </c>
      <c r="G202" s="90">
        <v>8.1999999999999993</v>
      </c>
      <c r="H202" s="90" t="str">
        <f>IF(G197="","W121",IF(G197&gt;I197,_xlfn.CONCAT("W121-",RIGHT(F197,LEN(F197) - FIND("-",F197))), _xlfn.CONCAT("W121-",RIGHT(H197,LEN(H197) - FIND("-",H197)))))</f>
        <v>W121-SUPREME</v>
      </c>
      <c r="I202" s="90">
        <v>8.4</v>
      </c>
      <c r="J202" s="90">
        <v>157</v>
      </c>
      <c r="K202" s="90">
        <v>185</v>
      </c>
      <c r="L202" s="90" t="str">
        <f t="shared" si="30"/>
        <v>18BX-141</v>
      </c>
      <c r="O202" s="62" t="str">
        <f t="shared" si="31"/>
        <v>ag_5-6 v 7-8</v>
      </c>
    </row>
    <row r="203" spans="1:15" ht="14.1" customHeight="1">
      <c r="A203" s="69">
        <f t="shared" si="28"/>
        <v>46228</v>
      </c>
      <c r="B203" s="70">
        <f>'CHICLETS MASTER S2'!X60</f>
        <v>0.625</v>
      </c>
      <c r="C203" s="71" t="s">
        <v>247</v>
      </c>
      <c r="D203" s="71" t="str">
        <f t="shared" si="29"/>
        <v>LA HABRA HS</v>
      </c>
      <c r="E203" s="71">
        <v>145</v>
      </c>
      <c r="F203" s="90" t="str">
        <f>IF(G198="","W125",IF(G198&gt;I198,_xlfn.CONCAT("W125-",RIGHT(F198,LEN(F198) - FIND("-",F198))), _xlfn.CONCAT("W125-",RIGHT(H198,LEN(H198) - FIND("-",H198)))))</f>
        <v>W125-SANTA CRUZ</v>
      </c>
      <c r="G203" s="90">
        <v>9</v>
      </c>
      <c r="H203" s="90" t="str">
        <f>IF(G199="","W129",IF(G199&gt;I199,_xlfn.CONCAT("W129-",RIGHT(F199,LEN(F199) - FIND("-",F199))), _xlfn.CONCAT("W129-",RIGHT(H199,LEN(H199) - FIND("-",H199)))))</f>
        <v>W129-SD SHORES GOLD</v>
      </c>
      <c r="I203" s="90">
        <v>5</v>
      </c>
      <c r="J203" s="90">
        <v>161</v>
      </c>
      <c r="K203" s="90">
        <v>185</v>
      </c>
      <c r="L203" s="90" t="str">
        <f t="shared" si="30"/>
        <v>18BX-145</v>
      </c>
      <c r="O203" s="62" t="str">
        <f t="shared" si="31"/>
        <v>ag_5-6 v 7-8</v>
      </c>
    </row>
    <row r="204" spans="1:15" ht="14.1" customHeight="1">
      <c r="A204" s="69">
        <f t="shared" si="28"/>
        <v>46228</v>
      </c>
      <c r="B204" s="70">
        <f>'CHICLETS MASTER S2'!X61</f>
        <v>0.66666666666666696</v>
      </c>
      <c r="C204" s="71" t="s">
        <v>248</v>
      </c>
      <c r="D204" s="71" t="str">
        <f t="shared" si="29"/>
        <v>LA HABRA HS</v>
      </c>
      <c r="E204" s="71">
        <v>149</v>
      </c>
      <c r="F204" s="90" t="str">
        <f>IF(G197="","L121",IF(G197&lt;I197,_xlfn.CONCAT("L121-",RIGHT(F197,LEN(F197) - FIND("-",F197))), _xlfn.CONCAT("L121-",RIGHT(H197,LEN(H197) - FIND("-",H197)))))</f>
        <v>L121-COMMERCE</v>
      </c>
      <c r="G204" s="90">
        <v>8</v>
      </c>
      <c r="H204" s="90" t="str">
        <f>IF(G196="","L117",IF(G196&lt;I196,_xlfn.CONCAT("L117-",RIGHT(F196,LEN(F196) - FIND("-",F196))), _xlfn.CONCAT("L117-",RIGHT(H196,LEN(H196) - FIND("-",H196)))))</f>
        <v>L117-CHAWP WHITE</v>
      </c>
      <c r="I204" s="90">
        <v>16</v>
      </c>
      <c r="J204" s="90">
        <v>182</v>
      </c>
      <c r="K204" s="90">
        <v>181</v>
      </c>
      <c r="L204" s="90" t="str">
        <f t="shared" si="30"/>
        <v>18BX-149</v>
      </c>
      <c r="O204" s="62" t="str">
        <f t="shared" si="31"/>
        <v>ag_9-12 semi</v>
      </c>
    </row>
    <row r="205" spans="1:15" ht="14.1" customHeight="1">
      <c r="A205" s="69">
        <f t="shared" si="28"/>
        <v>46228</v>
      </c>
      <c r="B205" s="70">
        <f>'CHICLETS MASTER S2'!X62</f>
        <v>0.70833333333333304</v>
      </c>
      <c r="C205" s="71" t="s">
        <v>248</v>
      </c>
      <c r="D205" s="71" t="str">
        <f t="shared" si="29"/>
        <v>LA HABRA HS</v>
      </c>
      <c r="E205" s="71">
        <v>153</v>
      </c>
      <c r="F205" s="90" t="str">
        <f>IF(G199="","L129",IF(G199&lt;I199,_xlfn.CONCAT("L129-",RIGHT(F199,LEN(F199) - FIND("-",F199))), _xlfn.CONCAT("L129-",RIGHT(H199,LEN(H199) - FIND("-",H199)))))</f>
        <v>L129-CLOVIS RED</v>
      </c>
      <c r="G205" s="90">
        <v>7</v>
      </c>
      <c r="H205" s="90" t="str">
        <f>IF(G198="","L125",IF(G198&lt;I198,_xlfn.CONCAT("L125-",RIGHT(F198,LEN(F198) - FIND("-",F198))), _xlfn.CONCAT("L125-",RIGHT(H198,LEN(H198) - FIND("-",H198)))))</f>
        <v>L125-CARLSBAD</v>
      </c>
      <c r="I205" s="90">
        <v>12</v>
      </c>
      <c r="J205" s="90">
        <v>182</v>
      </c>
      <c r="K205" s="90">
        <v>181</v>
      </c>
      <c r="L205" s="90" t="str">
        <f t="shared" si="30"/>
        <v>18BX-153</v>
      </c>
      <c r="O205" s="62" t="str">
        <f t="shared" si="31"/>
        <v>ag_9-12 semi</v>
      </c>
    </row>
    <row r="206" spans="1:15" ht="14.1" customHeight="1">
      <c r="A206" s="69">
        <f t="shared" si="28"/>
        <v>46228</v>
      </c>
      <c r="B206" s="70">
        <f>'CHICLETS MASTER S2'!X63</f>
        <v>0.75</v>
      </c>
      <c r="C206" s="71" t="s">
        <v>439</v>
      </c>
      <c r="D206" s="71" t="str">
        <f t="shared" si="29"/>
        <v>LA HABRA HS</v>
      </c>
      <c r="E206" s="71">
        <v>157</v>
      </c>
      <c r="F206" s="90" t="str">
        <f>IF(G200="","L133",IF(G200&lt;I200,_xlfn.CONCAT("L133-",RIGHT(F200,LEN(F200) - FIND("-",F200))), _xlfn.CONCAT("L133-",RIGHT(H200,LEN(H200) - FIND("-",H200)))))</f>
        <v>L133-SET</v>
      </c>
      <c r="G206" s="90">
        <v>12.8</v>
      </c>
      <c r="H206" s="90" t="str">
        <f>IF(G202="","W141",IF(G202&gt;I202,_xlfn.CONCAT("W141-",RIGHT(F202,LEN(F202) - FIND("-",F202))), _xlfn.CONCAT("W141-",RIGHT(H202,LEN(H202) - FIND("-",H202)))))</f>
        <v>W141-SUPREME</v>
      </c>
      <c r="I206" s="90">
        <v>12.9</v>
      </c>
      <c r="J206" s="90">
        <v>173</v>
      </c>
      <c r="K206" s="90">
        <v>186</v>
      </c>
      <c r="L206" s="90" t="str">
        <f t="shared" si="30"/>
        <v>18BX-157</v>
      </c>
      <c r="O206" s="62" t="str">
        <f t="shared" si="31"/>
        <v>ag_play to semi</v>
      </c>
    </row>
    <row r="207" spans="1:15" ht="14.1" customHeight="1">
      <c r="A207" s="69">
        <f t="shared" si="28"/>
        <v>46228</v>
      </c>
      <c r="B207" s="70">
        <f>'CHICLETS MASTER S2'!X64</f>
        <v>0.79166666666666696</v>
      </c>
      <c r="C207" s="71" t="s">
        <v>439</v>
      </c>
      <c r="D207" s="71" t="str">
        <f t="shared" si="29"/>
        <v>LA HABRA HS</v>
      </c>
      <c r="E207" s="71">
        <v>161</v>
      </c>
      <c r="F207" s="90" t="str">
        <f>IF(G201="","L137",IF(G201&lt;I201,_xlfn.CONCAT("L137-",RIGHT(F201,LEN(F201) - FIND("-",F201))), _xlfn.CONCAT("L137-",RIGHT(H201,LEN(H201) - FIND("-",H201)))))</f>
        <v>L137-TSUNAMI</v>
      </c>
      <c r="G207" s="90">
        <v>7</v>
      </c>
      <c r="H207" s="90" t="str">
        <f>IF(G203="","W145",IF(G203&gt;I203,_xlfn.CONCAT("W145-",RIGHT(F203,LEN(F203) - FIND("-",F203))), _xlfn.CONCAT("W145-",RIGHT(H203,LEN(H203) - FIND("-",H203)))))</f>
        <v>W145-SANTA CRUZ</v>
      </c>
      <c r="I207" s="90">
        <v>10</v>
      </c>
      <c r="J207" s="90">
        <v>174</v>
      </c>
      <c r="K207" s="90">
        <v>186</v>
      </c>
      <c r="L207" s="90" t="str">
        <f t="shared" si="30"/>
        <v>18BX-161</v>
      </c>
      <c r="O207" s="62" t="str">
        <f t="shared" si="31"/>
        <v>ag_play to semi</v>
      </c>
    </row>
    <row r="208" spans="1:15" ht="14.1" customHeight="1" thickBot="1">
      <c r="G208" s="62"/>
    </row>
    <row r="209" spans="1:15" ht="14.1" customHeight="1" thickBot="1">
      <c r="A209" s="78"/>
      <c r="B209" s="79"/>
      <c r="D209" s="68" t="str">
        <f>'CHICLETS MASTER S2'!$AE$51</f>
        <v>ORANGE COAST COLLEGE 1</v>
      </c>
      <c r="F209" s="62" t="s">
        <v>418</v>
      </c>
      <c r="G209" s="80" t="s">
        <v>418</v>
      </c>
      <c r="H209" s="62" t="s">
        <v>418</v>
      </c>
      <c r="I209" s="60"/>
      <c r="J209" s="60"/>
      <c r="K209" s="60"/>
      <c r="L209" s="60"/>
    </row>
    <row r="210" spans="1:15" ht="14.1" customHeight="1">
      <c r="A210" s="144" t="s">
        <v>124</v>
      </c>
      <c r="B210" s="145" t="s">
        <v>125</v>
      </c>
      <c r="C210" s="145" t="s">
        <v>126</v>
      </c>
      <c r="D210" s="145" t="s">
        <v>127</v>
      </c>
      <c r="E210" s="145" t="s">
        <v>128</v>
      </c>
      <c r="F210" s="145" t="s">
        <v>129</v>
      </c>
      <c r="G210" s="145" t="s">
        <v>130</v>
      </c>
      <c r="H210" s="145" t="s">
        <v>131</v>
      </c>
      <c r="I210" s="145" t="s">
        <v>130</v>
      </c>
      <c r="J210" s="145" t="s">
        <v>132</v>
      </c>
      <c r="K210" s="145" t="s">
        <v>133</v>
      </c>
      <c r="L210" s="145" t="s">
        <v>134</v>
      </c>
    </row>
    <row r="211" spans="1:15" ht="14.1" customHeight="1">
      <c r="A211" s="69">
        <f t="shared" ref="A211:A222" si="32">$A$193</f>
        <v>46228</v>
      </c>
      <c r="B211" s="70">
        <f>'CHICLETS MASTER S2'!X53</f>
        <v>0.33333333333333331</v>
      </c>
      <c r="C211" s="71" t="s">
        <v>249</v>
      </c>
      <c r="D211" s="71" t="str">
        <f t="shared" ref="D211:D222" si="33">$D$209</f>
        <v>ORANGE COAST COLLEGE 1</v>
      </c>
      <c r="E211" s="71">
        <v>118</v>
      </c>
      <c r="F211" s="90" t="s">
        <v>1521</v>
      </c>
      <c r="G211" s="90">
        <v>8</v>
      </c>
      <c r="H211" s="90" t="s">
        <v>1522</v>
      </c>
      <c r="I211" s="90">
        <v>12</v>
      </c>
      <c r="J211" s="90"/>
      <c r="K211" s="90"/>
      <c r="L211" s="90" t="str">
        <f t="shared" ref="L211:L222" si="34">IF(E211="","",$L$15&amp;"-"&amp;TEXT(E211,"000"))</f>
        <v>18BX-118</v>
      </c>
      <c r="O211" s="62" t="str">
        <f t="shared" ref="O211:O222" si="35">$K$255&amp;C211</f>
        <v>ag_21-24 RR</v>
      </c>
    </row>
    <row r="212" spans="1:15" ht="14.1" customHeight="1">
      <c r="A212" s="69">
        <f t="shared" si="32"/>
        <v>46228</v>
      </c>
      <c r="B212" s="70">
        <f>'CHICLETS MASTER S2'!X54</f>
        <v>0.375</v>
      </c>
      <c r="C212" s="71" t="s">
        <v>249</v>
      </c>
      <c r="D212" s="71" t="str">
        <f t="shared" si="33"/>
        <v>ORANGE COAST COLLEGE 1</v>
      </c>
      <c r="E212" s="71">
        <v>122</v>
      </c>
      <c r="F212" s="90" t="s">
        <v>1523</v>
      </c>
      <c r="G212" s="90">
        <v>7</v>
      </c>
      <c r="H212" s="90" t="s">
        <v>1524</v>
      </c>
      <c r="I212" s="90">
        <v>12</v>
      </c>
      <c r="J212" s="90"/>
      <c r="K212" s="90"/>
      <c r="L212" s="90" t="str">
        <f t="shared" si="34"/>
        <v>18BX-122</v>
      </c>
      <c r="O212" s="62" t="str">
        <f t="shared" si="35"/>
        <v>ag_21-24 RR</v>
      </c>
    </row>
    <row r="213" spans="1:15" ht="14.1" customHeight="1">
      <c r="A213" s="69">
        <f t="shared" si="32"/>
        <v>46228</v>
      </c>
      <c r="B213" s="70">
        <f>'CHICLETS MASTER S2'!X55</f>
        <v>0.41666666666666702</v>
      </c>
      <c r="C213" s="71" t="s">
        <v>254</v>
      </c>
      <c r="D213" s="71" t="str">
        <f t="shared" si="33"/>
        <v>ORANGE COAST COLLEGE 1</v>
      </c>
      <c r="E213" s="71">
        <v>126</v>
      </c>
      <c r="F213" s="90" t="str">
        <f>IF(G133="","L113",IF(G133&lt;I133,_xlfn.CONCAT("L113-",RIGHT(F133,LEN(F133) - FIND("-",F133))), _xlfn.CONCAT("L113-",RIGHT(H133,LEN(H133) - FIND("-",H133)))))</f>
        <v>L113-ROSE BOWL RED</v>
      </c>
      <c r="G213" s="90">
        <v>7</v>
      </c>
      <c r="H213" s="90" t="s">
        <v>1525</v>
      </c>
      <c r="I213" s="90">
        <v>11</v>
      </c>
      <c r="J213" s="90">
        <v>150</v>
      </c>
      <c r="K213" s="90">
        <v>154</v>
      </c>
      <c r="L213" s="90" t="str">
        <f t="shared" si="34"/>
        <v>18BX-126</v>
      </c>
      <c r="O213" s="62" t="str">
        <f t="shared" si="35"/>
        <v>ag_13-20 qtr</v>
      </c>
    </row>
    <row r="214" spans="1:15" ht="14.1" customHeight="1">
      <c r="A214" s="69">
        <f t="shared" si="32"/>
        <v>46228</v>
      </c>
      <c r="B214" s="70">
        <f>'CHICLETS MASTER S2'!X56</f>
        <v>0.45833333333333298</v>
      </c>
      <c r="C214" s="71" t="s">
        <v>254</v>
      </c>
      <c r="D214" s="71" t="str">
        <f t="shared" si="33"/>
        <v>ORANGE COAST COLLEGE 1</v>
      </c>
      <c r="E214" s="71">
        <v>130</v>
      </c>
      <c r="F214" s="90" t="str">
        <f>IF(G152="","L114",IF(G152&lt;I152,_xlfn.CONCAT("L114-",RIGHT(F152,LEN(F152) - FIND("-",F152))), _xlfn.CONCAT("L114-",RIGHT(H152,LEN(H152) - FIND("-",H152)))))</f>
        <v>L114-HIELAND</v>
      </c>
      <c r="G214" s="90">
        <v>8</v>
      </c>
      <c r="H214" s="332" t="s">
        <v>1526</v>
      </c>
      <c r="I214" s="90">
        <v>10</v>
      </c>
      <c r="J214" s="90">
        <v>150</v>
      </c>
      <c r="K214" s="90">
        <v>154</v>
      </c>
      <c r="L214" s="90" t="str">
        <f t="shared" si="34"/>
        <v>18BX-130</v>
      </c>
      <c r="O214" s="62" t="str">
        <f t="shared" si="35"/>
        <v>ag_13-20 qtr</v>
      </c>
    </row>
    <row r="215" spans="1:15" ht="14.1" customHeight="1">
      <c r="A215" s="69">
        <f t="shared" si="32"/>
        <v>46228</v>
      </c>
      <c r="B215" s="70">
        <f>'CHICLETS MASTER S2'!X57</f>
        <v>0.5</v>
      </c>
      <c r="C215" s="71" t="s">
        <v>254</v>
      </c>
      <c r="D215" s="71" t="str">
        <f t="shared" si="33"/>
        <v>ORANGE COAST COLLEGE 1</v>
      </c>
      <c r="E215" s="71">
        <v>134</v>
      </c>
      <c r="F215" s="90" t="str">
        <f>IF(G132="","L109",IF(G132&lt;I132,_xlfn.CONCAT("L109-",RIGHT(F132,LEN(F132) - FIND("-",F132))), _xlfn.CONCAT("L109-",RIGHT(H132,LEN(H132) - FIND("-",H132)))))</f>
        <v>L109-KINGSBURG</v>
      </c>
      <c r="G215" s="90">
        <v>10</v>
      </c>
      <c r="H215" s="90" t="s">
        <v>1527</v>
      </c>
      <c r="I215" s="90">
        <v>7</v>
      </c>
      <c r="J215" s="90">
        <v>158</v>
      </c>
      <c r="K215" s="90">
        <v>162</v>
      </c>
      <c r="L215" s="90" t="str">
        <f t="shared" si="34"/>
        <v>18BX-134</v>
      </c>
      <c r="O215" s="62" t="str">
        <f t="shared" si="35"/>
        <v>ag_13-20 qtr</v>
      </c>
    </row>
    <row r="216" spans="1:15" ht="14.1" customHeight="1">
      <c r="A216" s="69">
        <f t="shared" si="32"/>
        <v>46228</v>
      </c>
      <c r="B216" s="70">
        <f>'CHICLETS MASTER S2'!X58</f>
        <v>0.54166666666666696</v>
      </c>
      <c r="C216" s="71" t="s">
        <v>254</v>
      </c>
      <c r="D216" s="71" t="str">
        <f t="shared" si="33"/>
        <v>ORANGE COAST COLLEGE 1</v>
      </c>
      <c r="E216" s="71">
        <v>138</v>
      </c>
      <c r="F216" s="90" t="str">
        <f>IF(G151="","L110",IF(G151&lt;I151,_xlfn.CONCAT("L110-",RIGHT(F151,LEN(F151) - FIND("-",F151))), _xlfn.CONCAT("L110-",RIGHT(H151,LEN(H151) - FIND("-",H151)))))</f>
        <v>L110-CLOVIS B</v>
      </c>
      <c r="G216" s="90">
        <v>12</v>
      </c>
      <c r="H216" s="90" t="s">
        <v>1528</v>
      </c>
      <c r="I216" s="90">
        <v>15</v>
      </c>
      <c r="J216" s="90">
        <v>158</v>
      </c>
      <c r="K216" s="90">
        <v>162</v>
      </c>
      <c r="L216" s="90" t="str">
        <f t="shared" si="34"/>
        <v>18BX-138</v>
      </c>
      <c r="O216" s="62" t="str">
        <f t="shared" si="35"/>
        <v>ag_13-20 qtr</v>
      </c>
    </row>
    <row r="217" spans="1:15" ht="14.1" customHeight="1">
      <c r="A217" s="69">
        <f t="shared" si="32"/>
        <v>46228</v>
      </c>
      <c r="B217" s="70">
        <f>'CHICLETS MASTER S2'!X59</f>
        <v>0.58333333333333304</v>
      </c>
      <c r="C217" s="71" t="s">
        <v>249</v>
      </c>
      <c r="D217" s="71" t="str">
        <f t="shared" si="33"/>
        <v>ORANGE COAST COLLEGE 1</v>
      </c>
      <c r="E217" s="71">
        <v>142</v>
      </c>
      <c r="F217" s="90" t="s">
        <v>1521</v>
      </c>
      <c r="G217" s="90">
        <v>7</v>
      </c>
      <c r="H217" s="90" t="s">
        <v>1524</v>
      </c>
      <c r="I217" s="90">
        <v>5</v>
      </c>
      <c r="J217" s="90"/>
      <c r="K217" s="90"/>
      <c r="L217" s="90" t="str">
        <f t="shared" si="34"/>
        <v>18BX-142</v>
      </c>
      <c r="O217" s="62" t="str">
        <f t="shared" si="35"/>
        <v>ag_21-24 RR</v>
      </c>
    </row>
    <row r="218" spans="1:15" ht="14.1" customHeight="1">
      <c r="A218" s="69">
        <f t="shared" si="32"/>
        <v>46228</v>
      </c>
      <c r="B218" s="70">
        <f>'CHICLETS MASTER S2'!X60</f>
        <v>0.625</v>
      </c>
      <c r="C218" s="71" t="s">
        <v>249</v>
      </c>
      <c r="D218" s="71" t="str">
        <f t="shared" si="33"/>
        <v>ORANGE COAST COLLEGE 1</v>
      </c>
      <c r="E218" s="71">
        <v>146</v>
      </c>
      <c r="F218" s="90" t="s">
        <v>1523</v>
      </c>
      <c r="G218" s="90">
        <v>8</v>
      </c>
      <c r="H218" s="90" t="s">
        <v>1522</v>
      </c>
      <c r="I218" s="90">
        <v>13</v>
      </c>
      <c r="J218" s="90"/>
      <c r="K218" s="90"/>
      <c r="L218" s="90" t="str">
        <f t="shared" si="34"/>
        <v>18BX-146</v>
      </c>
      <c r="O218" s="62" t="str">
        <f t="shared" si="35"/>
        <v>ag_21-24 RR</v>
      </c>
    </row>
    <row r="219" spans="1:15" ht="14.1" customHeight="1">
      <c r="A219" s="69">
        <f t="shared" si="32"/>
        <v>46228</v>
      </c>
      <c r="B219" s="70">
        <f>'CHICLETS MASTER S2'!X61</f>
        <v>0.66666666666666696</v>
      </c>
      <c r="C219" s="71" t="s">
        <v>259</v>
      </c>
      <c r="D219" s="71" t="str">
        <f t="shared" si="33"/>
        <v>ORANGE COAST COLLEGE 1</v>
      </c>
      <c r="E219" s="71">
        <v>150</v>
      </c>
      <c r="F219" s="90" t="str">
        <f>IF(G213="","W126",IF(G213&gt;I213,_xlfn.CONCAT("W126-",RIGHT(F213,LEN(F213) - FIND("-",F213))), _xlfn.CONCAT("W126-",RIGHT(H213,LEN(H213) - FIND("-",H213)))))</f>
        <v>W126-ORWP</v>
      </c>
      <c r="G219" s="90">
        <v>9</v>
      </c>
      <c r="H219" s="90" t="str">
        <f>IF(G214="","W130",IF(G214&gt;I214,_xlfn.CONCAT("W130-",RIGHT(F214,LEN(F214) - FIND("-",F214))), _xlfn.CONCAT("W130-",RIGHT(H214,LEN(H214) - FIND("-",H214)))))</f>
        <v>W130-SAN JOSE FOUNDATION</v>
      </c>
      <c r="I219" s="90">
        <v>16</v>
      </c>
      <c r="J219" s="90">
        <v>178</v>
      </c>
      <c r="K219" s="90">
        <v>177</v>
      </c>
      <c r="L219" s="90" t="str">
        <f t="shared" si="34"/>
        <v>18BX-150</v>
      </c>
      <c r="O219" s="62" t="str">
        <f t="shared" si="35"/>
        <v>ag_13-16 semi</v>
      </c>
    </row>
    <row r="220" spans="1:15" ht="14.1" customHeight="1">
      <c r="A220" s="69">
        <f t="shared" si="32"/>
        <v>46228</v>
      </c>
      <c r="B220" s="70">
        <f>'CHICLETS MASTER S2'!X62</f>
        <v>0.70833333333333304</v>
      </c>
      <c r="C220" s="71" t="s">
        <v>260</v>
      </c>
      <c r="D220" s="71" t="str">
        <f t="shared" si="33"/>
        <v>ORANGE COAST COLLEGE 1</v>
      </c>
      <c r="E220" s="71">
        <v>154</v>
      </c>
      <c r="F220" s="90" t="str">
        <f>IF(G214="","L130",IF(G214&lt;I214,_xlfn.CONCAT("L130-",RIGHT(F214,LEN(F214) - FIND("-",F214))), _xlfn.CONCAT("L130-",RIGHT(H214,LEN(H214) - FIND("-",H214)))))</f>
        <v>L130-HIELAND</v>
      </c>
      <c r="G220" s="90">
        <v>13.7</v>
      </c>
      <c r="H220" s="90" t="str">
        <f>IF(G213="","L126",IF(G213&lt;I213,_xlfn.CONCAT("L126-",RIGHT(F213,LEN(F213) - FIND("-",F213))), _xlfn.CONCAT("L126-",RIGHT(H213,LEN(H213) - FIND("-",H213)))))</f>
        <v>L126-ROSE BOWL RED</v>
      </c>
      <c r="I220" s="90">
        <v>13.6</v>
      </c>
      <c r="J220" s="90">
        <v>170</v>
      </c>
      <c r="K220" s="90">
        <v>169</v>
      </c>
      <c r="L220" s="90" t="str">
        <f t="shared" si="34"/>
        <v>18BX-154</v>
      </c>
      <c r="O220" s="62" t="str">
        <f t="shared" si="35"/>
        <v>ag_17-20 semi</v>
      </c>
    </row>
    <row r="221" spans="1:15" ht="14.1" customHeight="1">
      <c r="A221" s="69">
        <f t="shared" si="32"/>
        <v>46228</v>
      </c>
      <c r="B221" s="70">
        <f>'CHICLETS MASTER S2'!X63</f>
        <v>0.75</v>
      </c>
      <c r="C221" s="71" t="s">
        <v>259</v>
      </c>
      <c r="D221" s="71" t="str">
        <f t="shared" si="33"/>
        <v>ORANGE COAST COLLEGE 1</v>
      </c>
      <c r="E221" s="71">
        <v>158</v>
      </c>
      <c r="F221" s="90" t="str">
        <f>IF(G215="","W134",IF(G215&gt;I215,_xlfn.CONCAT("W134-",RIGHT(F215,LEN(F215) - FIND("-",F215))), _xlfn.CONCAT("W134-",RIGHT(H215,LEN(H215) - FIND("-",H215)))))</f>
        <v>W134-KINGSBURG</v>
      </c>
      <c r="G221" s="90">
        <v>9.1999999999999993</v>
      </c>
      <c r="H221" s="90" t="str">
        <f>IF(G216="","W138",IF(G216&gt;I216,_xlfn.CONCAT("W138-",RIGHT(F216,LEN(F216) - FIND("-",F216))), _xlfn.CONCAT("W138-",RIGHT(H216,LEN(H216) - FIND("-",H216)))))</f>
        <v>W138-CENTRAL VALLEY UNITED</v>
      </c>
      <c r="I221" s="90">
        <v>9.3000000000000007</v>
      </c>
      <c r="J221" s="90">
        <v>178</v>
      </c>
      <c r="K221" s="90">
        <v>177</v>
      </c>
      <c r="L221" s="90" t="str">
        <f t="shared" si="34"/>
        <v>18BX-158</v>
      </c>
      <c r="O221" s="62" t="str">
        <f t="shared" si="35"/>
        <v>ag_13-16 semi</v>
      </c>
    </row>
    <row r="222" spans="1:15" ht="14.1" customHeight="1">
      <c r="A222" s="69">
        <f t="shared" si="32"/>
        <v>46228</v>
      </c>
      <c r="B222" s="70">
        <f>'CHICLETS MASTER S2'!X64</f>
        <v>0.79166666666666696</v>
      </c>
      <c r="C222" s="71" t="s">
        <v>260</v>
      </c>
      <c r="D222" s="71" t="str">
        <f t="shared" si="33"/>
        <v>ORANGE COAST COLLEGE 1</v>
      </c>
      <c r="E222" s="71">
        <v>162</v>
      </c>
      <c r="F222" s="90" t="str">
        <f>IF(G216="","L138",IF(G216&lt;I216,_xlfn.CONCAT("L138-",RIGHT(F216,LEN(F216) - FIND("-",F216))), _xlfn.CONCAT("L138-",RIGHT(H216,LEN(H216) - FIND("-",H216)))))</f>
        <v>L138-CLOVIS B</v>
      </c>
      <c r="G222" s="90">
        <v>7.2</v>
      </c>
      <c r="H222" s="90" t="str">
        <f>IF(G215="","L134",IF(G215&lt;I215,_xlfn.CONCAT("L134-",RIGHT(F215,LEN(F215) - FIND("-",F215))), _xlfn.CONCAT("L134-",RIGHT(H215,LEN(H215) - FIND("-",H215)))))</f>
        <v>L134-OHANA</v>
      </c>
      <c r="I222" s="90">
        <v>7.4</v>
      </c>
      <c r="J222" s="90">
        <v>170</v>
      </c>
      <c r="K222" s="90">
        <v>169</v>
      </c>
      <c r="L222" s="90" t="str">
        <f t="shared" si="34"/>
        <v>18BX-162</v>
      </c>
      <c r="O222" s="62" t="str">
        <f t="shared" si="35"/>
        <v>ag_17-20 semi</v>
      </c>
    </row>
    <row r="223" spans="1:15" ht="14.1" customHeight="1" thickBot="1">
      <c r="A223" s="78"/>
      <c r="B223" s="79"/>
      <c r="C223" s="60"/>
      <c r="D223" s="60"/>
      <c r="E223" s="60"/>
      <c r="F223" s="60"/>
      <c r="G223" s="64"/>
      <c r="H223" s="60"/>
      <c r="I223" s="60"/>
      <c r="J223" s="60"/>
      <c r="K223" s="60"/>
      <c r="L223" s="60"/>
    </row>
    <row r="224" spans="1:15" ht="14.1" customHeight="1" thickBot="1">
      <c r="B224" s="60"/>
      <c r="C224" s="60"/>
      <c r="D224" s="68" t="str">
        <f>'CHICLETS MASTER S2'!$AR$51</f>
        <v>SADDLEBACK COLLEGE 1</v>
      </c>
      <c r="E224" s="60"/>
      <c r="F224" s="60"/>
      <c r="G224" s="64"/>
      <c r="H224" s="60"/>
      <c r="I224" s="60"/>
      <c r="J224" s="60"/>
      <c r="K224" s="60"/>
      <c r="L224" s="60"/>
    </row>
    <row r="225" spans="1:15" ht="14.1" customHeight="1">
      <c r="A225" s="144" t="s">
        <v>124</v>
      </c>
      <c r="B225" s="145" t="s">
        <v>125</v>
      </c>
      <c r="C225" s="145" t="s">
        <v>126</v>
      </c>
      <c r="D225" s="145" t="s">
        <v>127</v>
      </c>
      <c r="E225" s="145" t="s">
        <v>128</v>
      </c>
      <c r="F225" s="145" t="s">
        <v>129</v>
      </c>
      <c r="G225" s="145" t="s">
        <v>130</v>
      </c>
      <c r="H225" s="145" t="s">
        <v>131</v>
      </c>
      <c r="I225" s="145" t="s">
        <v>130</v>
      </c>
      <c r="J225" s="145" t="s">
        <v>132</v>
      </c>
      <c r="K225" s="145" t="s">
        <v>133</v>
      </c>
      <c r="L225" s="145" t="s">
        <v>134</v>
      </c>
    </row>
    <row r="226" spans="1:15" ht="14.1" customHeight="1">
      <c r="A226" s="69">
        <f t="shared" ref="A226:A237" si="36">$A$193</f>
        <v>46228</v>
      </c>
      <c r="B226" s="70">
        <f>'CHICLETS MASTER S2'!X53</f>
        <v>0.33333333333333331</v>
      </c>
      <c r="C226" s="71" t="s">
        <v>237</v>
      </c>
      <c r="D226" s="71" t="str">
        <f t="shared" ref="D226:D237" si="37">$D$224</f>
        <v>SADDLEBACK COLLEGE 1</v>
      </c>
      <c r="E226" s="71">
        <v>119</v>
      </c>
      <c r="F226" s="91" t="s">
        <v>1529</v>
      </c>
      <c r="G226" s="92">
        <v>6</v>
      </c>
      <c r="H226" s="91" t="str">
        <f>IF(G189="","W112",IF(G189&gt;I189,_xlfn.CONCAT("W112-",RIGHT(F189,LEN(F189) - FIND("-",F189))), _xlfn.CONCAT("W112-",RIGHT(H189,LEN(H189) - FIND("-",H189)))))</f>
        <v>W112-CHARGERS BLACK</v>
      </c>
      <c r="I226" s="92">
        <v>9</v>
      </c>
      <c r="J226" s="91">
        <v>143</v>
      </c>
      <c r="K226" s="91">
        <v>151</v>
      </c>
      <c r="L226" s="91" t="str">
        <f t="shared" ref="L226:L237" si="38">IF(E226="","",$L$15&amp;"-"&amp;TEXT(E226,"000"))</f>
        <v>18BX-119</v>
      </c>
      <c r="O226" s="62" t="str">
        <f t="shared" ref="O226:O237" si="39">$L$255&amp;C226</f>
        <v>bz_5-8 v 9-12</v>
      </c>
    </row>
    <row r="227" spans="1:15" ht="14.1" customHeight="1">
      <c r="A227" s="69">
        <f t="shared" si="36"/>
        <v>46228</v>
      </c>
      <c r="B227" s="70">
        <f>'CHICLETS MASTER S2'!X54</f>
        <v>0.375</v>
      </c>
      <c r="C227" s="71" t="s">
        <v>237</v>
      </c>
      <c r="D227" s="71" t="str">
        <f t="shared" si="37"/>
        <v>SADDLEBACK COLLEGE 1</v>
      </c>
      <c r="E227" s="71">
        <v>123</v>
      </c>
      <c r="F227" s="91" t="s">
        <v>1530</v>
      </c>
      <c r="G227" s="92">
        <v>10</v>
      </c>
      <c r="H227" s="91" t="str">
        <f>IF(G171="","W115",IF(G171&gt;I171,_xlfn.CONCAT("W115-",RIGHT(F171,LEN(F171) - FIND("-",F171))), _xlfn.CONCAT("W115-",RIGHT(H171,LEN(H171) - FIND("-",H171)))))</f>
        <v>W115-MOOSE</v>
      </c>
      <c r="I227" s="92">
        <v>7</v>
      </c>
      <c r="J227" s="91">
        <v>143</v>
      </c>
      <c r="K227" s="91">
        <v>151</v>
      </c>
      <c r="L227" s="91" t="str">
        <f t="shared" si="38"/>
        <v>18BX-123</v>
      </c>
      <c r="O227" s="62" t="str">
        <f t="shared" si="39"/>
        <v>bz_5-8 v 9-12</v>
      </c>
    </row>
    <row r="228" spans="1:15" ht="14.1" customHeight="1">
      <c r="A228" s="69">
        <f t="shared" si="36"/>
        <v>46228</v>
      </c>
      <c r="B228" s="70">
        <f>'CHICLETS MASTER S2'!X55</f>
        <v>0.41666666666666702</v>
      </c>
      <c r="C228" s="71" t="s">
        <v>237</v>
      </c>
      <c r="D228" s="71" t="str">
        <f t="shared" si="37"/>
        <v>SADDLEBACK COLLEGE 1</v>
      </c>
      <c r="E228" s="71">
        <v>127</v>
      </c>
      <c r="F228" s="91" t="s">
        <v>1531</v>
      </c>
      <c r="G228" s="92">
        <v>12</v>
      </c>
      <c r="H228" s="91" t="str">
        <f>IF(G190="","W116",IF(G190&gt;I190,_xlfn.CONCAT("W116-",RIGHT(F190,LEN(F190) - FIND("-",F190))), _xlfn.CONCAT("W116-",RIGHT(H190,LEN(H190) - FIND("-",H190)))))</f>
        <v>W116-THIRD COAST</v>
      </c>
      <c r="I228" s="92">
        <v>7</v>
      </c>
      <c r="J228" s="91">
        <v>147</v>
      </c>
      <c r="K228" s="91">
        <v>155</v>
      </c>
      <c r="L228" s="91" t="str">
        <f t="shared" si="38"/>
        <v>18BX-127</v>
      </c>
      <c r="O228" s="62" t="str">
        <f t="shared" si="39"/>
        <v>bz_5-8 v 9-12</v>
      </c>
    </row>
    <row r="229" spans="1:15" ht="14.1" customHeight="1">
      <c r="A229" s="69">
        <f t="shared" si="36"/>
        <v>46228</v>
      </c>
      <c r="B229" s="70">
        <f>'CHICLETS MASTER S2'!X56</f>
        <v>0.45833333333333298</v>
      </c>
      <c r="C229" s="71" t="s">
        <v>237</v>
      </c>
      <c r="D229" s="71" t="str">
        <f t="shared" si="37"/>
        <v>SADDLEBACK COLLEGE 1</v>
      </c>
      <c r="E229" s="71">
        <v>131</v>
      </c>
      <c r="F229" s="91" t="s">
        <v>1532</v>
      </c>
      <c r="G229" s="92">
        <v>10</v>
      </c>
      <c r="H229" s="91" t="str">
        <f>IF(G170="","W111",IF(G170&gt;I170,_xlfn.CONCAT("W111-",RIGHT(F170,LEN(F170) - FIND("-",F170))), _xlfn.CONCAT("W111-",RIGHT(H170,LEN(H170) - FIND("-",H170)))))</f>
        <v>W111-LV LEGENDS</v>
      </c>
      <c r="I229" s="92">
        <v>11</v>
      </c>
      <c r="J229" s="91">
        <v>147</v>
      </c>
      <c r="K229" s="91">
        <v>155</v>
      </c>
      <c r="L229" s="91" t="str">
        <f t="shared" si="38"/>
        <v>18BX-131</v>
      </c>
      <c r="O229" s="62" t="str">
        <f t="shared" si="39"/>
        <v>bz_5-8 v 9-12</v>
      </c>
    </row>
    <row r="230" spans="1:15" ht="14.1" customHeight="1">
      <c r="A230" s="69">
        <f t="shared" si="36"/>
        <v>46228</v>
      </c>
      <c r="B230" s="70">
        <f>'CHICLETS MASTER S2'!X57</f>
        <v>0.5</v>
      </c>
      <c r="C230" s="71" t="s">
        <v>242</v>
      </c>
      <c r="D230" s="71" t="str">
        <f t="shared" si="37"/>
        <v>SADDLEBACK COLLEGE 1</v>
      </c>
      <c r="E230" s="71">
        <v>135</v>
      </c>
      <c r="F230" s="91" t="s">
        <v>1533</v>
      </c>
      <c r="G230" s="92">
        <v>6</v>
      </c>
      <c r="H230" s="91" t="s">
        <v>1534</v>
      </c>
      <c r="I230" s="92">
        <v>11</v>
      </c>
      <c r="J230" s="91">
        <v>172</v>
      </c>
      <c r="K230" s="91">
        <v>159</v>
      </c>
      <c r="L230" s="91" t="str">
        <f t="shared" si="38"/>
        <v>18BX-135</v>
      </c>
      <c r="O230" s="62" t="str">
        <f t="shared" si="39"/>
        <v>bz_1-2 v 3-4</v>
      </c>
    </row>
    <row r="231" spans="1:15" ht="14.1" customHeight="1">
      <c r="A231" s="69">
        <f t="shared" si="36"/>
        <v>46228</v>
      </c>
      <c r="B231" s="70">
        <f>'CHICLETS MASTER S2'!X58</f>
        <v>0.54166666666666696</v>
      </c>
      <c r="C231" s="71" t="s">
        <v>242</v>
      </c>
      <c r="D231" s="71" t="str">
        <f t="shared" si="37"/>
        <v>SADDLEBACK COLLEGE 1</v>
      </c>
      <c r="E231" s="71">
        <v>139</v>
      </c>
      <c r="F231" s="91" t="s">
        <v>1535</v>
      </c>
      <c r="G231" s="92">
        <v>11</v>
      </c>
      <c r="H231" s="91" t="s">
        <v>1536</v>
      </c>
      <c r="I231" s="92">
        <v>8</v>
      </c>
      <c r="J231" s="91">
        <v>171</v>
      </c>
      <c r="K231" s="91">
        <v>163</v>
      </c>
      <c r="L231" s="91" t="str">
        <f t="shared" si="38"/>
        <v>18BX-139</v>
      </c>
      <c r="O231" s="62" t="str">
        <f t="shared" si="39"/>
        <v>bz_1-2 v 3-4</v>
      </c>
    </row>
    <row r="232" spans="1:15" ht="14.1" customHeight="1">
      <c r="A232" s="69">
        <f t="shared" si="36"/>
        <v>46228</v>
      </c>
      <c r="B232" s="70">
        <f>'CHICLETS MASTER S2'!X59</f>
        <v>0.58333333333333304</v>
      </c>
      <c r="C232" s="71" t="s">
        <v>247</v>
      </c>
      <c r="D232" s="71" t="str">
        <f t="shared" si="37"/>
        <v>SADDLEBACK COLLEGE 1</v>
      </c>
      <c r="E232" s="71">
        <v>143</v>
      </c>
      <c r="F232" s="91" t="str">
        <f>IF(G226="","W119",IF(G226&gt;I226,_xlfn.CONCAT("W119-",RIGHT(F226,LEN(F226) - FIND("-",F226))), _xlfn.CONCAT("W119-",RIGHT(H226,LEN(H226) - FIND("-",H226)))))</f>
        <v>W119-CHARGERS BLACK</v>
      </c>
      <c r="G232" s="92">
        <v>6</v>
      </c>
      <c r="H232" s="91" t="str">
        <f>IF(G227="","W123",IF(G227&gt;I227,_xlfn.CONCAT("W123-",RIGHT(F227,LEN(F227) - FIND("-",F227))), _xlfn.CONCAT("W123-",RIGHT(H227,LEN(H227) - FIND("-",H227)))))</f>
        <v>W123-NAVY</v>
      </c>
      <c r="I232" s="92">
        <v>7</v>
      </c>
      <c r="J232" s="91">
        <v>159</v>
      </c>
      <c r="K232" s="91">
        <v>188</v>
      </c>
      <c r="L232" s="91" t="str">
        <f t="shared" si="38"/>
        <v>18BX-143</v>
      </c>
      <c r="O232" s="62" t="str">
        <f t="shared" si="39"/>
        <v>bz_5-6 v 7-8</v>
      </c>
    </row>
    <row r="233" spans="1:15" ht="14.1" customHeight="1">
      <c r="A233" s="69">
        <f t="shared" si="36"/>
        <v>46228</v>
      </c>
      <c r="B233" s="70">
        <f>'CHICLETS MASTER S2'!X60</f>
        <v>0.625</v>
      </c>
      <c r="C233" s="71" t="s">
        <v>247</v>
      </c>
      <c r="D233" s="71" t="str">
        <f t="shared" si="37"/>
        <v>SADDLEBACK COLLEGE 1</v>
      </c>
      <c r="E233" s="71">
        <v>147</v>
      </c>
      <c r="F233" s="91" t="str">
        <f>IF(G228="","W127",IF(G228&gt;I228,_xlfn.CONCAT("W127-",RIGHT(F228,LEN(F228) - FIND("-",F228))), _xlfn.CONCAT("W127-",RIGHT(H228,LEN(H228) - FIND("-",H228)))))</f>
        <v>W127-FARALLON</v>
      </c>
      <c r="G233" s="92">
        <v>6</v>
      </c>
      <c r="H233" s="91" t="str">
        <f>IF(G229="","W131",IF(G229&gt;I229,_xlfn.CONCAT("W131-",RIGHT(F229,LEN(F229) - FIND("-",F229))), _xlfn.CONCAT("W131-",RIGHT(H229,LEN(H229) - FIND("-",H229)))))</f>
        <v>W131-LV LEGENDS</v>
      </c>
      <c r="I233" s="92">
        <v>13</v>
      </c>
      <c r="J233" s="91">
        <v>163</v>
      </c>
      <c r="K233" s="91">
        <v>188</v>
      </c>
      <c r="L233" s="91" t="str">
        <f t="shared" si="38"/>
        <v>18BX-147</v>
      </c>
      <c r="O233" s="62" t="str">
        <f t="shared" si="39"/>
        <v>bz_5-6 v 7-8</v>
      </c>
    </row>
    <row r="234" spans="1:15" ht="14.1" customHeight="1">
      <c r="A234" s="69">
        <f t="shared" si="36"/>
        <v>46228</v>
      </c>
      <c r="B234" s="70">
        <f>'CHICLETS MASTER S2'!X61</f>
        <v>0.66666666666666696</v>
      </c>
      <c r="C234" s="71" t="s">
        <v>248</v>
      </c>
      <c r="D234" s="71" t="str">
        <f t="shared" si="37"/>
        <v>SADDLEBACK COLLEGE 1</v>
      </c>
      <c r="E234" s="71">
        <v>151</v>
      </c>
      <c r="F234" s="91" t="str">
        <f>IF(G227="","L123",IF(G227&lt;I227,_xlfn.CONCAT("L123-",RIGHT(F227,LEN(F227) - FIND("-",F227))), _xlfn.CONCAT("L123-",RIGHT(H227,LEN(H227) - FIND("-",H227)))))</f>
        <v>L123-MOOSE</v>
      </c>
      <c r="G234" s="92">
        <v>7</v>
      </c>
      <c r="H234" s="91" t="str">
        <f>IF(G226="","L119",IF(G226&lt;I226,_xlfn.CONCAT("L119-",RIGHT(F226,LEN(F226) - FIND("-",F226))), _xlfn.CONCAT("L119-",RIGHT(H226,LEN(H226) - FIND("-",H226)))))</f>
        <v>L119-ALBUQUERQUE</v>
      </c>
      <c r="I234" s="92">
        <v>10</v>
      </c>
      <c r="J234" s="91">
        <v>183</v>
      </c>
      <c r="K234" s="91">
        <v>184</v>
      </c>
      <c r="L234" s="91" t="str">
        <f t="shared" si="38"/>
        <v>18BX-151</v>
      </c>
      <c r="O234" s="62" t="str">
        <f t="shared" si="39"/>
        <v>bz_9-12 semi</v>
      </c>
    </row>
    <row r="235" spans="1:15" ht="14.1" customHeight="1">
      <c r="A235" s="69">
        <f t="shared" si="36"/>
        <v>46228</v>
      </c>
      <c r="B235" s="70">
        <f>'CHICLETS MASTER S2'!X62</f>
        <v>0.70833333333333304</v>
      </c>
      <c r="C235" s="71" t="s">
        <v>248</v>
      </c>
      <c r="D235" s="71" t="str">
        <f t="shared" si="37"/>
        <v>SADDLEBACK COLLEGE 1</v>
      </c>
      <c r="E235" s="71">
        <v>155</v>
      </c>
      <c r="F235" s="91" t="str">
        <f>IF(G229="","L131",IF(G229&lt;I229,_xlfn.CONCAT("L131-",RIGHT(F229,LEN(F229) - FIND("-",F229))), _xlfn.CONCAT("L131-",RIGHT(H229,LEN(H229) - FIND("-",H229)))))</f>
        <v>L131-LA JOLLA UNITED B</v>
      </c>
      <c r="G235" s="92">
        <v>13</v>
      </c>
      <c r="H235" s="91" t="str">
        <f>IF(G228="","L127",IF(G228&lt;I228,_xlfn.CONCAT("L127-",RIGHT(F228,LEN(F228) - FIND("-",F228))), _xlfn.CONCAT("L127-",RIGHT(H228,LEN(H228) - FIND("-",H228)))))</f>
        <v>L127-THIRD COAST</v>
      </c>
      <c r="I235" s="92">
        <v>11</v>
      </c>
      <c r="J235" s="91">
        <v>183</v>
      </c>
      <c r="K235" s="91">
        <v>184</v>
      </c>
      <c r="L235" s="91" t="str">
        <f t="shared" si="38"/>
        <v>18BX-155</v>
      </c>
      <c r="O235" s="62" t="str">
        <f t="shared" si="39"/>
        <v>bz_9-12 semi</v>
      </c>
    </row>
    <row r="236" spans="1:15" ht="14.1" customHeight="1">
      <c r="A236" s="69">
        <f t="shared" si="36"/>
        <v>46228</v>
      </c>
      <c r="B236" s="70">
        <f>'CHICLETS MASTER S2'!X63</f>
        <v>0.75</v>
      </c>
      <c r="C236" s="71" t="s">
        <v>439</v>
      </c>
      <c r="D236" s="71" t="str">
        <f t="shared" si="37"/>
        <v>SADDLEBACK COLLEGE 1</v>
      </c>
      <c r="E236" s="71">
        <v>159</v>
      </c>
      <c r="F236" s="91" t="str">
        <f>IF(G230="","L135",IF(G230&lt;I230,_xlfn.CONCAT("L135-",RIGHT(F230,LEN(F230) - FIND("-",F230))), _xlfn.CONCAT("L135-",RIGHT(H230,LEN(H230) - FIND("-",H230)))))</f>
        <v>L135-ASPHALT GREEN</v>
      </c>
      <c r="G236" s="92">
        <v>13</v>
      </c>
      <c r="H236" s="91" t="str">
        <f>IF(G232="","W143",IF(G232&gt;I232,_xlfn.CONCAT("W143-",RIGHT(F232,LEN(F232) - FIND("-",F232))), _xlfn.CONCAT("W143-",RIGHT(H232,LEN(H232) - FIND("-",H232)))))</f>
        <v>W143-NAVY</v>
      </c>
      <c r="I236" s="92">
        <v>4</v>
      </c>
      <c r="J236" s="91">
        <v>171</v>
      </c>
      <c r="K236" s="91">
        <v>187</v>
      </c>
      <c r="L236" s="91" t="str">
        <f t="shared" si="38"/>
        <v>18BX-159</v>
      </c>
      <c r="O236" s="62" t="str">
        <f t="shared" si="39"/>
        <v>bz_play to semi</v>
      </c>
    </row>
    <row r="237" spans="1:15" ht="14.1" customHeight="1">
      <c r="A237" s="69">
        <f t="shared" si="36"/>
        <v>46228</v>
      </c>
      <c r="B237" s="70">
        <f>'CHICLETS MASTER S2'!X64</f>
        <v>0.79166666666666696</v>
      </c>
      <c r="C237" s="71" t="s">
        <v>439</v>
      </c>
      <c r="D237" s="71" t="str">
        <f t="shared" si="37"/>
        <v>SADDLEBACK COLLEGE 1</v>
      </c>
      <c r="E237" s="71">
        <v>163</v>
      </c>
      <c r="F237" s="91" t="str">
        <f>IF(G231="","L139",IF(G231&lt;I231,_xlfn.CONCAT("L139-",RIGHT(F231,LEN(F231) - FIND("-",F231))), _xlfn.CONCAT("L139-",RIGHT(H231,LEN(H231) - FIND("-",H231)))))</f>
        <v>L139-CHULA VISTA PREMIER</v>
      </c>
      <c r="G237" s="92">
        <v>8</v>
      </c>
      <c r="H237" s="91" t="str">
        <f>IF(G233="","W147",IF(G233&gt;I233,_xlfn.CONCAT("W147-",RIGHT(F233,LEN(F233) - FIND("-",F233))), _xlfn.CONCAT("W147-",RIGHT(H233,LEN(H233) - FIND("-",H233)))))</f>
        <v>W147-LV LEGENDS</v>
      </c>
      <c r="I237" s="92">
        <v>7</v>
      </c>
      <c r="J237" s="91">
        <v>172</v>
      </c>
      <c r="K237" s="91">
        <v>187</v>
      </c>
      <c r="L237" s="91" t="str">
        <f t="shared" si="38"/>
        <v>18BX-163</v>
      </c>
      <c r="O237" s="62" t="str">
        <f t="shared" si="39"/>
        <v>bz_play to semi</v>
      </c>
    </row>
    <row r="238" spans="1:15" ht="14.1" customHeight="1" thickBot="1">
      <c r="G238" s="62"/>
    </row>
    <row r="239" spans="1:15" ht="14.1" customHeight="1" thickBot="1">
      <c r="A239" s="78"/>
      <c r="B239" s="79"/>
      <c r="C239" s="95"/>
      <c r="D239" s="68" t="str">
        <f>'CHICLETS MASTER S2'!$AI$51</f>
        <v>VALLEY HS (SA)</v>
      </c>
      <c r="E239" s="60"/>
      <c r="F239" s="60"/>
      <c r="G239" s="64"/>
      <c r="H239" s="60"/>
      <c r="I239" s="60"/>
      <c r="J239" s="60"/>
      <c r="K239" s="60"/>
      <c r="L239" s="60"/>
    </row>
    <row r="240" spans="1:15" ht="14.1" customHeight="1">
      <c r="A240" s="144" t="s">
        <v>124</v>
      </c>
      <c r="B240" s="145" t="s">
        <v>125</v>
      </c>
      <c r="C240" s="145" t="s">
        <v>126</v>
      </c>
      <c r="D240" s="145" t="s">
        <v>127</v>
      </c>
      <c r="E240" s="145" t="s">
        <v>128</v>
      </c>
      <c r="F240" s="145" t="s">
        <v>129</v>
      </c>
      <c r="G240" s="145" t="s">
        <v>130</v>
      </c>
      <c r="H240" s="145" t="s">
        <v>131</v>
      </c>
      <c r="I240" s="145" t="s">
        <v>130</v>
      </c>
      <c r="J240" s="145" t="s">
        <v>132</v>
      </c>
      <c r="K240" s="145" t="s">
        <v>133</v>
      </c>
      <c r="L240" s="145" t="s">
        <v>134</v>
      </c>
    </row>
    <row r="241" spans="1:15" ht="14.1" customHeight="1">
      <c r="A241" s="69">
        <f t="shared" ref="A241:A252" si="40">$A$193</f>
        <v>46228</v>
      </c>
      <c r="B241" s="70">
        <f>'CHICLETS MASTER S2'!X53</f>
        <v>0.33333333333333331</v>
      </c>
      <c r="C241" s="71" t="s">
        <v>249</v>
      </c>
      <c r="D241" s="71" t="str">
        <f t="shared" ref="D241:D252" si="41">$D$239</f>
        <v>VALLEY HS (SA)</v>
      </c>
      <c r="E241" s="71">
        <v>120</v>
      </c>
      <c r="F241" s="91" t="s">
        <v>1537</v>
      </c>
      <c r="G241" s="92">
        <v>4</v>
      </c>
      <c r="H241" s="91" t="s">
        <v>1538</v>
      </c>
      <c r="I241" s="92">
        <v>6</v>
      </c>
      <c r="J241" s="91"/>
      <c r="K241" s="91"/>
      <c r="L241" s="91" t="str">
        <f t="shared" ref="L241:L252" si="42">IF(E241="","",$L$15&amp;"-"&amp;TEXT(E241,"000"))</f>
        <v>18BX-120</v>
      </c>
      <c r="O241" s="62" t="str">
        <f t="shared" ref="O241:O252" si="43">$L$255&amp;C241</f>
        <v>bz_21-24 RR</v>
      </c>
    </row>
    <row r="242" spans="1:15" ht="14.1" customHeight="1">
      <c r="A242" s="69">
        <f t="shared" si="40"/>
        <v>46228</v>
      </c>
      <c r="B242" s="70">
        <f>'CHICLETS MASTER S2'!X54</f>
        <v>0.375</v>
      </c>
      <c r="C242" s="71" t="s">
        <v>249</v>
      </c>
      <c r="D242" s="71" t="str">
        <f t="shared" si="41"/>
        <v>VALLEY HS (SA)</v>
      </c>
      <c r="E242" s="71">
        <v>124</v>
      </c>
      <c r="F242" s="91" t="s">
        <v>1539</v>
      </c>
      <c r="G242" s="92">
        <v>6</v>
      </c>
      <c r="H242" s="91" t="s">
        <v>1540</v>
      </c>
      <c r="I242" s="92">
        <v>8</v>
      </c>
      <c r="J242" s="91"/>
      <c r="K242" s="91"/>
      <c r="L242" s="91" t="str">
        <f t="shared" si="42"/>
        <v>18BX-124</v>
      </c>
      <c r="O242" s="62" t="str">
        <f t="shared" si="43"/>
        <v>bz_21-24 RR</v>
      </c>
    </row>
    <row r="243" spans="1:15" ht="14.1" customHeight="1">
      <c r="A243" s="69">
        <f t="shared" si="40"/>
        <v>46228</v>
      </c>
      <c r="B243" s="70">
        <f>'CHICLETS MASTER S2'!X55</f>
        <v>0.41666666666666702</v>
      </c>
      <c r="C243" s="71" t="s">
        <v>254</v>
      </c>
      <c r="D243" s="71" t="str">
        <f t="shared" si="41"/>
        <v>VALLEY HS (SA)</v>
      </c>
      <c r="E243" s="71">
        <v>128</v>
      </c>
      <c r="F243" s="91" t="str">
        <f>IF(G171="","L115",IF(G171&lt;I171,_xlfn.CONCAT("L115-",RIGHT(F171,LEN(F171) - FIND("-",F171))), _xlfn.CONCAT("L115-",RIGHT(H171,LEN(H171) - FIND("-",H171)))))</f>
        <v>L115-CC UNITED BLUE</v>
      </c>
      <c r="G243" s="92">
        <v>13</v>
      </c>
      <c r="H243" s="91" t="s">
        <v>1541</v>
      </c>
      <c r="I243" s="92">
        <v>3</v>
      </c>
      <c r="J243" s="91">
        <v>152</v>
      </c>
      <c r="K243" s="91">
        <v>156</v>
      </c>
      <c r="L243" s="91" t="str">
        <f t="shared" si="42"/>
        <v>18BX-128</v>
      </c>
      <c r="O243" s="62" t="str">
        <f t="shared" si="43"/>
        <v>bz_13-20 qtr</v>
      </c>
    </row>
    <row r="244" spans="1:15" ht="14.1" customHeight="1">
      <c r="A244" s="69">
        <f t="shared" si="40"/>
        <v>46228</v>
      </c>
      <c r="B244" s="70">
        <f>'CHICLETS MASTER S2'!X56</f>
        <v>0.45833333333333298</v>
      </c>
      <c r="C244" s="71" t="s">
        <v>254</v>
      </c>
      <c r="D244" s="71" t="str">
        <f t="shared" si="41"/>
        <v>VALLEY HS (SA)</v>
      </c>
      <c r="E244" s="71">
        <v>132</v>
      </c>
      <c r="F244" s="91" t="str">
        <f>IF(G190="","L116",IF(G190&lt;I190,_xlfn.CONCAT("L116-",RIGHT(F190,LEN(F190) - FIND("-",F190))), _xlfn.CONCAT("L116-",RIGHT(H190,LEN(H190) - FIND("-",H190)))))</f>
        <v>L116-MESA</v>
      </c>
      <c r="G244" s="92">
        <v>7</v>
      </c>
      <c r="H244" s="91" t="s">
        <v>1542</v>
      </c>
      <c r="I244" s="92">
        <v>12</v>
      </c>
      <c r="J244" s="91">
        <v>152</v>
      </c>
      <c r="K244" s="91">
        <v>156</v>
      </c>
      <c r="L244" s="91" t="str">
        <f t="shared" si="42"/>
        <v>18BX-132</v>
      </c>
      <c r="O244" s="62" t="str">
        <f t="shared" si="43"/>
        <v>bz_13-20 qtr</v>
      </c>
    </row>
    <row r="245" spans="1:15" ht="14.1" customHeight="1">
      <c r="A245" s="69">
        <f t="shared" si="40"/>
        <v>46228</v>
      </c>
      <c r="B245" s="70">
        <f>'CHICLETS MASTER S2'!X57</f>
        <v>0.5</v>
      </c>
      <c r="C245" s="71" t="s">
        <v>254</v>
      </c>
      <c r="D245" s="71" t="str">
        <f t="shared" si="41"/>
        <v>VALLEY HS (SA)</v>
      </c>
      <c r="E245" s="71">
        <v>136</v>
      </c>
      <c r="F245" s="91" t="str">
        <f>IF(G170="","L111",IF(G170&lt;I170,_xlfn.CONCAT("L111-",RIGHT(F170,LEN(F170) - FIND("-",F170))), _xlfn.CONCAT("L111-",RIGHT(H170,LEN(H170) - FIND("-",H170)))))</f>
        <v>L111-MID PEN</v>
      </c>
      <c r="G245" s="92">
        <v>10</v>
      </c>
      <c r="H245" s="91" t="s">
        <v>1543</v>
      </c>
      <c r="I245" s="92">
        <v>8</v>
      </c>
      <c r="J245" s="91">
        <v>160</v>
      </c>
      <c r="K245" s="91">
        <v>164</v>
      </c>
      <c r="L245" s="91" t="str">
        <f t="shared" si="42"/>
        <v>18BX-136</v>
      </c>
      <c r="O245" s="62" t="str">
        <f t="shared" si="43"/>
        <v>bz_13-20 qtr</v>
      </c>
    </row>
    <row r="246" spans="1:15" ht="14.1" customHeight="1">
      <c r="A246" s="69">
        <f t="shared" si="40"/>
        <v>46228</v>
      </c>
      <c r="B246" s="70">
        <f>'CHICLETS MASTER S2'!X58</f>
        <v>0.54166666666666696</v>
      </c>
      <c r="C246" s="71" t="s">
        <v>254</v>
      </c>
      <c r="D246" s="71" t="str">
        <f t="shared" si="41"/>
        <v>VALLEY HS (SA)</v>
      </c>
      <c r="E246" s="71">
        <v>140</v>
      </c>
      <c r="F246" s="91" t="str">
        <f>IF(G189="","L112",IF(G189&lt;I189,_xlfn.CONCAT("L112-",RIGHT(F189,LEN(F189) - FIND("-",F189))), _xlfn.CONCAT("L112-",RIGHT(H189,LEN(H189) - FIND("-",H189)))))</f>
        <v>L112-NEWBERG</v>
      </c>
      <c r="G246" s="92">
        <v>9</v>
      </c>
      <c r="H246" s="91" t="s">
        <v>1544</v>
      </c>
      <c r="I246" s="92">
        <v>8</v>
      </c>
      <c r="J246" s="91">
        <v>160</v>
      </c>
      <c r="K246" s="91">
        <v>164</v>
      </c>
      <c r="L246" s="91" t="str">
        <f t="shared" si="42"/>
        <v>18BX-140</v>
      </c>
      <c r="O246" s="62" t="str">
        <f t="shared" si="43"/>
        <v>bz_13-20 qtr</v>
      </c>
    </row>
    <row r="247" spans="1:15" ht="14.1" customHeight="1">
      <c r="A247" s="69">
        <f t="shared" si="40"/>
        <v>46228</v>
      </c>
      <c r="B247" s="70">
        <f>'CHICLETS MASTER S2'!X59</f>
        <v>0.58333333333333304</v>
      </c>
      <c r="C247" s="71" t="s">
        <v>249</v>
      </c>
      <c r="D247" s="71" t="str">
        <f t="shared" si="41"/>
        <v>VALLEY HS (SA)</v>
      </c>
      <c r="E247" s="71">
        <v>144</v>
      </c>
      <c r="F247" s="91" t="s">
        <v>1537</v>
      </c>
      <c r="G247" s="92">
        <v>15</v>
      </c>
      <c r="H247" s="91" t="s">
        <v>1540</v>
      </c>
      <c r="I247" s="92">
        <v>3</v>
      </c>
      <c r="J247" s="91"/>
      <c r="K247" s="91"/>
      <c r="L247" s="91" t="str">
        <f t="shared" si="42"/>
        <v>18BX-144</v>
      </c>
      <c r="O247" s="62" t="str">
        <f t="shared" si="43"/>
        <v>bz_21-24 RR</v>
      </c>
    </row>
    <row r="248" spans="1:15" ht="14.1" customHeight="1">
      <c r="A248" s="69">
        <f t="shared" si="40"/>
        <v>46228</v>
      </c>
      <c r="B248" s="70">
        <f>'CHICLETS MASTER S2'!X60</f>
        <v>0.625</v>
      </c>
      <c r="C248" s="71" t="s">
        <v>249</v>
      </c>
      <c r="D248" s="71" t="str">
        <f t="shared" si="41"/>
        <v>VALLEY HS (SA)</v>
      </c>
      <c r="E248" s="71">
        <v>148</v>
      </c>
      <c r="F248" s="91" t="s">
        <v>1539</v>
      </c>
      <c r="G248" s="92">
        <v>9</v>
      </c>
      <c r="H248" s="91" t="s">
        <v>1538</v>
      </c>
      <c r="I248" s="92">
        <v>7</v>
      </c>
      <c r="J248" s="91"/>
      <c r="K248" s="91"/>
      <c r="L248" s="91" t="str">
        <f t="shared" si="42"/>
        <v>18BX-148</v>
      </c>
      <c r="O248" s="62" t="str">
        <f t="shared" si="43"/>
        <v>bz_21-24 RR</v>
      </c>
    </row>
    <row r="249" spans="1:15" ht="14.1" customHeight="1">
      <c r="A249" s="69">
        <f t="shared" si="40"/>
        <v>46228</v>
      </c>
      <c r="B249" s="70">
        <f>'CHICLETS MASTER S2'!X61</f>
        <v>0.66666666666666696</v>
      </c>
      <c r="C249" s="71" t="s">
        <v>259</v>
      </c>
      <c r="D249" s="71" t="str">
        <f t="shared" si="41"/>
        <v>VALLEY HS (SA)</v>
      </c>
      <c r="E249" s="71">
        <v>152</v>
      </c>
      <c r="F249" s="91" t="str">
        <f>IF(G243="","W128",IF(G243&gt;I243,_xlfn.CONCAT("W128-",RIGHT(F243,LEN(F243) - FIND("-",F243))), _xlfn.CONCAT("W128-",RIGHT(H243,LEN(H243) - FIND("-",H243)))))</f>
        <v>W128-CC UNITED BLUE</v>
      </c>
      <c r="G249" s="92">
        <v>5</v>
      </c>
      <c r="H249" s="91" t="str">
        <f>IF(G244="","W132",IF(G244&gt;I244,_xlfn.CONCAT("W132-",RIGHT(F244,LEN(F244) - FIND("-",F244))), _xlfn.CONCAT("W132-",RIGHT(H244,LEN(H244) - FIND("-",H244)))))</f>
        <v>W132-SAND CANYON RED</v>
      </c>
      <c r="I249" s="92">
        <v>3</v>
      </c>
      <c r="J249" s="91">
        <v>179</v>
      </c>
      <c r="K249" s="91">
        <v>180</v>
      </c>
      <c r="L249" s="91" t="str">
        <f t="shared" si="42"/>
        <v>18BX-152</v>
      </c>
      <c r="O249" s="62" t="str">
        <f t="shared" si="43"/>
        <v>bz_13-16 semi</v>
      </c>
    </row>
    <row r="250" spans="1:15" ht="14.1" customHeight="1">
      <c r="A250" s="69">
        <f t="shared" si="40"/>
        <v>46228</v>
      </c>
      <c r="B250" s="70">
        <f>'CHICLETS MASTER S2'!X62</f>
        <v>0.70833333333333304</v>
      </c>
      <c r="C250" s="71" t="s">
        <v>260</v>
      </c>
      <c r="D250" s="71" t="str">
        <f t="shared" si="41"/>
        <v>VALLEY HS (SA)</v>
      </c>
      <c r="E250" s="71">
        <v>156</v>
      </c>
      <c r="F250" s="91" t="str">
        <f>IF(G244="","L132",IF(G244&lt;I244,_xlfn.CONCAT("L132-",RIGHT(F244,LEN(F244) - FIND("-",F244))), _xlfn.CONCAT("L132-",RIGHT(H244,LEN(H244) - FIND("-",H244)))))</f>
        <v>L132-MESA</v>
      </c>
      <c r="G250" s="92">
        <v>8</v>
      </c>
      <c r="H250" s="91" t="str">
        <f>IF(G243="","L128",IF(G243&lt;I243,_xlfn.CONCAT("L128-",RIGHT(F243,LEN(F243) - FIND("-",F243))), _xlfn.CONCAT("L128-",RIGHT(H243,LEN(H243) - FIND("-",H243)))))</f>
        <v>L128-ELMHURST</v>
      </c>
      <c r="I250" s="92">
        <v>10</v>
      </c>
      <c r="J250" s="91">
        <v>175</v>
      </c>
      <c r="K250" s="91">
        <v>176</v>
      </c>
      <c r="L250" s="91" t="str">
        <f t="shared" si="42"/>
        <v>18BX-156</v>
      </c>
      <c r="O250" s="62" t="str">
        <f t="shared" si="43"/>
        <v>bz_17-20 semi</v>
      </c>
    </row>
    <row r="251" spans="1:15" ht="14.1" customHeight="1">
      <c r="A251" s="69">
        <f t="shared" si="40"/>
        <v>46228</v>
      </c>
      <c r="B251" s="70">
        <f>'CHICLETS MASTER S2'!X63</f>
        <v>0.75</v>
      </c>
      <c r="C251" s="71" t="s">
        <v>259</v>
      </c>
      <c r="D251" s="71" t="str">
        <f t="shared" si="41"/>
        <v>VALLEY HS (SA)</v>
      </c>
      <c r="E251" s="71">
        <v>160</v>
      </c>
      <c r="F251" s="91" t="str">
        <f>IF(G245="","W136",IF(G245&gt;I245,_xlfn.CONCAT("W136-",RIGHT(F245,LEN(F245) - FIND("-",F245))), _xlfn.CONCAT("W136-",RIGHT(H245,LEN(H245) - FIND("-",H245)))))</f>
        <v>W136-MID PEN</v>
      </c>
      <c r="G251" s="92">
        <v>7</v>
      </c>
      <c r="H251" s="91" t="str">
        <f>IF(G246="","W140",IF(G246&gt;I246,_xlfn.CONCAT("W140-",RIGHT(F246,LEN(F246) - FIND("-",F246))), _xlfn.CONCAT("W140-",RIGHT(H246,LEN(H246) - FIND("-",H246)))))</f>
        <v>W140-NEWBERG</v>
      </c>
      <c r="I251" s="92">
        <v>9</v>
      </c>
      <c r="J251" s="91">
        <v>179</v>
      </c>
      <c r="K251" s="91">
        <v>180</v>
      </c>
      <c r="L251" s="91" t="str">
        <f t="shared" si="42"/>
        <v>18BX-160</v>
      </c>
      <c r="O251" s="62" t="str">
        <f t="shared" si="43"/>
        <v>bz_13-16 semi</v>
      </c>
    </row>
    <row r="252" spans="1:15" ht="14.1" customHeight="1">
      <c r="A252" s="69">
        <f t="shared" si="40"/>
        <v>46228</v>
      </c>
      <c r="B252" s="70">
        <f>'CHICLETS MASTER S2'!X64</f>
        <v>0.79166666666666696</v>
      </c>
      <c r="C252" s="71" t="s">
        <v>260</v>
      </c>
      <c r="D252" s="71" t="str">
        <f t="shared" si="41"/>
        <v>VALLEY HS (SA)</v>
      </c>
      <c r="E252" s="71">
        <v>164</v>
      </c>
      <c r="F252" s="91" t="str">
        <f>IF(G246="","L140",IF(G246&lt;I246,_xlfn.CONCAT("L140-",RIGHT(F246,LEN(F246) - FIND("-",F246))), _xlfn.CONCAT("L140-",RIGHT(H246,LEN(H246) - FIND("-",H246)))))</f>
        <v>L140-AQUATEX</v>
      </c>
      <c r="G252" s="92">
        <v>8</v>
      </c>
      <c r="H252" s="91" t="str">
        <f>IF(G245="","L136",IF(G245&lt;I245,_xlfn.CONCAT("L136-",RIGHT(F245,LEN(F245) - FIND("-",F245))), _xlfn.CONCAT("L136-",RIGHT(H245,LEN(H245) - FIND("-",H245)))))</f>
        <v>L136-TOPAZ TSUNAMI</v>
      </c>
      <c r="I252" s="92">
        <v>9</v>
      </c>
      <c r="J252" s="91">
        <v>175</v>
      </c>
      <c r="K252" s="91">
        <v>176</v>
      </c>
      <c r="L252" s="91" t="str">
        <f t="shared" si="42"/>
        <v>18BX-164</v>
      </c>
      <c r="O252" s="62" t="str">
        <f t="shared" si="43"/>
        <v>bz_17-20 semi</v>
      </c>
    </row>
    <row r="253" spans="1:15" ht="14.1" customHeight="1" thickBot="1">
      <c r="G253" s="62"/>
    </row>
    <row r="254" spans="1:15" ht="14.1" customHeight="1" thickTop="1" thickBot="1">
      <c r="A254" s="68" t="s">
        <v>267</v>
      </c>
      <c r="B254" s="82"/>
      <c r="C254" s="82"/>
      <c r="D254" s="82"/>
      <c r="E254" s="82"/>
      <c r="F254" s="82"/>
      <c r="G254" s="83"/>
      <c r="H254" s="82"/>
      <c r="I254" s="82"/>
      <c r="J254" s="82"/>
      <c r="K254" s="82"/>
      <c r="L254" s="82"/>
    </row>
    <row r="255" spans="1:15" ht="14.1" customHeight="1" thickBot="1">
      <c r="A255" s="61">
        <v>46229</v>
      </c>
      <c r="G255" s="62"/>
      <c r="K255" s="62" t="s">
        <v>1034</v>
      </c>
      <c r="L255" s="62" t="s">
        <v>1035</v>
      </c>
    </row>
    <row r="256" spans="1:15" ht="14.1" customHeight="1" thickBot="1">
      <c r="A256" s="60"/>
      <c r="B256" s="95"/>
      <c r="C256" s="60"/>
      <c r="D256" s="65" t="str">
        <f>'CHICLETS MASTER S2'!$AZ$72</f>
        <v>LA HABRA HS</v>
      </c>
      <c r="E256" s="60"/>
      <c r="F256" s="60"/>
      <c r="G256" s="64"/>
      <c r="H256" s="60"/>
      <c r="I256" s="64"/>
      <c r="J256" s="60"/>
      <c r="K256" s="60"/>
      <c r="L256" s="60"/>
    </row>
    <row r="257" spans="1:15" ht="14.1" customHeight="1">
      <c r="A257" s="144" t="s">
        <v>124</v>
      </c>
      <c r="B257" s="145" t="s">
        <v>125</v>
      </c>
      <c r="C257" s="145" t="s">
        <v>126</v>
      </c>
      <c r="D257" s="145" t="s">
        <v>127</v>
      </c>
      <c r="E257" s="145" t="s">
        <v>128</v>
      </c>
      <c r="F257" s="145" t="s">
        <v>129</v>
      </c>
      <c r="G257" s="145" t="s">
        <v>130</v>
      </c>
      <c r="H257" s="145" t="s">
        <v>131</v>
      </c>
      <c r="I257" s="145" t="s">
        <v>130</v>
      </c>
      <c r="J257" s="145" t="s">
        <v>132</v>
      </c>
      <c r="K257" s="145" t="s">
        <v>133</v>
      </c>
      <c r="L257" s="145" t="s">
        <v>134</v>
      </c>
    </row>
    <row r="258" spans="1:15" ht="14.1" customHeight="1">
      <c r="A258" s="69">
        <f t="shared" ref="A258:A283" si="44">$A$255</f>
        <v>46229</v>
      </c>
      <c r="B258" s="70">
        <f>'CHICLETS MASTER S2'!X73</f>
        <v>0.29166666666666669</v>
      </c>
      <c r="C258" s="71" t="s">
        <v>281</v>
      </c>
      <c r="D258" s="71" t="str">
        <f t="shared" ref="D258:D264" si="45">$D$256</f>
        <v>LA HABRA HS</v>
      </c>
      <c r="E258" s="71">
        <v>182</v>
      </c>
      <c r="F258" s="90" t="str">
        <f>IF(G204="","W149",IF(G204&gt;I204,_xlfn.CONCAT("W149-",RIGHT(F204,LEN(F204) - FIND("-",F204))), _xlfn.CONCAT("W149-",RIGHT(H204,LEN(H204) - FIND("-",H204)))))</f>
        <v>W149-CHAWP WHITE</v>
      </c>
      <c r="G258" s="93">
        <v>6</v>
      </c>
      <c r="H258" s="90" t="str">
        <f>IF(G205="","W153",IF(G205&gt;I205,_xlfn.CONCAT("W153-",RIGHT(F205,LEN(F205) - FIND("-",F205))), _xlfn.CONCAT("W153-",RIGHT(H205,LEN(H205) - FIND("-",H205)))))</f>
        <v>W153-CARLSBAD</v>
      </c>
      <c r="I258" s="93">
        <v>10</v>
      </c>
      <c r="J258" s="90" t="s">
        <v>1169</v>
      </c>
      <c r="K258" s="90" t="s">
        <v>1170</v>
      </c>
      <c r="L258" s="90" t="str">
        <f t="shared" ref="L258:L264" si="46">$L$15&amp;"-"&amp;TEXT(E258,"000")</f>
        <v>18BX-182</v>
      </c>
      <c r="N258" s="62" t="str">
        <f t="shared" ref="N258:N264" si="47">$K$255&amp;C258</f>
        <v>ag_9th</v>
      </c>
      <c r="O258" s="62" t="str">
        <f t="shared" ref="O258:O264" si="48">$K$255&amp;C258</f>
        <v>ag_9th</v>
      </c>
    </row>
    <row r="259" spans="1:15" ht="14.1" customHeight="1">
      <c r="A259" s="69">
        <f t="shared" si="44"/>
        <v>46229</v>
      </c>
      <c r="B259" s="70">
        <f>'CHICLETS MASTER S2'!X74</f>
        <v>0.33333333333333298</v>
      </c>
      <c r="C259" s="71" t="s">
        <v>269</v>
      </c>
      <c r="D259" s="71" t="str">
        <f t="shared" si="45"/>
        <v>LA HABRA HS</v>
      </c>
      <c r="E259" s="71">
        <v>185</v>
      </c>
      <c r="F259" s="90" t="str">
        <f>IF(G202="","L141",IF(G202&lt;I202,_xlfn.CONCAT("L141-",RIGHT(F202,LEN(F202) - FIND("-",F202))), _xlfn.CONCAT("L141-",RIGHT(H202,LEN(H202) - FIND("-",H202)))))</f>
        <v>L141-SOUTH COAST RED</v>
      </c>
      <c r="G259" s="97">
        <v>6.2</v>
      </c>
      <c r="H259" s="90" t="str">
        <f>IF(G203="","L145",IF(G203&lt;I203,_xlfn.CONCAT("L145-",RIGHT(F203,LEN(F203) - FIND("-",F203))), _xlfn.CONCAT("L145-",RIGHT(H203,LEN(H203) - FIND("-",H203)))))</f>
        <v>L145-SD SHORES GOLD</v>
      </c>
      <c r="I259" s="97">
        <v>6.1</v>
      </c>
      <c r="J259" s="90" t="s">
        <v>1151</v>
      </c>
      <c r="K259" s="90" t="s">
        <v>1152</v>
      </c>
      <c r="L259" s="90" t="str">
        <f t="shared" si="46"/>
        <v>18BX-185</v>
      </c>
      <c r="N259" s="62" t="str">
        <f t="shared" si="47"/>
        <v>ag_7th</v>
      </c>
      <c r="O259" s="62" t="str">
        <f t="shared" si="48"/>
        <v>ag_7th</v>
      </c>
    </row>
    <row r="260" spans="1:15" ht="14.1" customHeight="1">
      <c r="A260" s="69">
        <f t="shared" si="44"/>
        <v>46229</v>
      </c>
      <c r="B260" s="70">
        <f>'CHICLETS MASTER S2'!X75</f>
        <v>0.375</v>
      </c>
      <c r="C260" s="71" t="s">
        <v>272</v>
      </c>
      <c r="D260" s="71" t="str">
        <f t="shared" si="45"/>
        <v>LA HABRA HS</v>
      </c>
      <c r="E260" s="94">
        <v>186</v>
      </c>
      <c r="F260" s="122" t="str">
        <f>IF(G206="","L157",IF(G206&lt;I206,_xlfn.CONCAT("L157-",RIGHT(F206,LEN(F206) - FIND("-",F206))), _xlfn.CONCAT("L157-",RIGHT(H206,LEN(H206) - FIND("-",H206)))))</f>
        <v>L157-SET</v>
      </c>
      <c r="G260" s="123">
        <v>10</v>
      </c>
      <c r="H260" s="90" t="str">
        <f>IF(G207="","L161",IF(G207&lt;I207,_xlfn.CONCAT("L161-",RIGHT(F207,LEN(F207) - FIND("-",F207))), _xlfn.CONCAT("L161-",RIGHT(H207,LEN(H207) - FIND("-",H207)))))</f>
        <v>L161-TSUNAMI</v>
      </c>
      <c r="I260" s="93">
        <v>12</v>
      </c>
      <c r="J260" s="90" t="s">
        <v>1149</v>
      </c>
      <c r="K260" s="90" t="s">
        <v>1150</v>
      </c>
      <c r="L260" s="90" t="str">
        <f t="shared" si="46"/>
        <v>18BX-186</v>
      </c>
      <c r="N260" s="62" t="str">
        <f t="shared" si="47"/>
        <v>ag_5th</v>
      </c>
      <c r="O260" s="62" t="str">
        <f t="shared" si="48"/>
        <v>ag_5th</v>
      </c>
    </row>
    <row r="261" spans="1:15" ht="14.1" customHeight="1">
      <c r="A261" s="69">
        <f t="shared" si="44"/>
        <v>46229</v>
      </c>
      <c r="B261" s="70">
        <f>'CHICLETS MASTER S2'!X76</f>
        <v>0.41666666666666702</v>
      </c>
      <c r="C261" s="71" t="s">
        <v>284</v>
      </c>
      <c r="D261" s="71" t="str">
        <f t="shared" si="45"/>
        <v>LA HABRA HS</v>
      </c>
      <c r="E261" s="94">
        <v>181</v>
      </c>
      <c r="F261" s="122" t="str">
        <f>IF(G204="","L149",IF(G204&lt;I204,_xlfn.CONCAT("L149-",RIGHT(F204,LEN(F204) - FIND("-",F204))), _xlfn.CONCAT("L149-",RIGHT(H204,LEN(H204) - FIND("-",H204)))))</f>
        <v>L149-COMMERCE</v>
      </c>
      <c r="G261" s="123">
        <v>8</v>
      </c>
      <c r="H261" s="90" t="str">
        <f>IF(G205="","L153",IF(G205&lt;I205,_xlfn.CONCAT("L153-",RIGHT(F205,LEN(F205) - FIND("-",F205))), _xlfn.CONCAT("L153-",RIGHT(H205,LEN(H205) - FIND("-",H205)))))</f>
        <v>L153-CLOVIS RED</v>
      </c>
      <c r="I261" s="93">
        <v>9</v>
      </c>
      <c r="J261" s="90" t="s">
        <v>1171</v>
      </c>
      <c r="K261" s="90" t="s">
        <v>1172</v>
      </c>
      <c r="L261" s="90" t="str">
        <f t="shared" si="46"/>
        <v>18BX-181</v>
      </c>
      <c r="N261" s="62" t="str">
        <f t="shared" si="47"/>
        <v>ag_11th</v>
      </c>
      <c r="O261" s="62" t="str">
        <f t="shared" si="48"/>
        <v>ag_11th</v>
      </c>
    </row>
    <row r="262" spans="1:15" ht="14.1" customHeight="1">
      <c r="A262" s="69">
        <f t="shared" si="44"/>
        <v>46229</v>
      </c>
      <c r="B262" s="70">
        <f>'CHICLETS MASTER S2'!X77</f>
        <v>0.45833333333333298</v>
      </c>
      <c r="C262" s="71" t="s">
        <v>287</v>
      </c>
      <c r="D262" s="71" t="str">
        <f t="shared" si="45"/>
        <v>LA HABRA HS</v>
      </c>
      <c r="E262" s="71">
        <v>178</v>
      </c>
      <c r="F262" s="90" t="str">
        <f>IF(G219="","W150",IF(G219&gt;I219,_xlfn.CONCAT("W150-",RIGHT(F219,LEN(F219) - FIND("-",F219))), _xlfn.CONCAT("W150-",RIGHT(H219,LEN(H219) - FIND("-",H219)))))</f>
        <v>W150-SAN JOSE FOUNDATION</v>
      </c>
      <c r="G262" s="93">
        <v>10</v>
      </c>
      <c r="H262" s="90" t="str">
        <f>IF(G221="","W158",IF(G221&gt;I221,_xlfn.CONCAT("W158-",RIGHT(F221,LEN(F221) - FIND("-",F221))), _xlfn.CONCAT("W158-",RIGHT(H221,LEN(H221) - FIND("-",H221)))))</f>
        <v>W158-CENTRAL VALLEY UNITED</v>
      </c>
      <c r="I262" s="93">
        <v>7</v>
      </c>
      <c r="J262" s="90" t="s">
        <v>1173</v>
      </c>
      <c r="K262" s="90" t="s">
        <v>1174</v>
      </c>
      <c r="L262" s="90" t="str">
        <f t="shared" si="46"/>
        <v>18BX-178</v>
      </c>
      <c r="N262" s="62" t="str">
        <f t="shared" si="47"/>
        <v>ag_13th</v>
      </c>
      <c r="O262" s="62" t="str">
        <f t="shared" si="48"/>
        <v>ag_13th</v>
      </c>
    </row>
    <row r="263" spans="1:15" ht="14.1" customHeight="1">
      <c r="A263" s="69">
        <f t="shared" si="44"/>
        <v>46229</v>
      </c>
      <c r="B263" s="70">
        <f>'CHICLETS MASTER S2'!X78</f>
        <v>0.5</v>
      </c>
      <c r="C263" s="71" t="s">
        <v>290</v>
      </c>
      <c r="D263" s="71" t="str">
        <f t="shared" si="45"/>
        <v>LA HABRA HS</v>
      </c>
      <c r="E263" s="71">
        <v>177</v>
      </c>
      <c r="F263" s="90" t="str">
        <f>IF(G219="","L150",IF(G219&lt;I219,_xlfn.CONCAT("L150-",RIGHT(F219,LEN(F219) - FIND("-",F219))), _xlfn.CONCAT("L150-",RIGHT(H219,LEN(H219) - FIND("-",H219)))))</f>
        <v>L150-ORWP</v>
      </c>
      <c r="G263" s="93">
        <v>10</v>
      </c>
      <c r="H263" s="90" t="str">
        <f>IF(G221="","L158",IF(G221&lt;I221,_xlfn.CONCAT("L158-",RIGHT(F221,LEN(F221) - FIND("-",F221))), _xlfn.CONCAT("L158-",RIGHT(H221,LEN(H221) - FIND("-",H221)))))</f>
        <v>L158-KINGSBURG</v>
      </c>
      <c r="I263" s="93">
        <v>6</v>
      </c>
      <c r="J263" s="90" t="s">
        <v>1175</v>
      </c>
      <c r="K263" s="90" t="s">
        <v>1176</v>
      </c>
      <c r="L263" s="90" t="str">
        <f t="shared" si="46"/>
        <v>18BX-177</v>
      </c>
      <c r="N263" s="62" t="str">
        <f t="shared" si="47"/>
        <v>ag_15th</v>
      </c>
      <c r="O263" s="62" t="str">
        <f t="shared" si="48"/>
        <v>ag_15th</v>
      </c>
    </row>
    <row r="264" spans="1:15" ht="14.1" customHeight="1">
      <c r="A264" s="69">
        <f t="shared" si="44"/>
        <v>46229</v>
      </c>
      <c r="B264" s="70">
        <f>'CHICLETS MASTER S2'!X79</f>
        <v>0.54166666666666696</v>
      </c>
      <c r="C264" s="71" t="s">
        <v>293</v>
      </c>
      <c r="D264" s="71" t="str">
        <f t="shared" si="45"/>
        <v>LA HABRA HS</v>
      </c>
      <c r="E264" s="71">
        <v>170</v>
      </c>
      <c r="F264" s="90" t="str">
        <f>IF(G220="","W154",IF(G220&gt;I220,_xlfn.CONCAT("W154-",RIGHT(F220,LEN(F220) - FIND("-",F220))), _xlfn.CONCAT("W154-",RIGHT(H220,LEN(H220) - FIND("-",H220)))))</f>
        <v>W154-HIELAND</v>
      </c>
      <c r="G264" s="93">
        <v>9</v>
      </c>
      <c r="H264" s="90" t="str">
        <f>IF(G222="","W162",IF(G222&gt;I222,_xlfn.CONCAT("W162-",RIGHT(F222,LEN(F222) - FIND("-",F222))), _xlfn.CONCAT("W162-",RIGHT(H222,LEN(H222) - FIND("-",H222)))))</f>
        <v>W162-OHANA</v>
      </c>
      <c r="I264" s="93">
        <v>7</v>
      </c>
      <c r="J264" s="90" t="s">
        <v>1177</v>
      </c>
      <c r="K264" s="90" t="s">
        <v>1178</v>
      </c>
      <c r="L264" s="90" t="str">
        <f t="shared" si="46"/>
        <v>18BX-170</v>
      </c>
      <c r="N264" s="62" t="str">
        <f t="shared" si="47"/>
        <v>ag_17th</v>
      </c>
      <c r="O264" s="62" t="str">
        <f t="shared" si="48"/>
        <v>ag_17th</v>
      </c>
    </row>
    <row r="265" spans="1:15" ht="14.1" customHeight="1" thickBot="1"/>
    <row r="266" spans="1:15" ht="14.1" customHeight="1" thickBot="1">
      <c r="A266" s="60"/>
      <c r="B266" s="60"/>
      <c r="C266" s="60"/>
      <c r="D266" s="65" t="str">
        <f>'CHICLETS MASTER S2'!$AP$72</f>
        <v>EDISON HS</v>
      </c>
      <c r="E266" s="60"/>
      <c r="F266" s="60"/>
      <c r="G266" s="64"/>
      <c r="H266" s="60"/>
      <c r="I266" s="64"/>
      <c r="J266" s="60"/>
      <c r="K266" s="60"/>
      <c r="L266" s="60"/>
    </row>
    <row r="267" spans="1:15" ht="14.1" customHeight="1">
      <c r="A267" s="144" t="s">
        <v>124</v>
      </c>
      <c r="B267" s="145" t="s">
        <v>125</v>
      </c>
      <c r="C267" s="145" t="s">
        <v>126</v>
      </c>
      <c r="D267" s="145" t="s">
        <v>127</v>
      </c>
      <c r="E267" s="145" t="s">
        <v>128</v>
      </c>
      <c r="F267" s="145" t="s">
        <v>129</v>
      </c>
      <c r="G267" s="145" t="s">
        <v>130</v>
      </c>
      <c r="H267" s="145" t="s">
        <v>131</v>
      </c>
      <c r="I267" s="145" t="s">
        <v>130</v>
      </c>
      <c r="J267" s="145" t="s">
        <v>132</v>
      </c>
      <c r="K267" s="145" t="s">
        <v>133</v>
      </c>
      <c r="L267" s="145" t="s">
        <v>134</v>
      </c>
    </row>
    <row r="268" spans="1:15" ht="14.1" customHeight="1">
      <c r="A268" s="69">
        <f>$A$255</f>
        <v>46229</v>
      </c>
      <c r="B268" s="70">
        <f>'CHICLETS MASTER S2'!X73</f>
        <v>0.29166666666666669</v>
      </c>
      <c r="C268" s="71" t="s">
        <v>249</v>
      </c>
      <c r="D268" s="71" t="str">
        <f>$D$266</f>
        <v>EDISON HS</v>
      </c>
      <c r="E268" s="71">
        <v>167</v>
      </c>
      <c r="F268" s="91" t="s">
        <v>1539</v>
      </c>
      <c r="G268" s="92">
        <v>6</v>
      </c>
      <c r="H268" s="91" t="s">
        <v>1537</v>
      </c>
      <c r="I268" s="92">
        <v>7</v>
      </c>
      <c r="J268" s="91"/>
      <c r="K268" s="91"/>
      <c r="L268" s="91" t="str">
        <f t="shared" ref="L268:L274" si="49">$L$15&amp;"-"&amp;TEXT(E268,"000")</f>
        <v>18BX-167</v>
      </c>
      <c r="N268" s="62" t="str">
        <f>$L$255&amp;C268</f>
        <v>bz_21-24 RR</v>
      </c>
      <c r="O268" s="62" t="str">
        <f>$L$255&amp;C268</f>
        <v>bz_21-24 RR</v>
      </c>
    </row>
    <row r="269" spans="1:15" ht="14.1" customHeight="1">
      <c r="A269" s="69">
        <f>$A$255</f>
        <v>46229</v>
      </c>
      <c r="B269" s="70">
        <f>'CHICLETS MASTER S2'!X74</f>
        <v>0.33333333333333298</v>
      </c>
      <c r="C269" s="71" t="s">
        <v>249</v>
      </c>
      <c r="D269" s="71" t="str">
        <f t="shared" ref="D269:D274" si="50">$D$266</f>
        <v>EDISON HS</v>
      </c>
      <c r="E269" s="71">
        <v>168</v>
      </c>
      <c r="F269" s="91" t="s">
        <v>1538</v>
      </c>
      <c r="G269" s="92">
        <v>9</v>
      </c>
      <c r="H269" s="91" t="s">
        <v>1540</v>
      </c>
      <c r="I269" s="92">
        <v>3</v>
      </c>
      <c r="J269" s="91"/>
      <c r="K269" s="91"/>
      <c r="L269" s="91" t="str">
        <f t="shared" si="49"/>
        <v>18BX-168</v>
      </c>
      <c r="N269" s="62" t="str">
        <f>$L$255&amp;C269</f>
        <v>bz_21-24 RR</v>
      </c>
      <c r="O269" s="62" t="str">
        <f>$L$255&amp;C269</f>
        <v>bz_21-24 RR</v>
      </c>
    </row>
    <row r="270" spans="1:15" ht="14.1" customHeight="1">
      <c r="A270" s="69">
        <f t="shared" si="44"/>
        <v>46229</v>
      </c>
      <c r="B270" s="70">
        <f>'CHICLETS MASTER S2'!X75</f>
        <v>0.375</v>
      </c>
      <c r="C270" s="71" t="s">
        <v>249</v>
      </c>
      <c r="D270" s="71" t="str">
        <f t="shared" si="50"/>
        <v>EDISON HS</v>
      </c>
      <c r="E270" s="71">
        <v>166</v>
      </c>
      <c r="F270" s="90" t="s">
        <v>1522</v>
      </c>
      <c r="G270" s="93">
        <v>10</v>
      </c>
      <c r="H270" s="90" t="s">
        <v>1524</v>
      </c>
      <c r="I270" s="93">
        <v>9</v>
      </c>
      <c r="J270" s="90"/>
      <c r="K270" s="90"/>
      <c r="L270" s="90" t="str">
        <f t="shared" si="49"/>
        <v>18BX-166</v>
      </c>
      <c r="N270" s="62" t="str">
        <f>$K$255&amp;C270</f>
        <v>ag_21-24 RR</v>
      </c>
      <c r="O270" s="62" t="str">
        <f>$K$255&amp;C270</f>
        <v>ag_21-24 RR</v>
      </c>
    </row>
    <row r="271" spans="1:15" ht="14.1" customHeight="1">
      <c r="A271" s="69">
        <f t="shared" si="44"/>
        <v>46229</v>
      </c>
      <c r="B271" s="70">
        <f>'CHICLETS MASTER S2'!X76</f>
        <v>0.41666666666666702</v>
      </c>
      <c r="C271" s="71" t="s">
        <v>249</v>
      </c>
      <c r="D271" s="71" t="str">
        <f t="shared" si="50"/>
        <v>EDISON HS</v>
      </c>
      <c r="E271" s="71">
        <v>165</v>
      </c>
      <c r="F271" s="90" t="s">
        <v>1523</v>
      </c>
      <c r="G271" s="93">
        <v>7</v>
      </c>
      <c r="H271" s="90" t="s">
        <v>1521</v>
      </c>
      <c r="I271" s="93">
        <v>10</v>
      </c>
      <c r="J271" s="90"/>
      <c r="K271" s="90"/>
      <c r="L271" s="90" t="str">
        <f t="shared" si="49"/>
        <v>18BX-165</v>
      </c>
      <c r="N271" s="62" t="str">
        <f>$K$255&amp;C271</f>
        <v>ag_21-24 RR</v>
      </c>
      <c r="O271" s="62" t="str">
        <f>$K$255&amp;C271</f>
        <v>ag_21-24 RR</v>
      </c>
    </row>
    <row r="272" spans="1:15" ht="14.1" customHeight="1">
      <c r="A272" s="69">
        <f t="shared" si="44"/>
        <v>46229</v>
      </c>
      <c r="B272" s="70">
        <f>'CHICLETS MASTER S2'!X77</f>
        <v>0.45833333333333298</v>
      </c>
      <c r="C272" s="71" t="s">
        <v>296</v>
      </c>
      <c r="D272" s="71" t="str">
        <f t="shared" si="50"/>
        <v>EDISON HS</v>
      </c>
      <c r="E272" s="71">
        <v>169</v>
      </c>
      <c r="F272" s="90" t="str">
        <f>IF(G220="","L154",IF(G220&lt;I220,_xlfn.CONCAT("L154-",RIGHT(F220,LEN(F220) - FIND("-",F220))), _xlfn.CONCAT("L154-",RIGHT(H220,LEN(H220) - FIND("-",H220)))))</f>
        <v>L154-ROSE BOWL RED</v>
      </c>
      <c r="G272" s="93">
        <v>18</v>
      </c>
      <c r="H272" s="90" t="str">
        <f>IF(G222="","L162",IF(G222&lt;I222,_xlfn.CONCAT("L162-",RIGHT(F222,LEN(F222) - FIND("-",F222))), _xlfn.CONCAT("L162-",RIGHT(H222,LEN(H222) - FIND("-",H222)))))</f>
        <v>L162-CLOVIS B</v>
      </c>
      <c r="I272" s="93">
        <v>8</v>
      </c>
      <c r="J272" s="90" t="s">
        <v>1179</v>
      </c>
      <c r="K272" s="90" t="s">
        <v>1180</v>
      </c>
      <c r="L272" s="90" t="str">
        <f t="shared" si="49"/>
        <v>18BX-169</v>
      </c>
      <c r="N272" s="62" t="str">
        <f>$K$255&amp;C272</f>
        <v>ag_19th</v>
      </c>
      <c r="O272" s="62" t="str">
        <f>$K$255&amp;C272</f>
        <v>ag_19th</v>
      </c>
    </row>
    <row r="273" spans="1:15" ht="14.1" customHeight="1">
      <c r="A273" s="69">
        <f t="shared" si="44"/>
        <v>46229</v>
      </c>
      <c r="B273" s="70">
        <f>'CHICLETS MASTER S2'!X78</f>
        <v>0.5</v>
      </c>
      <c r="C273" s="71" t="s">
        <v>290</v>
      </c>
      <c r="D273" s="71" t="str">
        <f t="shared" si="50"/>
        <v>EDISON HS</v>
      </c>
      <c r="E273" s="94">
        <v>180</v>
      </c>
      <c r="F273" s="91" t="str">
        <f>IF(G249="","L152",IF(G249&lt;I249,_xlfn.CONCAT("L152-",RIGHT(F249,LEN(F249) - FIND("-",F249))), _xlfn.CONCAT("L152-",RIGHT(H249,LEN(H249) - FIND("-",H249)))))</f>
        <v>L152-SAND CANYON RED</v>
      </c>
      <c r="G273" s="92">
        <v>4</v>
      </c>
      <c r="H273" s="91" t="str">
        <f>IF(G251="","L160",IF(G251&lt;I251,_xlfn.CONCAT("L160-",RIGHT(F251,LEN(F251) - FIND("-",F251))), _xlfn.CONCAT("L160-",RIGHT(H251,LEN(H251) - FIND("-",H251)))))</f>
        <v>L160-MID PEN</v>
      </c>
      <c r="I273" s="92">
        <v>10</v>
      </c>
      <c r="J273" s="91" t="s">
        <v>1147</v>
      </c>
      <c r="K273" s="91" t="s">
        <v>1148</v>
      </c>
      <c r="L273" s="91" t="str">
        <f t="shared" si="49"/>
        <v>18BX-180</v>
      </c>
      <c r="N273" s="62" t="str">
        <f>$L$255&amp;C273</f>
        <v>bz_15th</v>
      </c>
      <c r="O273" s="62" t="str">
        <f>$L$255&amp;C273</f>
        <v>bz_15th</v>
      </c>
    </row>
    <row r="274" spans="1:15" ht="14.1" customHeight="1">
      <c r="A274" s="69">
        <f t="shared" si="44"/>
        <v>46229</v>
      </c>
      <c r="B274" s="70">
        <f>'CHICLETS MASTER S2'!X79</f>
        <v>0.54166666666666696</v>
      </c>
      <c r="C274" s="71" t="s">
        <v>293</v>
      </c>
      <c r="D274" s="71" t="str">
        <f t="shared" si="50"/>
        <v>EDISON HS</v>
      </c>
      <c r="E274" s="71">
        <v>175</v>
      </c>
      <c r="F274" s="91" t="str">
        <f>IF(G250="","W156",IF(G250&gt;I250,_xlfn.CONCAT("W156-",RIGHT(F250,LEN(F250) - FIND("-",F250))), _xlfn.CONCAT("W156-",RIGHT(H250,LEN(H250) - FIND("-",H250)))))</f>
        <v>W156-ELMHURST</v>
      </c>
      <c r="G274" s="92">
        <v>8</v>
      </c>
      <c r="H274" s="91" t="str">
        <f>IF(G252="","W164",IF(G252&gt;I252,_xlfn.CONCAT("W164-",RIGHT(F252,LEN(F252) - FIND("-",F252))), _xlfn.CONCAT("W164-",RIGHT(H252,LEN(H252) - FIND("-",H252)))))</f>
        <v>W164-TOPAZ TSUNAMI</v>
      </c>
      <c r="I274" s="92">
        <v>15</v>
      </c>
      <c r="J274" s="91" t="s">
        <v>1153</v>
      </c>
      <c r="K274" s="91" t="s">
        <v>1154</v>
      </c>
      <c r="L274" s="91" t="str">
        <f t="shared" si="49"/>
        <v>18BX-175</v>
      </c>
      <c r="N274" s="62" t="str">
        <f>$L$255&amp;C274</f>
        <v>bz_17th</v>
      </c>
      <c r="O274" s="62" t="str">
        <f>$L$255&amp;C274</f>
        <v>bz_17th</v>
      </c>
    </row>
    <row r="275" spans="1:15" ht="14.1" customHeight="1" thickBot="1"/>
    <row r="276" spans="1:15" ht="14.1" customHeight="1" thickBot="1">
      <c r="A276" s="60"/>
      <c r="B276" s="60"/>
      <c r="C276" s="60"/>
      <c r="D276" s="65" t="str">
        <f>'CHICLETS MASTER S2'!$AI$72</f>
        <v>VALLEY HS (SA)</v>
      </c>
      <c r="E276" s="60"/>
      <c r="F276" s="60"/>
      <c r="G276" s="64"/>
      <c r="H276" s="60"/>
      <c r="I276" s="64"/>
      <c r="J276" s="60"/>
      <c r="K276" s="60"/>
      <c r="L276" s="60"/>
    </row>
    <row r="277" spans="1:15" ht="14.1" customHeight="1">
      <c r="A277" s="144" t="s">
        <v>124</v>
      </c>
      <c r="B277" s="145" t="s">
        <v>125</v>
      </c>
      <c r="C277" s="145" t="s">
        <v>126</v>
      </c>
      <c r="D277" s="145" t="s">
        <v>127</v>
      </c>
      <c r="E277" s="145" t="s">
        <v>128</v>
      </c>
      <c r="F277" s="145" t="s">
        <v>129</v>
      </c>
      <c r="G277" s="145" t="s">
        <v>130</v>
      </c>
      <c r="H277" s="145" t="s">
        <v>131</v>
      </c>
      <c r="I277" s="145" t="s">
        <v>130</v>
      </c>
      <c r="J277" s="145" t="s">
        <v>132</v>
      </c>
      <c r="K277" s="145" t="s">
        <v>133</v>
      </c>
      <c r="L277" s="145" t="s">
        <v>134</v>
      </c>
    </row>
    <row r="278" spans="1:15" ht="14.1" customHeight="1">
      <c r="A278" s="69">
        <f t="shared" si="44"/>
        <v>46229</v>
      </c>
      <c r="B278" s="70">
        <f>'CHICLETS MASTER S2'!X73</f>
        <v>0.29166666666666669</v>
      </c>
      <c r="C278" s="71" t="s">
        <v>296</v>
      </c>
      <c r="D278" s="71" t="str">
        <f t="shared" ref="D278:D283" si="51">$D$276</f>
        <v>VALLEY HS (SA)</v>
      </c>
      <c r="E278" s="71">
        <v>176</v>
      </c>
      <c r="F278" s="91" t="str">
        <f>IF(G250="","L156",IF(G250&lt;I250,_xlfn.CONCAT("L156-",RIGHT(F250,LEN(F250) - FIND("-",F250))), _xlfn.CONCAT("L156-",RIGHT(H250,LEN(H250) - FIND("-",H250)))))</f>
        <v>L156-MESA</v>
      </c>
      <c r="G278" s="92">
        <v>3</v>
      </c>
      <c r="H278" s="91" t="str">
        <f>IF(G252="","L164",IF(G252&lt;I252,_xlfn.CONCAT("L164-",RIGHT(F252,LEN(F252) - FIND("-",F252))), _xlfn.CONCAT("L164-",RIGHT(H252,LEN(H252) - FIND("-",H252)))))</f>
        <v>L164-AQUATEX</v>
      </c>
      <c r="I278" s="92">
        <v>5</v>
      </c>
      <c r="J278" s="91" t="s">
        <v>1155</v>
      </c>
      <c r="K278" s="91" t="s">
        <v>1156</v>
      </c>
      <c r="L278" s="91" t="str">
        <f t="shared" ref="L278:L283" si="52">$L$15&amp;"-"&amp;TEXT(E278,"000")</f>
        <v>18BX-176</v>
      </c>
      <c r="N278" s="62" t="str">
        <f t="shared" ref="N278:N283" si="53">$L$255&amp;C278</f>
        <v>bz_19th</v>
      </c>
      <c r="O278" s="62" t="str">
        <f t="shared" ref="O278:O283" si="54">$L$255&amp;C278</f>
        <v>bz_19th</v>
      </c>
    </row>
    <row r="279" spans="1:15" ht="14.1" customHeight="1">
      <c r="A279" s="69">
        <f t="shared" si="44"/>
        <v>46229</v>
      </c>
      <c r="B279" s="70">
        <f>'CHICLETS MASTER S2'!X74</f>
        <v>0.33333333333333298</v>
      </c>
      <c r="C279" s="71" t="s">
        <v>272</v>
      </c>
      <c r="D279" s="71" t="str">
        <f t="shared" si="51"/>
        <v>VALLEY HS (SA)</v>
      </c>
      <c r="E279" s="71">
        <v>187</v>
      </c>
      <c r="F279" s="146" t="str">
        <f>IF(G236="","L159",IF(G236&lt;I236,_xlfn.CONCAT("L159-",RIGHT(F236,LEN(F236) - FIND("-",F236))), _xlfn.CONCAT("L159-",RIGHT(H236,LEN(H236) - FIND("-",H236)))))</f>
        <v>L159-NAVY</v>
      </c>
      <c r="G279" s="92">
        <v>9</v>
      </c>
      <c r="H279" s="91" t="str">
        <f>IF(G237="","L163",IF(G237&lt;I237,_xlfn.CONCAT("L163-",RIGHT(F237,LEN(F237) - FIND("-",F237))), _xlfn.CONCAT("L163-",RIGHT(H237,LEN(H237) - FIND("-",H237)))))</f>
        <v>L163-LV LEGENDS</v>
      </c>
      <c r="I279" s="92">
        <v>12</v>
      </c>
      <c r="J279" s="91" t="s">
        <v>1163</v>
      </c>
      <c r="K279" s="91" t="s">
        <v>1164</v>
      </c>
      <c r="L279" s="91" t="str">
        <f t="shared" si="52"/>
        <v>18BX-187</v>
      </c>
      <c r="N279" s="62" t="str">
        <f t="shared" si="53"/>
        <v>bz_5th</v>
      </c>
      <c r="O279" s="62" t="str">
        <f t="shared" si="54"/>
        <v>bz_5th</v>
      </c>
    </row>
    <row r="280" spans="1:15" ht="14.1" customHeight="1">
      <c r="A280" s="69">
        <f t="shared" si="44"/>
        <v>46229</v>
      </c>
      <c r="B280" s="70">
        <f>'CHICLETS MASTER S2'!X75</f>
        <v>0.375</v>
      </c>
      <c r="C280" s="71" t="s">
        <v>281</v>
      </c>
      <c r="D280" s="71" t="str">
        <f t="shared" si="51"/>
        <v>VALLEY HS (SA)</v>
      </c>
      <c r="E280" s="71">
        <v>183</v>
      </c>
      <c r="F280" s="91" t="str">
        <f>IF(G234="","W151",IF(G234&gt;I234,_xlfn.CONCAT("W151-",RIGHT(F234,LEN(F234) - FIND("-",F234))), _xlfn.CONCAT("W151-",RIGHT(H234,LEN(H234) - FIND("-",H234)))))</f>
        <v>W151-ALBUQUERQUE</v>
      </c>
      <c r="G280" s="92">
        <v>11</v>
      </c>
      <c r="H280" s="91" t="str">
        <f>IF(G235="","W155",IF(G235&gt;I235,_xlfn.CONCAT("W155-",RIGHT(F235,LEN(F235) - FIND("-",F235))), _xlfn.CONCAT("W155-",RIGHT(H235,LEN(H235) - FIND("-",H235)))))</f>
        <v>W155-LA JOLLA UNITED B</v>
      </c>
      <c r="I280" s="92">
        <v>15</v>
      </c>
      <c r="J280" s="91" t="s">
        <v>1165</v>
      </c>
      <c r="K280" s="91" t="s">
        <v>1166</v>
      </c>
      <c r="L280" s="91" t="str">
        <f t="shared" si="52"/>
        <v>18BX-183</v>
      </c>
      <c r="N280" s="62" t="str">
        <f t="shared" si="53"/>
        <v>bz_9th</v>
      </c>
      <c r="O280" s="62" t="str">
        <f t="shared" si="54"/>
        <v>bz_9th</v>
      </c>
    </row>
    <row r="281" spans="1:15" ht="14.1" customHeight="1">
      <c r="A281" s="69">
        <f t="shared" si="44"/>
        <v>46229</v>
      </c>
      <c r="B281" s="70">
        <f>'CHICLETS MASTER S2'!X76</f>
        <v>0.41666666666666702</v>
      </c>
      <c r="C281" s="71" t="s">
        <v>269</v>
      </c>
      <c r="D281" s="71" t="str">
        <f t="shared" si="51"/>
        <v>VALLEY HS (SA)</v>
      </c>
      <c r="E281" s="71">
        <v>188</v>
      </c>
      <c r="F281" s="91" t="str">
        <f>IF(G232="","L143",IF(G232&lt;I232,_xlfn.CONCAT("L143-",RIGHT(F232,LEN(F232) - FIND("-",F232))), _xlfn.CONCAT("L143-",RIGHT(H232,LEN(H232) - FIND("-",H232)))))</f>
        <v>L143-CHARGERS BLACK</v>
      </c>
      <c r="G281" s="92">
        <v>10</v>
      </c>
      <c r="H281" s="91" t="str">
        <f>IF(G233="","L147",IF(G233&lt;I233,_xlfn.CONCAT("L147-",RIGHT(F233,LEN(F233) - FIND("-",F233))), _xlfn.CONCAT("L147-",RIGHT(H233,LEN(H233) - FIND("-",H233)))))</f>
        <v>L147-FARALLON</v>
      </c>
      <c r="I281" s="92">
        <v>9</v>
      </c>
      <c r="J281" s="91" t="s">
        <v>1161</v>
      </c>
      <c r="K281" s="91" t="s">
        <v>1162</v>
      </c>
      <c r="L281" s="91" t="str">
        <f t="shared" si="52"/>
        <v>18BX-188</v>
      </c>
      <c r="N281" s="62" t="str">
        <f t="shared" si="53"/>
        <v>bz_7th</v>
      </c>
      <c r="O281" s="62" t="str">
        <f t="shared" si="54"/>
        <v>bz_7th</v>
      </c>
    </row>
    <row r="282" spans="1:15" ht="14.1" customHeight="1">
      <c r="A282" s="69">
        <f t="shared" si="44"/>
        <v>46229</v>
      </c>
      <c r="B282" s="70">
        <f>'CHICLETS MASTER S2'!X77</f>
        <v>0.45833333333333298</v>
      </c>
      <c r="C282" s="71" t="s">
        <v>284</v>
      </c>
      <c r="D282" s="71" t="str">
        <f t="shared" si="51"/>
        <v>VALLEY HS (SA)</v>
      </c>
      <c r="E282" s="71">
        <v>184</v>
      </c>
      <c r="F282" s="91" t="str">
        <f>IF(G234="","L151",IF(G234&lt;I234,_xlfn.CONCAT("L151-",RIGHT(F234,LEN(F234) - FIND("-",F234))), _xlfn.CONCAT("L151-",RIGHT(H234,LEN(H234) - FIND("-",H234)))))</f>
        <v>L151-MOOSE</v>
      </c>
      <c r="G282" s="92">
        <v>9</v>
      </c>
      <c r="H282" s="91" t="str">
        <f>IF(G235="","L155",IF(G235&lt;I235,_xlfn.CONCAT("L155-",RIGHT(F235,LEN(F235) - FIND("-",F235))), _xlfn.CONCAT("L155-",RIGHT(H235,LEN(H235) - FIND("-",H235)))))</f>
        <v>L155-THIRD COAST</v>
      </c>
      <c r="I282" s="92">
        <v>15</v>
      </c>
      <c r="J282" s="91" t="s">
        <v>1167</v>
      </c>
      <c r="K282" s="91" t="s">
        <v>1168</v>
      </c>
      <c r="L282" s="91" t="str">
        <f t="shared" si="52"/>
        <v>18BX-184</v>
      </c>
      <c r="N282" s="62" t="str">
        <f t="shared" si="53"/>
        <v>bz_11th</v>
      </c>
      <c r="O282" s="62" t="str">
        <f t="shared" si="54"/>
        <v>bz_11th</v>
      </c>
    </row>
    <row r="283" spans="1:15" ht="14.1" customHeight="1">
      <c r="A283" s="69">
        <f t="shared" si="44"/>
        <v>46229</v>
      </c>
      <c r="B283" s="70">
        <f>'CHICLETS MASTER S2'!X78</f>
        <v>0.5</v>
      </c>
      <c r="C283" s="71" t="s">
        <v>287</v>
      </c>
      <c r="D283" s="71" t="str">
        <f t="shared" si="51"/>
        <v>VALLEY HS (SA)</v>
      </c>
      <c r="E283" s="71">
        <v>179</v>
      </c>
      <c r="F283" s="91" t="str">
        <f>IF(G249="","W152",IF(G249&gt;I249,_xlfn.CONCAT("W152-",RIGHT(F249,LEN(F249) - FIND("-",F249))), _xlfn.CONCAT("W152-",RIGHT(H249,LEN(H249) - FIND("-",H249)))))</f>
        <v>W152-CC UNITED BLUE</v>
      </c>
      <c r="G283" s="92">
        <v>6</v>
      </c>
      <c r="H283" s="91" t="str">
        <f>IF(G251="","W160",IF(G251&gt;I251,_xlfn.CONCAT("W160-",RIGHT(F251,LEN(F251) - FIND("-",F251))), _xlfn.CONCAT("W160-",RIGHT(H251,LEN(H251) - FIND("-",H251)))))</f>
        <v>W160-NEWBERG</v>
      </c>
      <c r="I283" s="92">
        <v>5</v>
      </c>
      <c r="J283" s="91" t="s">
        <v>1145</v>
      </c>
      <c r="K283" s="91" t="s">
        <v>1146</v>
      </c>
      <c r="L283" s="91" t="str">
        <f t="shared" si="52"/>
        <v>18BX-179</v>
      </c>
      <c r="N283" s="62" t="str">
        <f t="shared" si="53"/>
        <v>bz_13th</v>
      </c>
      <c r="O283" s="62" t="str">
        <f t="shared" si="54"/>
        <v>bz_13th</v>
      </c>
    </row>
    <row r="284" spans="1:15" ht="14.1" customHeight="1" thickBot="1"/>
    <row r="285" spans="1:15" ht="14.1" customHeight="1" thickBot="1">
      <c r="A285" s="60"/>
      <c r="B285" s="60"/>
      <c r="C285" s="60"/>
      <c r="D285" s="65" t="str">
        <f>'CHICLETS MASTER S2'!$AR$72</f>
        <v>SADDLEBACK COLLEGE 1</v>
      </c>
      <c r="E285" s="60"/>
      <c r="F285" s="60"/>
      <c r="G285" s="64"/>
      <c r="H285" s="60"/>
      <c r="I285" s="64"/>
      <c r="J285" s="60"/>
      <c r="K285" s="60"/>
      <c r="L285" s="60"/>
    </row>
    <row r="286" spans="1:15" ht="14.1" customHeight="1">
      <c r="A286" s="144" t="s">
        <v>124</v>
      </c>
      <c r="B286" s="145" t="s">
        <v>125</v>
      </c>
      <c r="C286" s="145" t="s">
        <v>126</v>
      </c>
      <c r="D286" s="145" t="s">
        <v>127</v>
      </c>
      <c r="E286" s="145" t="s">
        <v>128</v>
      </c>
      <c r="F286" s="145" t="s">
        <v>129</v>
      </c>
      <c r="G286" s="145" t="s">
        <v>130</v>
      </c>
      <c r="H286" s="145" t="s">
        <v>131</v>
      </c>
      <c r="I286" s="145" t="s">
        <v>130</v>
      </c>
      <c r="J286" s="145" t="s">
        <v>132</v>
      </c>
      <c r="K286" s="145" t="s">
        <v>133</v>
      </c>
      <c r="L286" s="145" t="s">
        <v>134</v>
      </c>
    </row>
    <row r="287" spans="1:15" ht="14.1" customHeight="1">
      <c r="A287" s="69">
        <f t="shared" ref="A287:A294" si="55">$A$255</f>
        <v>46229</v>
      </c>
      <c r="B287" s="70">
        <f>'CHICLETS MASTER S2'!X73</f>
        <v>0.29166666666666669</v>
      </c>
      <c r="C287" s="71" t="s">
        <v>268</v>
      </c>
      <c r="D287" s="99" t="str">
        <f t="shared" ref="D287:D294" si="56">$D$285</f>
        <v>SADDLEBACK COLLEGE 1</v>
      </c>
      <c r="E287" s="71">
        <v>171</v>
      </c>
      <c r="F287" s="91" t="str">
        <f>IF(G231="","W139",IF(G231&gt;I231,_xlfn.CONCAT("W139-",RIGHT(F231,LEN(F231) - FIND("-",F231))), _xlfn.CONCAT("W139-",RIGHT(H231,LEN(H231) - FIND("-",H231)))))</f>
        <v>W139-WEST VALLEY</v>
      </c>
      <c r="G287" s="92">
        <v>12</v>
      </c>
      <c r="H287" s="91" t="str">
        <f>IF(G236="","W159",IF(G236&gt;I236,_xlfn.CONCAT("W159-",RIGHT(F236,LEN(F236) - FIND("-",F236))), _xlfn.CONCAT("W159-",RIGHT(H236,LEN(H236) - FIND("-",H236)))))</f>
        <v>W159-ASPHALT GREEN</v>
      </c>
      <c r="I287" s="92">
        <v>7</v>
      </c>
      <c r="J287" s="91">
        <v>190</v>
      </c>
      <c r="K287" s="91">
        <v>189</v>
      </c>
      <c r="L287" s="91" t="str">
        <f t="shared" ref="L287:L294" si="57">$L$15&amp;"-"&amp;TEXT(E287,"000")</f>
        <v>18BX-171</v>
      </c>
      <c r="N287" s="62" t="str">
        <f>$L$255&amp;C287</f>
        <v>bz_semi</v>
      </c>
      <c r="O287" s="62" t="str">
        <f>$L$255&amp;C287</f>
        <v>bz_semi</v>
      </c>
    </row>
    <row r="288" spans="1:15" ht="14.1" customHeight="1">
      <c r="A288" s="69">
        <f t="shared" si="55"/>
        <v>46229</v>
      </c>
      <c r="B288" s="70">
        <f>'CHICLETS MASTER S2'!X74</f>
        <v>0.33333333333333298</v>
      </c>
      <c r="C288" s="71" t="s">
        <v>268</v>
      </c>
      <c r="D288" s="99" t="str">
        <f t="shared" si="56"/>
        <v>SADDLEBACK COLLEGE 1</v>
      </c>
      <c r="E288" s="71">
        <v>172</v>
      </c>
      <c r="F288" s="91" t="str">
        <f>IF(G230="","W135",IF(G230&gt;I230,_xlfn.CONCAT("W135-",RIGHT(F230,LEN(F230) - FIND("-",F230))), _xlfn.CONCAT("W135-",RIGHT(H230,LEN(H230) - FIND("-",H230)))))</f>
        <v>W135-ALAMEDA</v>
      </c>
      <c r="G288" s="92">
        <v>6</v>
      </c>
      <c r="H288" s="91" t="str">
        <f>IF(G237="","W163",IF(G237&gt;I237,_xlfn.CONCAT("W163-",RIGHT(F237,LEN(F237) - FIND("-",F237))), _xlfn.CONCAT("W163-",RIGHT(H237,LEN(H237) - FIND("-",H237)))))</f>
        <v>W163-CHULA VISTA PREMIER</v>
      </c>
      <c r="I288" s="92">
        <v>12</v>
      </c>
      <c r="J288" s="91">
        <v>190</v>
      </c>
      <c r="K288" s="91">
        <v>189</v>
      </c>
      <c r="L288" s="91" t="str">
        <f t="shared" si="57"/>
        <v>18BX-172</v>
      </c>
      <c r="N288" s="62" t="str">
        <f>$L$255&amp;C288</f>
        <v>bz_semi</v>
      </c>
      <c r="O288" s="62" t="str">
        <f>$L$255&amp;C288</f>
        <v>bz_semi</v>
      </c>
    </row>
    <row r="289" spans="1:15" ht="14.1" customHeight="1">
      <c r="A289" s="69">
        <f t="shared" si="55"/>
        <v>46229</v>
      </c>
      <c r="B289" s="70">
        <f>'CHICLETS MASTER S2'!X75</f>
        <v>0.375</v>
      </c>
      <c r="C289" s="71" t="s">
        <v>268</v>
      </c>
      <c r="D289" s="99" t="str">
        <f t="shared" si="56"/>
        <v>SADDLEBACK COLLEGE 1</v>
      </c>
      <c r="E289" s="71">
        <v>173</v>
      </c>
      <c r="F289" s="90" t="str">
        <f>IF(G201="","W137",IF(G201&gt;I201,_xlfn.CONCAT("W137-",RIGHT(F201,LEN(F201) - FIND("-",F201))), _xlfn.CONCAT("W137-",RIGHT(H201,LEN(H201) - FIND("-",H201)))))</f>
        <v>W137-SAN JOSE EXPRESS BLUE</v>
      </c>
      <c r="G289" s="97">
        <v>5.4</v>
      </c>
      <c r="H289" s="90" t="str">
        <f>IF(G206="","W157",IF(G206&gt;I206,_xlfn.CONCAT("W157-",RIGHT(F206,LEN(F206) - FIND("-",F206))), _xlfn.CONCAT("W157-",RIGHT(H206,LEN(H206) - FIND("-",H206)))))</f>
        <v>W157-SUPREME</v>
      </c>
      <c r="I289" s="97">
        <v>5.5</v>
      </c>
      <c r="J289" s="90">
        <v>192</v>
      </c>
      <c r="K289" s="90">
        <v>191</v>
      </c>
      <c r="L289" s="90" t="str">
        <f t="shared" si="57"/>
        <v>18BX-173</v>
      </c>
      <c r="N289" s="62" t="str">
        <f>$K$255&amp;C289</f>
        <v>ag_semi</v>
      </c>
      <c r="O289" s="62" t="str">
        <f>$K$255&amp;C289</f>
        <v>ag_semi</v>
      </c>
    </row>
    <row r="290" spans="1:15" ht="14.1" customHeight="1">
      <c r="A290" s="69">
        <f t="shared" si="55"/>
        <v>46229</v>
      </c>
      <c r="B290" s="70">
        <f>'CHICLETS MASTER S2'!X76</f>
        <v>0.41666666666666702</v>
      </c>
      <c r="C290" s="71" t="s">
        <v>268</v>
      </c>
      <c r="D290" s="99" t="str">
        <f t="shared" si="56"/>
        <v>SADDLEBACK COLLEGE 1</v>
      </c>
      <c r="E290" s="71">
        <v>174</v>
      </c>
      <c r="F290" s="90" t="str">
        <f>IF(G200="","W133",IF(G200&gt;I200,_xlfn.CONCAT("W133-",RIGHT(F200,LEN(F200) - FIND("-",F200))), _xlfn.CONCAT("W133-",RIGHT(H200,LEN(H200) - FIND("-",H200)))))</f>
        <v>W133-LB SHORE</v>
      </c>
      <c r="G290" s="93">
        <v>16</v>
      </c>
      <c r="H290" s="90" t="str">
        <f>IF(G207="","W161",IF(G207&gt;I207,_xlfn.CONCAT("W161-",RIGHT(F207,LEN(F207) - FIND("-",F207))), _xlfn.CONCAT("W161-",RIGHT(H207,LEN(H207) - FIND("-",H207)))))</f>
        <v>W161-SANTA CRUZ</v>
      </c>
      <c r="I290" s="93">
        <v>8</v>
      </c>
      <c r="J290" s="90">
        <v>192</v>
      </c>
      <c r="K290" s="90">
        <v>191</v>
      </c>
      <c r="L290" s="90" t="str">
        <f t="shared" si="57"/>
        <v>18BX-174</v>
      </c>
      <c r="N290" s="62" t="str">
        <f>$K$255&amp;C290</f>
        <v>ag_semi</v>
      </c>
      <c r="O290" s="62" t="str">
        <f>$K$255&amp;C290</f>
        <v>ag_semi</v>
      </c>
    </row>
    <row r="291" spans="1:15" ht="14.1" customHeight="1">
      <c r="A291" s="69">
        <f t="shared" si="55"/>
        <v>46229</v>
      </c>
      <c r="B291" s="70">
        <f>'CHICLETS MASTER S2'!X77</f>
        <v>0.45833333333333298</v>
      </c>
      <c r="C291" s="71" t="s">
        <v>275</v>
      </c>
      <c r="D291" s="99" t="str">
        <f t="shared" si="56"/>
        <v>SADDLEBACK COLLEGE 1</v>
      </c>
      <c r="E291" s="71">
        <v>189</v>
      </c>
      <c r="F291" s="91" t="str">
        <f>IF(G287="","L171",IF(G287&lt;I287,_xlfn.CONCAT("L171-",RIGHT(F287,LEN(F287) - FIND("-",F287))), _xlfn.CONCAT("L171-",RIGHT(H287,LEN(H287) - FIND("-",H287)))))</f>
        <v>L171-ASPHALT GREEN</v>
      </c>
      <c r="G291" s="92">
        <v>12</v>
      </c>
      <c r="H291" s="91" t="str">
        <f>IF(G288="","L172",IF(G288&lt;I288,_xlfn.CONCAT("L172-",RIGHT(F288,LEN(F288) - FIND("-",F288))), _xlfn.CONCAT("L172-",RIGHT(H288,LEN(H288) - FIND("-",H288)))))</f>
        <v>L172-ALAMEDA</v>
      </c>
      <c r="I291" s="92">
        <v>14</v>
      </c>
      <c r="J291" s="91" t="s">
        <v>1181</v>
      </c>
      <c r="K291" s="91" t="s">
        <v>1182</v>
      </c>
      <c r="L291" s="91" t="str">
        <f t="shared" si="57"/>
        <v>18BX-189</v>
      </c>
      <c r="N291" s="62" t="str">
        <f>$L$255&amp;C291</f>
        <v>bz_3rd</v>
      </c>
      <c r="O291" s="62" t="str">
        <f>$L$255&amp;C291</f>
        <v>bz_3rd</v>
      </c>
    </row>
    <row r="292" spans="1:15" ht="14.1" customHeight="1">
      <c r="A292" s="69">
        <f t="shared" si="55"/>
        <v>46229</v>
      </c>
      <c r="B292" s="70">
        <f>'CHICLETS MASTER S2'!X78</f>
        <v>0.5</v>
      </c>
      <c r="C292" s="71" t="s">
        <v>278</v>
      </c>
      <c r="D292" s="99" t="str">
        <f t="shared" si="56"/>
        <v>SADDLEBACK COLLEGE 1</v>
      </c>
      <c r="E292" s="71">
        <v>190</v>
      </c>
      <c r="F292" s="91" t="str">
        <f>IF(G287="","W171",IF(G287&gt;I287,_xlfn.CONCAT("W171-",RIGHT(F287,LEN(F287) - FIND("-",F287))), _xlfn.CONCAT("W171-",RIGHT(H287,LEN(H287) - FIND("-",H287)))))</f>
        <v>W171-WEST VALLEY</v>
      </c>
      <c r="G292" s="92">
        <v>10</v>
      </c>
      <c r="H292" s="91" t="str">
        <f>IF(G288="","W172",IF(G288&gt;I288,_xlfn.CONCAT("W172-",RIGHT(F288,LEN(F288) - FIND("-",F288))), _xlfn.CONCAT("W172-",RIGHT(H288,LEN(H288) - FIND("-",H288)))))</f>
        <v>W172-CHULA VISTA PREMIER</v>
      </c>
      <c r="I292" s="92">
        <v>12</v>
      </c>
      <c r="J292" s="91" t="s">
        <v>1183</v>
      </c>
      <c r="K292" s="91" t="s">
        <v>1184</v>
      </c>
      <c r="L292" s="91" t="str">
        <f t="shared" si="57"/>
        <v>18BX-190</v>
      </c>
      <c r="N292" s="62" t="str">
        <f>$L$255&amp;C292</f>
        <v>bz_1st</v>
      </c>
      <c r="O292" s="62" t="str">
        <f>$L$255&amp;C292</f>
        <v>bz_1st</v>
      </c>
    </row>
    <row r="293" spans="1:15" ht="14.1" customHeight="1">
      <c r="A293" s="69">
        <f t="shared" si="55"/>
        <v>46229</v>
      </c>
      <c r="B293" s="70">
        <f>'CHICLETS MASTER S2'!X79</f>
        <v>0.54166666666666696</v>
      </c>
      <c r="C293" s="71" t="s">
        <v>275</v>
      </c>
      <c r="D293" s="99" t="str">
        <f t="shared" si="56"/>
        <v>SADDLEBACK COLLEGE 1</v>
      </c>
      <c r="E293" s="71">
        <v>191</v>
      </c>
      <c r="F293" s="90" t="str">
        <f>IF(G289="","L173",IF(G289&lt;I289,_xlfn.CONCAT("L173-",RIGHT(F289,LEN(F289) - FIND("-",F289))), _xlfn.CONCAT("L173-",RIGHT(H289,LEN(H289) - FIND("-",H289)))))</f>
        <v>L173-SAN JOSE EXPRESS BLUE</v>
      </c>
      <c r="G293" s="93">
        <v>10</v>
      </c>
      <c r="H293" s="90" t="str">
        <f>IF(G290="","L174",IF(G290&lt;I290,_xlfn.CONCAT("L174-",RIGHT(F290,LEN(F290) - FIND("-",F290))), _xlfn.CONCAT("L174-",RIGHT(H290,LEN(H290) - FIND("-",H290)))))</f>
        <v>L174-SANTA CRUZ</v>
      </c>
      <c r="I293" s="93">
        <v>6</v>
      </c>
      <c r="J293" s="90" t="s">
        <v>1185</v>
      </c>
      <c r="K293" s="90" t="s">
        <v>1186</v>
      </c>
      <c r="L293" s="90" t="str">
        <f t="shared" si="57"/>
        <v>18BX-191</v>
      </c>
      <c r="N293" s="62" t="str">
        <f>$K$255&amp;C293</f>
        <v>ag_3rd</v>
      </c>
      <c r="O293" s="62" t="str">
        <f>$K$255&amp;C293</f>
        <v>ag_3rd</v>
      </c>
    </row>
    <row r="294" spans="1:15" ht="14.1" customHeight="1">
      <c r="A294" s="69">
        <f t="shared" si="55"/>
        <v>46229</v>
      </c>
      <c r="B294" s="70">
        <f>'CHICLETS MASTER S2'!X80</f>
        <v>0.58333333333333304</v>
      </c>
      <c r="C294" s="71" t="s">
        <v>278</v>
      </c>
      <c r="D294" s="99" t="str">
        <f t="shared" si="56"/>
        <v>SADDLEBACK COLLEGE 1</v>
      </c>
      <c r="E294" s="71">
        <v>192</v>
      </c>
      <c r="F294" s="90" t="str">
        <f>IF(G289="","W173",IF(G289&gt;I289,_xlfn.CONCAT("W173-",RIGHT(F289,LEN(F289) - FIND("-",F289))), _xlfn.CONCAT("W173-",RIGHT(H289,LEN(H289) - FIND("-",H289)))))</f>
        <v>W173-SUPREME</v>
      </c>
      <c r="G294" s="93">
        <v>6</v>
      </c>
      <c r="H294" s="90" t="str">
        <f>IF(G290="","W174",IF(G290&gt;I290,_xlfn.CONCAT("W174-",RIGHT(F290,LEN(F290) - FIND("-",F290))), _xlfn.CONCAT("W174-",RIGHT(H290,LEN(H290) - FIND("-",H290)))))</f>
        <v>W174-LB SHORE</v>
      </c>
      <c r="I294" s="93">
        <v>16</v>
      </c>
      <c r="J294" s="90" t="s">
        <v>1187</v>
      </c>
      <c r="K294" s="90" t="s">
        <v>1188</v>
      </c>
      <c r="L294" s="90" t="str">
        <f t="shared" si="57"/>
        <v>18BX-192</v>
      </c>
      <c r="N294" s="62" t="str">
        <f>$K$255&amp;C294</f>
        <v>ag_1st</v>
      </c>
      <c r="O294" s="62" t="str">
        <f>$K$255&amp;C294</f>
        <v>ag_1st</v>
      </c>
    </row>
    <row r="296" spans="1:15" ht="14.1" customHeight="1">
      <c r="A296" s="90" t="s">
        <v>1189</v>
      </c>
      <c r="C296" s="91" t="s">
        <v>1190</v>
      </c>
    </row>
    <row r="297" spans="1:15" ht="14.1" customHeight="1">
      <c r="A297" s="90" t="s">
        <v>278</v>
      </c>
      <c r="B297" s="131" t="str">
        <f>IF(G294="","W192",IF(G294&gt;I294,_xlfn.CONCAT("W192-",RIGHT(F294,LEN(F294) - FIND("-",F294))), _xlfn.CONCAT("W192-",RIGHT(H294,LEN(H294) - FIND("-",H294)))))</f>
        <v>W192-LB SHORE</v>
      </c>
      <c r="C297" s="91" t="s">
        <v>278</v>
      </c>
      <c r="D297" s="132" t="str">
        <f>IF(G292="","W190",IF(G292&gt;I292,_xlfn.CONCAT("W190-",RIGHT(F292,LEN(F292) - FIND("-",F292))), _xlfn.CONCAT("W190-",RIGHT(H292,LEN(H292) - FIND("-",H292)))))</f>
        <v>W190-CHULA VISTA PREMIER</v>
      </c>
    </row>
    <row r="298" spans="1:15" ht="14.1" customHeight="1">
      <c r="A298" s="90" t="s">
        <v>310</v>
      </c>
      <c r="B298" s="133" t="str">
        <f>IF(G294="","L192",IF(G294&lt;I294,_xlfn.CONCAT("L192-",RIGHT(F294,LEN(F294) - FIND("-",F294))), _xlfn.CONCAT("L192-",RIGHT(H294,LEN(H294) - FIND("-",H294)))))</f>
        <v>L192-SUPREME</v>
      </c>
      <c r="C298" s="91" t="s">
        <v>310</v>
      </c>
      <c r="D298" s="131" t="str">
        <f>IF(G292="","L190",IF(G292&lt;I292,_xlfn.CONCAT("L190-",RIGHT(F292,LEN(F292) - FIND("-",F292))), _xlfn.CONCAT("L190-",RIGHT(H292,LEN(H292) - FIND("-",H292)))))</f>
        <v>L190-WEST VALLEY</v>
      </c>
    </row>
    <row r="299" spans="1:15" ht="14.1" customHeight="1">
      <c r="A299" s="90" t="s">
        <v>275</v>
      </c>
      <c r="B299" s="131" t="str">
        <f>IF(G293="","W191",IF(G293&gt;I293,_xlfn.CONCAT("W191-",RIGHT(F293,LEN(F293) - FIND("-",F293))), _xlfn.CONCAT("W191-",RIGHT(H293,LEN(H293) - FIND("-",H293)))))</f>
        <v>W191-SAN JOSE EXPRESS BLUE</v>
      </c>
      <c r="C299" s="91" t="s">
        <v>275</v>
      </c>
      <c r="D299" s="132" t="str">
        <f>IF(G291="","W189",IF(G291&gt;I291,_xlfn.CONCAT("W189-",RIGHT(F291,LEN(F291) - FIND("-",F291))), _xlfn.CONCAT("W189-",RIGHT(H291,LEN(H291) - FIND("-",H291)))))</f>
        <v>W189-ALAMEDA</v>
      </c>
    </row>
    <row r="300" spans="1:15" ht="14.1" customHeight="1">
      <c r="A300" s="90" t="s">
        <v>311</v>
      </c>
      <c r="B300" s="131" t="str">
        <f>IF(G293="","L191",IF(G293&lt;I293,_xlfn.CONCAT("L191-",RIGHT(F293,LEN(F293) - FIND("-",F293))), _xlfn.CONCAT("L191-",RIGHT(H293,LEN(H293) - FIND("-",H293)))))</f>
        <v>L191-SANTA CRUZ</v>
      </c>
      <c r="C300" s="91" t="s">
        <v>311</v>
      </c>
      <c r="D300" s="131" t="str">
        <f>IF(G291="","L189",IF(G291&lt;I291,_xlfn.CONCAT("L189-",RIGHT(F291,LEN(F291) - FIND("-",F291))), _xlfn.CONCAT("L189-",RIGHT(H291,LEN(H291) - FIND("-",H291)))))</f>
        <v>L189-ASPHALT GREEN</v>
      </c>
    </row>
    <row r="301" spans="1:15" ht="14.1" customHeight="1">
      <c r="A301" s="90" t="s">
        <v>272</v>
      </c>
      <c r="B301" s="131" t="str">
        <f>IF(G260="","W186",IF(G260&gt;I260,_xlfn.CONCAT("W186-",RIGHT(F260,LEN(F260) - FIND("-",F260))), _xlfn.CONCAT("W186-",RIGHT(H260,LEN(H260) - FIND("-",H260)))))</f>
        <v>W186-TSUNAMI</v>
      </c>
      <c r="C301" s="91" t="s">
        <v>272</v>
      </c>
      <c r="D301" s="134" t="str">
        <f>IF(G279="","W187",IF(G279&gt;I279,_xlfn.CONCAT("W187-",RIGHT(F279,LEN(F279) - FIND("-",F279))), _xlfn.CONCAT("W187-",RIGHT(H279,LEN(H279) - FIND("-",H279)))))</f>
        <v>W187-LV LEGENDS</v>
      </c>
    </row>
    <row r="302" spans="1:15" ht="14.1" customHeight="1">
      <c r="A302" s="90" t="s">
        <v>312</v>
      </c>
      <c r="B302" s="133" t="str">
        <f>IF(G260="","L186",IF(G260&lt;I260,_xlfn.CONCAT("L186-",RIGHT(F260,LEN(F260) - FIND("-",F260))), _xlfn.CONCAT("L186-",RIGHT(H260,LEN(H260) - FIND("-",H260)))))</f>
        <v>L186-SET</v>
      </c>
      <c r="C302" s="101" t="s">
        <v>312</v>
      </c>
      <c r="D302" s="131" t="str">
        <f>IF(G279="","L187",IF(G279&lt;I279,_xlfn.CONCAT("L187-",RIGHT(F279,LEN(F279) - FIND("-",F279))), _xlfn.CONCAT("L187-",RIGHT(H279,LEN(H279) - FIND("-",H279)))))</f>
        <v>L187-NAVY</v>
      </c>
    </row>
    <row r="303" spans="1:15" ht="14.1" customHeight="1">
      <c r="A303" s="90" t="s">
        <v>269</v>
      </c>
      <c r="B303" s="131" t="str">
        <f>IF(G259="","W185",IF(G259&gt;I259,_xlfn.CONCAT("W185-",RIGHT(F259,LEN(F259) - FIND("-",F259))), _xlfn.CONCAT("W185-",RIGHT(H259,LEN(H259) - FIND("-",H259)))))</f>
        <v>W185-SOUTH COAST RED</v>
      </c>
      <c r="C303" s="91" t="s">
        <v>269</v>
      </c>
      <c r="D303" s="135" t="str">
        <f>IF(G281="","W188",IF(G281&gt;I281,_xlfn.CONCAT("W188-",RIGHT(F281,LEN(F281) - FIND("-",F281))), _xlfn.CONCAT("W188-",RIGHT(H281,LEN(H281) - FIND("-",H281)))))</f>
        <v>W188-CHARGERS BLACK</v>
      </c>
    </row>
    <row r="304" spans="1:15" ht="14.1" customHeight="1">
      <c r="A304" s="90" t="s">
        <v>313</v>
      </c>
      <c r="B304" s="133" t="str">
        <f>IF(G259="","L185",IF(G259&lt;I259,_xlfn.CONCAT("L185-",RIGHT(F259,LEN(F259) - FIND("-",F259))), _xlfn.CONCAT("L185-",RIGHT(H259,LEN(H259) - FIND("-",H259)))))</f>
        <v>L185-SD SHORES GOLD</v>
      </c>
      <c r="C304" s="91" t="s">
        <v>313</v>
      </c>
      <c r="D304" s="135" t="str">
        <f>IF(G281="","L188",IF(G281&lt;I281,_xlfn.CONCAT("L188-",RIGHT(F281,LEN(F281) - FIND("-",F281))), _xlfn.CONCAT("L188-",RIGHT(H281,LEN(H281) - FIND("-",H281)))))</f>
        <v>L188-FARALLON</v>
      </c>
    </row>
    <row r="305" spans="1:4" ht="14.1" customHeight="1">
      <c r="A305" s="90" t="s">
        <v>281</v>
      </c>
      <c r="B305" s="131" t="str">
        <f>IF(G258="","W182",IF(G258&gt;I258,_xlfn.CONCAT("W182-",RIGHT(F258,LEN(F258) - FIND("-",F258))), _xlfn.CONCAT("W182-",RIGHT(H258,LEN(H258) - FIND("-",H258)))))</f>
        <v>W182-CARLSBAD</v>
      </c>
      <c r="C305" s="91" t="s">
        <v>281</v>
      </c>
      <c r="D305" s="131" t="str">
        <f>IF(G280="","W183",IF(G280&gt;I280,_xlfn.CONCAT("W183-",RIGHT(F280,LEN(F280) - FIND("-",F280))), _xlfn.CONCAT("W183-",RIGHT(H280,LEN(H280) - FIND("-",H280)))))</f>
        <v>W183-LA JOLLA UNITED B</v>
      </c>
    </row>
    <row r="306" spans="1:4" ht="14.1" customHeight="1">
      <c r="A306" s="90" t="s">
        <v>315</v>
      </c>
      <c r="B306" s="133" t="str">
        <f>IF(G258="","L182",IF(G258&lt;I258,_xlfn.CONCAT("L182-",RIGHT(F258,LEN(F258) - FIND("-",F258))), _xlfn.CONCAT("L182-",RIGHT(H258,LEN(H258) - FIND("-",H258)))))</f>
        <v>L182-CHAWP WHITE</v>
      </c>
      <c r="C306" s="91" t="s">
        <v>315</v>
      </c>
      <c r="D306" s="135" t="str">
        <f>IF(G280="","L183",IF(G280&lt;I280,_xlfn.CONCAT("L183-",RIGHT(F280,LEN(F280) - FIND("-",F280))), _xlfn.CONCAT("L183-",RIGHT(H280,LEN(H280) - FIND("-",H280)))))</f>
        <v>L183-ALBUQUERQUE</v>
      </c>
    </row>
    <row r="307" spans="1:4" ht="14.1" customHeight="1">
      <c r="A307" s="90" t="s">
        <v>284</v>
      </c>
      <c r="B307" s="131" t="str">
        <f>IF(G261="","W181",IF(G261&gt;I261,_xlfn.CONCAT("W181-",RIGHT(F261,LEN(F261) - FIND("-",F261))), _xlfn.CONCAT("W181-",RIGHT(H261,LEN(H261) - FIND("-",H261)))))</f>
        <v>W181-CLOVIS RED</v>
      </c>
      <c r="C307" s="91" t="s">
        <v>284</v>
      </c>
      <c r="D307" s="131" t="str">
        <f>IF(G282="","W184",IF(G282&gt;I282,_xlfn.CONCAT("W184-",RIGHT(F282,LEN(F282) - FIND("-",F282))), _xlfn.CONCAT("W184-",RIGHT(H282,LEN(H282) - FIND("-",H282)))))</f>
        <v>W184-THIRD COAST</v>
      </c>
    </row>
    <row r="308" spans="1:4" ht="14.1" customHeight="1">
      <c r="A308" s="90" t="s">
        <v>318</v>
      </c>
      <c r="B308" s="133" t="str">
        <f>IF(G261="","L181",IF(G261&lt;I261,_xlfn.CONCAT("L181-",RIGHT(F261,LEN(F261) - FIND("-",F261))), _xlfn.CONCAT("L181-",RIGHT(H261,LEN(H261) - FIND("-",H261)))))</f>
        <v>L181-COMMERCE</v>
      </c>
      <c r="C308" s="91" t="s">
        <v>318</v>
      </c>
      <c r="D308" s="134" t="str">
        <f>IF(G282="","L184",IF(G282&lt;I282,_xlfn.CONCAT("L184-",RIGHT(F282,LEN(F282) - FIND("-",F282))), _xlfn.CONCAT("L184-",RIGHT(H282,LEN(H282) - FIND("-",H282)))))</f>
        <v>L184-MOOSE</v>
      </c>
    </row>
    <row r="309" spans="1:4" ht="14.1" customHeight="1">
      <c r="A309" s="90" t="s">
        <v>287</v>
      </c>
      <c r="B309" s="131" t="str">
        <f>IF(G262="","W178",IF(G262&gt;I262,_xlfn.CONCAT("W178-",RIGHT(F262,LEN(F262) - FIND("-",F262))), _xlfn.CONCAT("W178-",RIGHT(H262,LEN(H262) - FIND("-",H262)))))</f>
        <v>W178-SAN JOSE FOUNDATION</v>
      </c>
      <c r="C309" s="91" t="s">
        <v>287</v>
      </c>
      <c r="D309" s="131" t="str">
        <f>IF(G283="","W179",IF(G283&gt;I283,_xlfn.CONCAT("W179-",RIGHT(F283,LEN(F283) - FIND("-",F283))), _xlfn.CONCAT("W179-",RIGHT(H283,LEN(H283) - FIND("-",H283)))))</f>
        <v>W179-CC UNITED BLUE</v>
      </c>
    </row>
    <row r="310" spans="1:4" ht="14.1" customHeight="1">
      <c r="A310" s="90" t="s">
        <v>319</v>
      </c>
      <c r="B310" s="133" t="str">
        <f>IF(G262="","L178",IF(G262&lt;I262,_xlfn.CONCAT("L178-",RIGHT(F262,LEN(F262) - FIND("-",F262))), _xlfn.CONCAT("L178-",RIGHT(H262,LEN(H262) - FIND("-",H262)))))</f>
        <v>L178-CENTRAL VALLEY UNITED</v>
      </c>
      <c r="C310" s="91" t="s">
        <v>319</v>
      </c>
      <c r="D310" s="135" t="str">
        <f>IF(G283="","L179",IF(G283&lt;I283,_xlfn.CONCAT("L179-",RIGHT(F283,LEN(F283) - FIND("-",F283))), _xlfn.CONCAT("L179-",RIGHT(H283,LEN(H283) - FIND("-",H283)))))</f>
        <v>L179-NEWBERG</v>
      </c>
    </row>
    <row r="311" spans="1:4" ht="14.1" customHeight="1">
      <c r="A311" s="90" t="s">
        <v>290</v>
      </c>
      <c r="B311" s="131" t="str">
        <f>IF(G263="","W177",IF(G263&gt;I263,_xlfn.CONCAT("W177-",RIGHT(F263,LEN(F263) - FIND("-",F263))), _xlfn.CONCAT("W177-",RIGHT(H263,LEN(H263) - FIND("-",H263)))))</f>
        <v>W177-ORWP</v>
      </c>
      <c r="C311" s="91" t="s">
        <v>290</v>
      </c>
      <c r="D311" s="131" t="str">
        <f>IF(G273="","W180",IF(G273&gt;I273,_xlfn.CONCAT("W180-",RIGHT(F273,LEN(F273) - FIND("-",F273))), _xlfn.CONCAT("W180-",RIGHT(H273,LEN(H273) - FIND("-",H273)))))</f>
        <v>W180-MID PEN</v>
      </c>
    </row>
    <row r="312" spans="1:4" ht="14.1" customHeight="1">
      <c r="A312" s="90" t="s">
        <v>320</v>
      </c>
      <c r="B312" s="133" t="str">
        <f>IF(G263="","L177",IF(G263&lt;I263,_xlfn.CONCAT("L177-",RIGHT(F263,LEN(F263) - FIND("-",F263))), _xlfn.CONCAT("L177-",RIGHT(H263,LEN(H263) - FIND("-",H263)))))</f>
        <v>L177-KINGSBURG</v>
      </c>
      <c r="C312" s="91" t="s">
        <v>320</v>
      </c>
      <c r="D312" s="135" t="str">
        <f>IF(G273="","L180",IF(G273&lt;I273,_xlfn.CONCAT("L180-",RIGHT(F273,LEN(F273) - FIND("-",F273))), _xlfn.CONCAT("L180-",RIGHT(H273,LEN(H273) - FIND("-",H273)))))</f>
        <v>L180-SAND CANYON RED</v>
      </c>
    </row>
    <row r="313" spans="1:4" ht="14.1" customHeight="1">
      <c r="A313" s="90" t="s">
        <v>293</v>
      </c>
      <c r="B313" s="131" t="str">
        <f>IF(G264="","W170",IF(G264&gt;I264,_xlfn.CONCAT("W170-",RIGHT(F264,LEN(F264) - FIND("-",F264))), _xlfn.CONCAT("W170-",RIGHT(H264,LEN(H264) - FIND("-",H264)))))</f>
        <v>W170-HIELAND</v>
      </c>
      <c r="C313" s="91" t="s">
        <v>293</v>
      </c>
      <c r="D313" s="131" t="str">
        <f>IF(G274="","W175",IF(G274&gt;I274,_xlfn.CONCAT("W175-",RIGHT(F274,LEN(F274) - FIND("-",F274))), _xlfn.CONCAT("W175-",RIGHT(H274,LEN(H274) - FIND("-",H274)))))</f>
        <v>W175-TOPAZ TSUNAMI</v>
      </c>
    </row>
    <row r="314" spans="1:4" ht="14.1" customHeight="1">
      <c r="A314" s="90" t="s">
        <v>321</v>
      </c>
      <c r="B314" s="133" t="str">
        <f>IF(G264="","L170",IF(G264&lt;I264,_xlfn.CONCAT("L170-",RIGHT(F264,LEN(F264) - FIND("-",F264))), _xlfn.CONCAT("L170-",RIGHT(H264,LEN(H264) - FIND("-",H264)))))</f>
        <v>L170-OHANA</v>
      </c>
      <c r="C314" s="91" t="s">
        <v>321</v>
      </c>
      <c r="D314" s="135" t="str">
        <f>IF(G274="","L175",IF(G274&lt;I274,_xlfn.CONCAT("L175-",RIGHT(F274,LEN(F274) - FIND("-",F274))), _xlfn.CONCAT("L175-",RIGHT(H274,LEN(H274) - FIND("-",H274)))))</f>
        <v>L175-ELMHURST</v>
      </c>
    </row>
    <row r="315" spans="1:4" ht="14.1" customHeight="1">
      <c r="A315" s="90" t="s">
        <v>296</v>
      </c>
      <c r="B315" s="132" t="str">
        <f>IF(G272="","W169",IF(G272&gt;I272,_xlfn.CONCAT("W169-",RIGHT(F272,LEN(F272) - FIND("-",F272))), _xlfn.CONCAT("W169-",RIGHT(H272,LEN(H272) - FIND("-",H272)))))</f>
        <v>W169-ROSE BOWL RED</v>
      </c>
      <c r="C315" s="91" t="s">
        <v>296</v>
      </c>
      <c r="D315" s="131" t="str">
        <f>IF(G278="","W176",IF(G278&gt;I278,_xlfn.CONCAT("W176-",RIGHT(F278,LEN(F278) - FIND("-",F278))), _xlfn.CONCAT("W176-",RIGHT(H278,LEN(H278) - FIND("-",H278)))))</f>
        <v>W176-AQUATEX</v>
      </c>
    </row>
    <row r="316" spans="1:4" ht="14.1" customHeight="1">
      <c r="A316" s="102" t="s">
        <v>322</v>
      </c>
      <c r="B316" s="132" t="str">
        <f>IF(G272="","L169",IF(G272&lt;I272,_xlfn.CONCAT("L169-",RIGHT(F272,LEN(F272) - FIND("-",F272))), _xlfn.CONCAT("L169-",RIGHT(H272,LEN(H272) - FIND("-",H272)))))</f>
        <v>L169-CLOVIS B</v>
      </c>
      <c r="C316" s="91" t="s">
        <v>322</v>
      </c>
      <c r="D316" s="134" t="str">
        <f>IF(G278="","L176",IF(G278&lt;I278,_xlfn.CONCAT("L176-",RIGHT(F278,LEN(F278) - FIND("-",F278))), _xlfn.CONCAT("L176-",RIGHT(H278,LEN(H278) - FIND("-",H278)))))</f>
        <v>L176-MESA</v>
      </c>
    </row>
    <row r="317" spans="1:4" ht="14.1" customHeight="1">
      <c r="A317" s="102" t="s">
        <v>323</v>
      </c>
      <c r="B317" s="103" t="s">
        <v>1545</v>
      </c>
      <c r="C317" s="104" t="s">
        <v>323</v>
      </c>
      <c r="D317" s="105" t="s">
        <v>1546</v>
      </c>
    </row>
    <row r="318" spans="1:4" ht="14.1" customHeight="1">
      <c r="A318" s="102" t="s">
        <v>325</v>
      </c>
      <c r="B318" s="106" t="s">
        <v>1334</v>
      </c>
      <c r="C318" s="104" t="s">
        <v>325</v>
      </c>
      <c r="D318" s="107" t="s">
        <v>1547</v>
      </c>
    </row>
    <row r="319" spans="1:4" ht="14.1" customHeight="1">
      <c r="A319" s="102" t="s">
        <v>327</v>
      </c>
      <c r="B319" s="106" t="s">
        <v>1548</v>
      </c>
      <c r="C319" s="104" t="s">
        <v>327</v>
      </c>
      <c r="D319" s="107" t="s">
        <v>1549</v>
      </c>
    </row>
    <row r="320" spans="1:4" ht="14.1" customHeight="1">
      <c r="A320" s="102" t="s">
        <v>329</v>
      </c>
      <c r="B320" s="106" t="s">
        <v>1550</v>
      </c>
      <c r="C320" s="104" t="s">
        <v>329</v>
      </c>
      <c r="D320" s="107" t="s">
        <v>1551</v>
      </c>
    </row>
  </sheetData>
  <hyperlinks>
    <hyperlink ref="B1" r:id="rId1" xr:uid="{BEB7EA96-F750-47F2-85E8-103BDD58AB09}"/>
    <hyperlink ref="C1" r:id="rId2" xr:uid="{584480BB-A311-4A80-922E-2BC3ABB1B679}"/>
    <hyperlink ref="E1" r:id="rId3" xr:uid="{84CB546C-3A5A-43E2-99CB-8AD9621BD9A7}"/>
  </hyperlinks>
  <pageMargins left="0.75" right="0.75" top="1" bottom="1" header="0.25" footer="0.5"/>
  <pageSetup fitToHeight="0" orientation="landscape" r:id="rId4"/>
  <rowBreaks count="5" manualBreakCount="5">
    <brk id="53" max="16383" man="1"/>
    <brk id="91" max="16383" man="1"/>
    <brk id="153" max="16383" man="1"/>
    <brk id="191" max="16383" man="1"/>
    <brk id="25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C80A-AFCE-4ED8-BB17-9C64CA1B1FFD}">
  <sheetPr>
    <tabColor rgb="FFCCFF66"/>
  </sheetPr>
  <dimension ref="A1:O254"/>
  <sheetViews>
    <sheetView topLeftCell="A103" zoomScale="120" zoomScaleNormal="120" workbookViewId="0">
      <selection activeCell="D132" sqref="D132"/>
    </sheetView>
  </sheetViews>
  <sheetFormatPr defaultColWidth="18.140625" defaultRowHeight="14.1" customHeight="1"/>
  <cols>
    <col min="1" max="1" width="28.7109375" style="60" bestFit="1" customWidth="1"/>
    <col min="2" max="2" width="27.85546875" style="60" customWidth="1"/>
    <col min="3" max="3" width="31.42578125" style="60" bestFit="1" customWidth="1"/>
    <col min="4" max="4" width="31.28515625" style="60" bestFit="1" customWidth="1"/>
    <col min="5" max="6" width="32.5703125" style="60" bestFit="1" customWidth="1"/>
    <col min="7" max="7" width="5.85546875" style="64" customWidth="1"/>
    <col min="8" max="8" width="32.5703125" style="60" bestFit="1" customWidth="1"/>
    <col min="9" max="9" width="5.85546875" style="64" customWidth="1"/>
    <col min="10" max="11" width="6.7109375" style="60" bestFit="1" customWidth="1"/>
    <col min="12" max="12" width="8.85546875" style="60" customWidth="1"/>
    <col min="13" max="13" width="18.140625" style="60"/>
    <col min="14" max="14" width="8.85546875" style="60" bestFit="1" customWidth="1"/>
    <col min="15" max="15" width="9.28515625" style="60" bestFit="1" customWidth="1"/>
    <col min="16" max="16384" width="18.140625" style="60"/>
  </cols>
  <sheetData>
    <row r="1" spans="1:12" ht="14.1" customHeight="1" thickTop="1" thickBot="1">
      <c r="A1" s="280" t="s">
        <v>68</v>
      </c>
      <c r="B1" s="52" t="s">
        <v>69</v>
      </c>
      <c r="C1" s="53" t="s">
        <v>70</v>
      </c>
      <c r="D1" s="58" t="s">
        <v>71</v>
      </c>
      <c r="E1" s="54" t="s">
        <v>72</v>
      </c>
      <c r="F1" s="147"/>
      <c r="G1" s="147"/>
      <c r="H1" s="147"/>
      <c r="I1" s="147"/>
      <c r="J1" s="147"/>
      <c r="K1" s="147"/>
      <c r="L1" s="147"/>
    </row>
    <row r="2" spans="1:12" ht="14.1" customHeight="1" thickBot="1">
      <c r="A2" s="61">
        <v>46226</v>
      </c>
      <c r="D2" s="201" t="s">
        <v>484</v>
      </c>
    </row>
    <row r="3" spans="1:12" ht="14.1" customHeight="1" thickBot="1">
      <c r="D3" s="65" t="s">
        <v>74</v>
      </c>
      <c r="G3" s="60"/>
      <c r="I3" s="60"/>
    </row>
    <row r="4" spans="1:12" ht="14.1" customHeight="1">
      <c r="A4" s="281" t="s">
        <v>75</v>
      </c>
      <c r="B4" s="281" t="s">
        <v>76</v>
      </c>
      <c r="C4" s="281" t="s">
        <v>77</v>
      </c>
      <c r="D4" s="281" t="s">
        <v>78</v>
      </c>
      <c r="E4" s="281" t="s">
        <v>79</v>
      </c>
      <c r="F4" s="281" t="s">
        <v>80</v>
      </c>
      <c r="H4" s="66" t="s">
        <v>81</v>
      </c>
    </row>
    <row r="5" spans="1:12" ht="14.1" customHeight="1">
      <c r="A5" s="67" t="s">
        <v>1552</v>
      </c>
      <c r="B5" s="67" t="s">
        <v>1553</v>
      </c>
      <c r="C5" s="67" t="s">
        <v>1554</v>
      </c>
      <c r="D5" s="67" t="s">
        <v>1555</v>
      </c>
      <c r="E5" s="67" t="s">
        <v>1556</v>
      </c>
      <c r="F5" s="67" t="s">
        <v>1557</v>
      </c>
      <c r="K5" s="64"/>
    </row>
    <row r="6" spans="1:12" ht="14.1" customHeight="1">
      <c r="A6" s="67" t="s">
        <v>1558</v>
      </c>
      <c r="B6" s="67" t="s">
        <v>1559</v>
      </c>
      <c r="C6" s="67" t="s">
        <v>1560</v>
      </c>
      <c r="D6" s="67" t="s">
        <v>1561</v>
      </c>
      <c r="E6" s="67" t="s">
        <v>1562</v>
      </c>
      <c r="F6" s="67" t="s">
        <v>1563</v>
      </c>
      <c r="I6" s="60"/>
    </row>
    <row r="7" spans="1:12" ht="14.1" customHeight="1">
      <c r="A7" s="67" t="s">
        <v>1564</v>
      </c>
      <c r="B7" s="67" t="s">
        <v>1565</v>
      </c>
      <c r="C7" s="67" t="s">
        <v>1566</v>
      </c>
      <c r="D7" s="67" t="s">
        <v>1567</v>
      </c>
      <c r="E7" s="67" t="s">
        <v>1568</v>
      </c>
      <c r="F7" s="67" t="s">
        <v>1569</v>
      </c>
      <c r="K7" s="64"/>
    </row>
    <row r="9" spans="1:12" ht="14.1" customHeight="1">
      <c r="A9" s="281" t="s">
        <v>100</v>
      </c>
      <c r="B9" s="281" t="s">
        <v>101</v>
      </c>
      <c r="C9" s="281" t="s">
        <v>102</v>
      </c>
      <c r="D9" s="281" t="s">
        <v>103</v>
      </c>
      <c r="E9" s="281" t="s">
        <v>104</v>
      </c>
      <c r="F9" s="281" t="s">
        <v>105</v>
      </c>
    </row>
    <row r="10" spans="1:12" ht="14.1" customHeight="1">
      <c r="A10" s="283" t="s">
        <v>1570</v>
      </c>
      <c r="B10" s="283" t="s">
        <v>1571</v>
      </c>
      <c r="C10" s="283" t="s">
        <v>1572</v>
      </c>
      <c r="D10" s="283" t="s">
        <v>1573</v>
      </c>
      <c r="E10" s="283" t="s">
        <v>1574</v>
      </c>
      <c r="F10" s="283" t="s">
        <v>1575</v>
      </c>
    </row>
    <row r="11" spans="1:12" ht="14.1" customHeight="1">
      <c r="A11" s="283" t="s">
        <v>1576</v>
      </c>
      <c r="B11" s="283" t="s">
        <v>1577</v>
      </c>
      <c r="C11" s="283" t="s">
        <v>1578</v>
      </c>
      <c r="D11" s="283" t="s">
        <v>1579</v>
      </c>
      <c r="E11" s="283" t="s">
        <v>1580</v>
      </c>
      <c r="F11" s="283" t="s">
        <v>1581</v>
      </c>
    </row>
    <row r="12" spans="1:12" ht="14.1" customHeight="1">
      <c r="A12" s="283" t="s">
        <v>1582</v>
      </c>
      <c r="B12" s="283" t="s">
        <v>1583</v>
      </c>
      <c r="C12" s="283" t="s">
        <v>1584</v>
      </c>
      <c r="D12" s="283" t="s">
        <v>1585</v>
      </c>
      <c r="E12" s="283" t="s">
        <v>1586</v>
      </c>
      <c r="F12" s="283" t="s">
        <v>1587</v>
      </c>
    </row>
    <row r="13" spans="1:12" ht="14.1" customHeight="1" thickBot="1">
      <c r="L13" s="60" t="s">
        <v>1588</v>
      </c>
    </row>
    <row r="14" spans="1:12" ht="14.1" customHeight="1" thickBot="1">
      <c r="D14" s="65" t="str">
        <f>'CHICLETS MASTER S2'!$W$3</f>
        <v>TRABUCO HILLS HS</v>
      </c>
      <c r="G14" s="60"/>
      <c r="I14" s="60"/>
    </row>
    <row r="15" spans="1:12" ht="14.1" customHeight="1">
      <c r="A15" s="281" t="s">
        <v>124</v>
      </c>
      <c r="B15" s="281" t="s">
        <v>125</v>
      </c>
      <c r="C15" s="281" t="s">
        <v>126</v>
      </c>
      <c r="D15" s="281" t="s">
        <v>127</v>
      </c>
      <c r="E15" s="281" t="s">
        <v>128</v>
      </c>
      <c r="F15" s="281" t="s">
        <v>129</v>
      </c>
      <c r="G15" s="281" t="s">
        <v>130</v>
      </c>
      <c r="H15" s="281" t="s">
        <v>131</v>
      </c>
      <c r="I15" s="281" t="s">
        <v>130</v>
      </c>
      <c r="J15" s="281" t="s">
        <v>132</v>
      </c>
      <c r="K15" s="281" t="s">
        <v>133</v>
      </c>
      <c r="L15" s="281" t="s">
        <v>134</v>
      </c>
    </row>
    <row r="16" spans="1:12" ht="14.1" customHeight="1">
      <c r="A16" s="69">
        <f>$A$2</f>
        <v>46226</v>
      </c>
      <c r="B16" s="70">
        <f>'CHICLETS MASTER S2'!P4</f>
        <v>0.29166666666666669</v>
      </c>
      <c r="C16" s="71" t="s">
        <v>135</v>
      </c>
      <c r="D16" s="119" t="str">
        <f>$D$14</f>
        <v>TRABUCO HILLS HS</v>
      </c>
      <c r="E16" s="71">
        <v>1</v>
      </c>
      <c r="F16" s="71" t="str">
        <f>A5</f>
        <v>A(1)-NSD STARS</v>
      </c>
      <c r="G16" s="73">
        <v>17</v>
      </c>
      <c r="H16" s="71" t="str">
        <f>A7</f>
        <v>A(25)-LA JOLLA C</v>
      </c>
      <c r="I16" s="73">
        <v>5</v>
      </c>
      <c r="J16" s="71"/>
      <c r="K16" s="71"/>
      <c r="L16" s="71" t="str">
        <f>IF(E16="","",$L$13&amp;"-"&amp;TEXT(E16,"000"))</f>
        <v>14BQ-001</v>
      </c>
    </row>
    <row r="17" spans="1:12" ht="14.1" customHeight="1">
      <c r="A17" s="69">
        <f t="shared" ref="A17:A32" si="0">$A$2</f>
        <v>46226</v>
      </c>
      <c r="B17" s="70">
        <f>'CHICLETS MASTER S2'!P5</f>
        <v>0.3263888888888889</v>
      </c>
      <c r="C17" s="71" t="s">
        <v>136</v>
      </c>
      <c r="D17" s="119" t="str">
        <f t="shared" ref="D17:D27" si="1">$D$14</f>
        <v>TRABUCO HILLS HS</v>
      </c>
      <c r="E17" s="71">
        <v>4</v>
      </c>
      <c r="F17" s="71" t="str">
        <f>B5</f>
        <v>B(2)-SOUTH COAST WHITE</v>
      </c>
      <c r="G17" s="73">
        <v>12</v>
      </c>
      <c r="H17" s="71" t="str">
        <f>B7</f>
        <v>B(26)-BREA OLINDA</v>
      </c>
      <c r="I17" s="73">
        <v>3</v>
      </c>
      <c r="J17" s="71"/>
      <c r="K17" s="71"/>
      <c r="L17" s="71" t="str">
        <f t="shared" ref="L17:L32" si="2">IF(E17="","",$L$13&amp;"-"&amp;TEXT(E17,"000"))</f>
        <v>14BQ-004</v>
      </c>
    </row>
    <row r="18" spans="1:12" ht="14.1" customHeight="1">
      <c r="A18" s="69">
        <f t="shared" si="0"/>
        <v>46226</v>
      </c>
      <c r="B18" s="70">
        <f>'CHICLETS MASTER S2'!P6</f>
        <v>0.36111111111111099</v>
      </c>
      <c r="C18" s="71" t="s">
        <v>137</v>
      </c>
      <c r="D18" s="119" t="str">
        <f t="shared" si="1"/>
        <v>TRABUCO HILLS HS</v>
      </c>
      <c r="E18" s="71">
        <v>7</v>
      </c>
      <c r="F18" s="71" t="str">
        <f>C5</f>
        <v>C(3)-SOCAL</v>
      </c>
      <c r="G18" s="73">
        <v>24</v>
      </c>
      <c r="H18" s="71" t="str">
        <f>C7</f>
        <v>C(27)-AMERICAN RIVER B</v>
      </c>
      <c r="I18" s="73">
        <v>3</v>
      </c>
      <c r="J18" s="71"/>
      <c r="K18" s="71"/>
      <c r="L18" s="71" t="str">
        <f t="shared" si="2"/>
        <v>14BQ-007</v>
      </c>
    </row>
    <row r="19" spans="1:12" ht="14.1" customHeight="1">
      <c r="A19" s="69">
        <f t="shared" si="0"/>
        <v>46226</v>
      </c>
      <c r="B19" s="70">
        <f>'CHICLETS MASTER S2'!P7</f>
        <v>0.39583333333333398</v>
      </c>
      <c r="C19" s="71" t="s">
        <v>138</v>
      </c>
      <c r="D19" s="119" t="str">
        <f t="shared" si="1"/>
        <v>TRABUCO HILLS HS</v>
      </c>
      <c r="E19" s="71">
        <v>10</v>
      </c>
      <c r="F19" s="71" t="str">
        <f>D5</f>
        <v>D(4)-BACK BAY</v>
      </c>
      <c r="G19" s="73">
        <v>16</v>
      </c>
      <c r="H19" s="71" t="str">
        <f>D7</f>
        <v>D(28)-OCWPC RED</v>
      </c>
      <c r="I19" s="73">
        <v>5</v>
      </c>
      <c r="J19" s="71"/>
      <c r="K19" s="71"/>
      <c r="L19" s="71" t="str">
        <f t="shared" si="2"/>
        <v>14BQ-010</v>
      </c>
    </row>
    <row r="20" spans="1:12" ht="14.1" customHeight="1">
      <c r="A20" s="69">
        <f t="shared" si="0"/>
        <v>46226</v>
      </c>
      <c r="B20" s="70">
        <f>'CHICLETS MASTER S2'!P8</f>
        <v>0.43055555555555602</v>
      </c>
      <c r="C20" s="71" t="s">
        <v>135</v>
      </c>
      <c r="D20" s="119" t="str">
        <f t="shared" si="1"/>
        <v>TRABUCO HILLS HS</v>
      </c>
      <c r="E20" s="71">
        <v>13</v>
      </c>
      <c r="F20" s="71" t="str">
        <f>A6</f>
        <v>A(24)-SOVA</v>
      </c>
      <c r="G20" s="73">
        <v>15</v>
      </c>
      <c r="H20" s="71" t="str">
        <f>A7</f>
        <v>A(25)-LA JOLLA C</v>
      </c>
      <c r="I20" s="73">
        <v>5</v>
      </c>
      <c r="J20" s="71"/>
      <c r="K20" s="71"/>
      <c r="L20" s="71" t="str">
        <f t="shared" si="2"/>
        <v>14BQ-013</v>
      </c>
    </row>
    <row r="21" spans="1:12" ht="14.1" customHeight="1">
      <c r="A21" s="69">
        <f t="shared" si="0"/>
        <v>46226</v>
      </c>
      <c r="B21" s="70">
        <f>'CHICLETS MASTER S2'!P9</f>
        <v>0.46527777777777801</v>
      </c>
      <c r="C21" s="71" t="s">
        <v>136</v>
      </c>
      <c r="D21" s="119" t="str">
        <f t="shared" si="1"/>
        <v>TRABUCO HILLS HS</v>
      </c>
      <c r="E21" s="71">
        <v>16</v>
      </c>
      <c r="F21" s="71" t="str">
        <f>B6</f>
        <v>B(23)-PAC</v>
      </c>
      <c r="G21" s="73">
        <v>5</v>
      </c>
      <c r="H21" s="71" t="str">
        <f>B7</f>
        <v>B(26)-BREA OLINDA</v>
      </c>
      <c r="I21" s="73">
        <v>7</v>
      </c>
      <c r="J21" s="71"/>
      <c r="K21" s="71"/>
      <c r="L21" s="71" t="str">
        <f t="shared" si="2"/>
        <v>14BQ-016</v>
      </c>
    </row>
    <row r="22" spans="1:12" ht="14.1" customHeight="1">
      <c r="A22" s="69">
        <f t="shared" si="0"/>
        <v>46226</v>
      </c>
      <c r="B22" s="70">
        <f>'CHICLETS MASTER S2'!P10</f>
        <v>0.5</v>
      </c>
      <c r="C22" s="71" t="s">
        <v>137</v>
      </c>
      <c r="D22" s="119" t="str">
        <f t="shared" si="1"/>
        <v>TRABUCO HILLS HS</v>
      </c>
      <c r="E22" s="71">
        <v>19</v>
      </c>
      <c r="F22" s="71" t="str">
        <f>C6</f>
        <v>C(22)-MID PEN</v>
      </c>
      <c r="G22" s="73">
        <v>4</v>
      </c>
      <c r="H22" s="71" t="str">
        <f>C7</f>
        <v>C(27)-AMERICAN RIVER B</v>
      </c>
      <c r="I22" s="73">
        <v>1</v>
      </c>
      <c r="J22" s="71"/>
      <c r="K22" s="71"/>
      <c r="L22" s="71" t="str">
        <f t="shared" si="2"/>
        <v>14BQ-019</v>
      </c>
    </row>
    <row r="23" spans="1:12" ht="14.1" customHeight="1">
      <c r="A23" s="69">
        <f t="shared" si="0"/>
        <v>46226</v>
      </c>
      <c r="B23" s="70">
        <f>'CHICLETS MASTER S2'!P11</f>
        <v>0.53472222222222199</v>
      </c>
      <c r="C23" s="71" t="s">
        <v>138</v>
      </c>
      <c r="D23" s="119" t="str">
        <f t="shared" si="1"/>
        <v>TRABUCO HILLS HS</v>
      </c>
      <c r="E23" s="71">
        <v>22</v>
      </c>
      <c r="F23" s="71" t="str">
        <f>D6</f>
        <v>D(21)-BURLINGAME</v>
      </c>
      <c r="G23" s="73">
        <v>5</v>
      </c>
      <c r="H23" s="71" t="str">
        <f>D7</f>
        <v>D(28)-OCWPC RED</v>
      </c>
      <c r="I23" s="73">
        <v>14</v>
      </c>
      <c r="J23" s="71"/>
      <c r="K23" s="71"/>
      <c r="L23" s="71" t="str">
        <f t="shared" si="2"/>
        <v>14BQ-022</v>
      </c>
    </row>
    <row r="24" spans="1:12" ht="14.1" customHeight="1">
      <c r="A24" s="69">
        <f t="shared" si="0"/>
        <v>46226</v>
      </c>
      <c r="B24" s="70">
        <f>'CHICLETS MASTER S2'!P12</f>
        <v>0.56944444444444497</v>
      </c>
      <c r="C24" s="71" t="s">
        <v>135</v>
      </c>
      <c r="D24" s="119" t="str">
        <f t="shared" si="1"/>
        <v>TRABUCO HILLS HS</v>
      </c>
      <c r="E24" s="71">
        <v>25</v>
      </c>
      <c r="F24" s="71" t="str">
        <f>A5</f>
        <v>A(1)-NSD STARS</v>
      </c>
      <c r="G24" s="73">
        <v>17</v>
      </c>
      <c r="H24" s="71" t="str">
        <f>A6</f>
        <v>A(24)-SOVA</v>
      </c>
      <c r="I24" s="73">
        <v>8</v>
      </c>
      <c r="J24" s="71"/>
      <c r="K24" s="71"/>
      <c r="L24" s="71" t="str">
        <f t="shared" si="2"/>
        <v>14BQ-025</v>
      </c>
    </row>
    <row r="25" spans="1:12" ht="14.1" customHeight="1">
      <c r="A25" s="69">
        <f t="shared" si="0"/>
        <v>46226</v>
      </c>
      <c r="B25" s="70">
        <f>'CHICLETS MASTER S2'!P13</f>
        <v>0.60416666666666696</v>
      </c>
      <c r="C25" s="71" t="s">
        <v>136</v>
      </c>
      <c r="D25" s="119" t="str">
        <f t="shared" si="1"/>
        <v>TRABUCO HILLS HS</v>
      </c>
      <c r="E25" s="71">
        <v>28</v>
      </c>
      <c r="F25" s="71" t="str">
        <f>B5</f>
        <v>B(2)-SOUTH COAST WHITE</v>
      </c>
      <c r="G25" s="73">
        <v>9</v>
      </c>
      <c r="H25" s="71" t="str">
        <f>B6</f>
        <v>B(23)-PAC</v>
      </c>
      <c r="I25" s="73">
        <v>5</v>
      </c>
      <c r="J25" s="71"/>
      <c r="K25" s="71"/>
      <c r="L25" s="71" t="str">
        <f t="shared" si="2"/>
        <v>14BQ-028</v>
      </c>
    </row>
    <row r="26" spans="1:12" ht="14.1" customHeight="1">
      <c r="A26" s="69">
        <f t="shared" si="0"/>
        <v>46226</v>
      </c>
      <c r="B26" s="70">
        <f>'CHICLETS MASTER S2'!P14</f>
        <v>0.63888888888888895</v>
      </c>
      <c r="C26" s="71" t="s">
        <v>137</v>
      </c>
      <c r="D26" s="119" t="str">
        <f t="shared" si="1"/>
        <v>TRABUCO HILLS HS</v>
      </c>
      <c r="E26" s="71">
        <v>31</v>
      </c>
      <c r="F26" s="71" t="str">
        <f>C5</f>
        <v>C(3)-SOCAL</v>
      </c>
      <c r="G26" s="73">
        <v>21</v>
      </c>
      <c r="H26" s="71" t="str">
        <f>C6</f>
        <v>C(22)-MID PEN</v>
      </c>
      <c r="I26" s="73">
        <v>3</v>
      </c>
      <c r="J26" s="71"/>
      <c r="K26" s="71"/>
      <c r="L26" s="71" t="str">
        <f t="shared" si="2"/>
        <v>14BQ-031</v>
      </c>
    </row>
    <row r="27" spans="1:12" ht="14.1" customHeight="1">
      <c r="A27" s="69">
        <f t="shared" si="0"/>
        <v>46226</v>
      </c>
      <c r="B27" s="70">
        <f>'CHICLETS MASTER S2'!P15</f>
        <v>0.67361111111111105</v>
      </c>
      <c r="C27" s="71" t="s">
        <v>138</v>
      </c>
      <c r="D27" s="119" t="str">
        <f t="shared" si="1"/>
        <v>TRABUCO HILLS HS</v>
      </c>
      <c r="E27" s="71">
        <v>34</v>
      </c>
      <c r="F27" s="71" t="str">
        <f>D5</f>
        <v>D(4)-BACK BAY</v>
      </c>
      <c r="G27" s="73">
        <v>15</v>
      </c>
      <c r="H27" s="71" t="str">
        <f>D6</f>
        <v>D(21)-BURLINGAME</v>
      </c>
      <c r="I27" s="73">
        <v>4</v>
      </c>
      <c r="J27" s="71"/>
      <c r="K27" s="71"/>
      <c r="L27" s="71" t="str">
        <f t="shared" si="2"/>
        <v>14BQ-034</v>
      </c>
    </row>
    <row r="28" spans="1:12" ht="14.1" customHeight="1">
      <c r="B28" s="60" t="s">
        <v>139</v>
      </c>
      <c r="G28" s="60"/>
      <c r="I28" s="60"/>
    </row>
    <row r="29" spans="1:12" ht="14.1" customHeight="1">
      <c r="A29" s="69">
        <f t="shared" si="0"/>
        <v>46226</v>
      </c>
      <c r="B29" s="70">
        <f>'CHICLETS MASTER S2'!P17</f>
        <v>0.74305555555555602</v>
      </c>
      <c r="C29" s="71" t="s">
        <v>140</v>
      </c>
      <c r="D29" s="119" t="str">
        <f>$D$14</f>
        <v>TRABUCO HILLS HS</v>
      </c>
      <c r="E29" s="71">
        <v>37</v>
      </c>
      <c r="F29" s="71" t="s">
        <v>1589</v>
      </c>
      <c r="G29" s="73">
        <v>11</v>
      </c>
      <c r="H29" s="71" t="s">
        <v>1590</v>
      </c>
      <c r="I29" s="73">
        <v>12</v>
      </c>
      <c r="J29" s="71" t="s">
        <v>1591</v>
      </c>
      <c r="K29" s="71" t="s">
        <v>1592</v>
      </c>
      <c r="L29" s="71" t="str">
        <f t="shared" si="2"/>
        <v>14BQ-037</v>
      </c>
    </row>
    <row r="30" spans="1:12" ht="14.1" customHeight="1">
      <c r="A30" s="69">
        <f t="shared" si="0"/>
        <v>46226</v>
      </c>
      <c r="B30" s="70">
        <f>'CHICLETS MASTER S2'!P18</f>
        <v>0.77777777777777801</v>
      </c>
      <c r="C30" s="71" t="s">
        <v>140</v>
      </c>
      <c r="D30" s="119" t="str">
        <f>$D$14</f>
        <v>TRABUCO HILLS HS</v>
      </c>
      <c r="E30" s="71">
        <v>40</v>
      </c>
      <c r="F30" s="71" t="s">
        <v>1593</v>
      </c>
      <c r="G30" s="73">
        <v>8</v>
      </c>
      <c r="H30" s="71" t="s">
        <v>1594</v>
      </c>
      <c r="I30" s="73">
        <v>10</v>
      </c>
      <c r="J30" s="71" t="s">
        <v>1595</v>
      </c>
      <c r="K30" s="71" t="s">
        <v>1596</v>
      </c>
      <c r="L30" s="71" t="str">
        <f t="shared" si="2"/>
        <v>14BQ-040</v>
      </c>
    </row>
    <row r="31" spans="1:12" ht="14.1" customHeight="1">
      <c r="A31" s="69">
        <f t="shared" si="0"/>
        <v>46226</v>
      </c>
      <c r="B31" s="70">
        <f>'CHICLETS MASTER S2'!P19</f>
        <v>0.8125</v>
      </c>
      <c r="C31" s="71" t="s">
        <v>140</v>
      </c>
      <c r="D31" s="119" t="str">
        <f>$D$14</f>
        <v>TRABUCO HILLS HS</v>
      </c>
      <c r="E31" s="71">
        <v>43</v>
      </c>
      <c r="F31" s="71" t="s">
        <v>1597</v>
      </c>
      <c r="G31" s="73">
        <v>4</v>
      </c>
      <c r="H31" s="71" t="s">
        <v>1598</v>
      </c>
      <c r="I31" s="73">
        <v>8</v>
      </c>
      <c r="J31" s="71" t="s">
        <v>1599</v>
      </c>
      <c r="K31" s="71" t="s">
        <v>1600</v>
      </c>
      <c r="L31" s="71" t="str">
        <f t="shared" si="2"/>
        <v>14BQ-043</v>
      </c>
    </row>
    <row r="32" spans="1:12" ht="14.1" customHeight="1">
      <c r="A32" s="69">
        <f t="shared" si="0"/>
        <v>46226</v>
      </c>
      <c r="B32" s="70">
        <f>'CHICLETS MASTER S2'!P20</f>
        <v>0.84722222222222199</v>
      </c>
      <c r="C32" s="71" t="s">
        <v>140</v>
      </c>
      <c r="D32" s="119" t="str">
        <f>$D$14</f>
        <v>TRABUCO HILLS HS</v>
      </c>
      <c r="E32" s="71">
        <v>46</v>
      </c>
      <c r="F32" s="71" t="s">
        <v>1601</v>
      </c>
      <c r="G32" s="73">
        <v>12</v>
      </c>
      <c r="H32" s="71" t="s">
        <v>1602</v>
      </c>
      <c r="I32" s="73">
        <v>2</v>
      </c>
      <c r="J32" s="71" t="s">
        <v>1603</v>
      </c>
      <c r="K32" s="71" t="s">
        <v>1604</v>
      </c>
      <c r="L32" s="71" t="str">
        <f t="shared" si="2"/>
        <v>14BQ-046</v>
      </c>
    </row>
    <row r="34" spans="1:12" ht="14.1" customHeight="1" thickBot="1">
      <c r="D34" s="65" t="str">
        <f>'CHICLETS MASTER S2'!$V$3</f>
        <v>VILLA PARK HS</v>
      </c>
    </row>
    <row r="35" spans="1:12" ht="14.1" customHeight="1">
      <c r="A35" s="281" t="s">
        <v>124</v>
      </c>
      <c r="B35" s="281" t="s">
        <v>125</v>
      </c>
      <c r="C35" s="281" t="s">
        <v>126</v>
      </c>
      <c r="D35" s="281" t="s">
        <v>127</v>
      </c>
      <c r="E35" s="281" t="s">
        <v>128</v>
      </c>
      <c r="F35" s="281" t="s">
        <v>129</v>
      </c>
      <c r="G35" s="281" t="s">
        <v>130</v>
      </c>
      <c r="H35" s="281" t="s">
        <v>131</v>
      </c>
      <c r="I35" s="281" t="s">
        <v>130</v>
      </c>
      <c r="J35" s="281" t="s">
        <v>132</v>
      </c>
      <c r="K35" s="281" t="s">
        <v>133</v>
      </c>
      <c r="L35" s="281" t="s">
        <v>134</v>
      </c>
    </row>
    <row r="36" spans="1:12" ht="14.1" customHeight="1">
      <c r="A36" s="69">
        <f t="shared" ref="A36:A52" si="3">$A$2</f>
        <v>46226</v>
      </c>
      <c r="B36" s="70">
        <f>'CHICLETS MASTER S2'!P4</f>
        <v>0.29166666666666669</v>
      </c>
      <c r="C36" s="71" t="s">
        <v>157</v>
      </c>
      <c r="D36" s="119" t="str">
        <f>$D$34</f>
        <v>VILLA PARK HS</v>
      </c>
      <c r="E36" s="71">
        <v>2</v>
      </c>
      <c r="F36" s="71" t="str">
        <f>B10</f>
        <v>H(8)-NORCAL TEAL</v>
      </c>
      <c r="G36" s="73">
        <v>18</v>
      </c>
      <c r="H36" s="71" t="str">
        <f>B12</f>
        <v>H(32)-VALLEY UNITED</v>
      </c>
      <c r="I36" s="73">
        <v>2</v>
      </c>
      <c r="J36" s="71"/>
      <c r="K36" s="71"/>
      <c r="L36" s="71" t="str">
        <f t="shared" ref="L36:L52" si="4">IF(E36="","",$L$13&amp;"-"&amp;TEXT(E36,"000"))</f>
        <v>14BQ-002</v>
      </c>
    </row>
    <row r="37" spans="1:12" ht="14.1" customHeight="1">
      <c r="A37" s="69">
        <f t="shared" si="3"/>
        <v>46226</v>
      </c>
      <c r="B37" s="70">
        <f>'CHICLETS MASTER S2'!P5</f>
        <v>0.3263888888888889</v>
      </c>
      <c r="C37" s="71" t="s">
        <v>158</v>
      </c>
      <c r="D37" s="119" t="str">
        <f t="shared" ref="D37:D47" si="5">$D$34</f>
        <v>VILLA PARK HS</v>
      </c>
      <c r="E37" s="71">
        <v>5</v>
      </c>
      <c r="F37" s="71" t="str">
        <f>A10</f>
        <v>G(7)-CHAWP</v>
      </c>
      <c r="G37" s="73">
        <v>9</v>
      </c>
      <c r="H37" s="71" t="str">
        <f>A12</f>
        <v>G(31)-CIU COAST</v>
      </c>
      <c r="I37" s="73">
        <v>5</v>
      </c>
      <c r="J37" s="71"/>
      <c r="K37" s="71"/>
      <c r="L37" s="71" t="str">
        <f t="shared" si="4"/>
        <v>14BQ-005</v>
      </c>
    </row>
    <row r="38" spans="1:12" ht="14.1" customHeight="1">
      <c r="A38" s="69">
        <f t="shared" si="3"/>
        <v>46226</v>
      </c>
      <c r="B38" s="70">
        <f>'CHICLETS MASTER S2'!P6</f>
        <v>0.36111111111111099</v>
      </c>
      <c r="C38" s="71" t="s">
        <v>159</v>
      </c>
      <c r="D38" s="119" t="str">
        <f t="shared" si="5"/>
        <v>VILLA PARK HS</v>
      </c>
      <c r="E38" s="71">
        <v>8</v>
      </c>
      <c r="F38" s="71" t="str">
        <f>F5</f>
        <v>F(6)-PALOS VERDES BLUE</v>
      </c>
      <c r="G38" s="73">
        <v>21</v>
      </c>
      <c r="H38" s="71" t="str">
        <f>F7</f>
        <v>F(30)-TRI VALLEY TRITONS</v>
      </c>
      <c r="I38" s="73">
        <v>2</v>
      </c>
      <c r="J38" s="71"/>
      <c r="K38" s="71"/>
      <c r="L38" s="71" t="str">
        <f t="shared" si="4"/>
        <v>14BQ-008</v>
      </c>
    </row>
    <row r="39" spans="1:12" ht="14.1" customHeight="1">
      <c r="A39" s="69">
        <f t="shared" si="3"/>
        <v>46226</v>
      </c>
      <c r="B39" s="70">
        <f>'CHICLETS MASTER S2'!P7</f>
        <v>0.39583333333333398</v>
      </c>
      <c r="C39" s="71" t="s">
        <v>160</v>
      </c>
      <c r="D39" s="119" t="str">
        <f t="shared" si="5"/>
        <v>VILLA PARK HS</v>
      </c>
      <c r="E39" s="71">
        <v>11</v>
      </c>
      <c r="F39" s="71" t="str">
        <f>E5</f>
        <v>E(5)-VNITED</v>
      </c>
      <c r="G39" s="73">
        <v>12</v>
      </c>
      <c r="H39" s="71" t="str">
        <f>E7</f>
        <v>E(29)-SAN CLEMENTE BLACK</v>
      </c>
      <c r="I39" s="73">
        <v>4</v>
      </c>
      <c r="J39" s="71"/>
      <c r="K39" s="71"/>
      <c r="L39" s="71" t="str">
        <f t="shared" si="4"/>
        <v>14BQ-011</v>
      </c>
    </row>
    <row r="40" spans="1:12" ht="14.1" customHeight="1">
      <c r="A40" s="69">
        <f t="shared" si="3"/>
        <v>46226</v>
      </c>
      <c r="B40" s="70">
        <f>'CHICLETS MASTER S2'!P8</f>
        <v>0.43055555555555602</v>
      </c>
      <c r="C40" s="71" t="s">
        <v>157</v>
      </c>
      <c r="D40" s="119" t="str">
        <f t="shared" si="5"/>
        <v>VILLA PARK HS</v>
      </c>
      <c r="E40" s="71">
        <v>14</v>
      </c>
      <c r="F40" s="71" t="str">
        <f>B11</f>
        <v>H(17)-LA CITY UNITED</v>
      </c>
      <c r="G40" s="73">
        <v>15</v>
      </c>
      <c r="H40" s="71" t="str">
        <f>B12</f>
        <v>H(32)-VALLEY UNITED</v>
      </c>
      <c r="I40" s="73">
        <v>4</v>
      </c>
      <c r="J40" s="71"/>
      <c r="K40" s="71"/>
      <c r="L40" s="71" t="str">
        <f t="shared" si="4"/>
        <v>14BQ-014</v>
      </c>
    </row>
    <row r="41" spans="1:12" ht="14.1" customHeight="1">
      <c r="A41" s="69">
        <f t="shared" si="3"/>
        <v>46226</v>
      </c>
      <c r="B41" s="70">
        <f>'CHICLETS MASTER S2'!P9</f>
        <v>0.46527777777777801</v>
      </c>
      <c r="C41" s="71" t="s">
        <v>158</v>
      </c>
      <c r="D41" s="119" t="str">
        <f t="shared" si="5"/>
        <v>VILLA PARK HS</v>
      </c>
      <c r="E41" s="71">
        <v>17</v>
      </c>
      <c r="F41" s="71" t="str">
        <f>A11</f>
        <v>G(18)-CORONADO</v>
      </c>
      <c r="G41" s="73">
        <v>6</v>
      </c>
      <c r="H41" s="71" t="str">
        <f>A12</f>
        <v>G(31)-CIU COAST</v>
      </c>
      <c r="I41" s="73">
        <v>15</v>
      </c>
      <c r="J41" s="71"/>
      <c r="K41" s="71"/>
      <c r="L41" s="71" t="str">
        <f t="shared" si="4"/>
        <v>14BQ-017</v>
      </c>
    </row>
    <row r="42" spans="1:12" ht="14.1" customHeight="1">
      <c r="A42" s="69">
        <f t="shared" si="3"/>
        <v>46226</v>
      </c>
      <c r="B42" s="70">
        <f>'CHICLETS MASTER S2'!P10</f>
        <v>0.5</v>
      </c>
      <c r="C42" s="71" t="s">
        <v>159</v>
      </c>
      <c r="D42" s="119" t="str">
        <f t="shared" si="5"/>
        <v>VILLA PARK HS</v>
      </c>
      <c r="E42" s="71">
        <v>20</v>
      </c>
      <c r="F42" s="71" t="str">
        <f>F6</f>
        <v>F(19)-CDM WHITE</v>
      </c>
      <c r="G42" s="73">
        <v>23</v>
      </c>
      <c r="H42" s="71" t="str">
        <f>F7</f>
        <v>F(30)-TRI VALLEY TRITONS</v>
      </c>
      <c r="I42" s="73">
        <v>3</v>
      </c>
      <c r="J42" s="71"/>
      <c r="K42" s="71"/>
      <c r="L42" s="71" t="str">
        <f t="shared" si="4"/>
        <v>14BQ-020</v>
      </c>
    </row>
    <row r="43" spans="1:12" ht="14.1" customHeight="1">
      <c r="A43" s="69">
        <f t="shared" si="3"/>
        <v>46226</v>
      </c>
      <c r="B43" s="70">
        <f>'CHICLETS MASTER S2'!P11</f>
        <v>0.53472222222222199</v>
      </c>
      <c r="C43" s="71" t="s">
        <v>160</v>
      </c>
      <c r="D43" s="119" t="str">
        <f t="shared" si="5"/>
        <v>VILLA PARK HS</v>
      </c>
      <c r="E43" s="71">
        <v>23</v>
      </c>
      <c r="F43" s="71" t="str">
        <f>E6</f>
        <v>E(20)-CAL REPUBLIC</v>
      </c>
      <c r="G43" s="73">
        <v>12</v>
      </c>
      <c r="H43" s="71" t="str">
        <f>E7</f>
        <v>E(29)-SAN CLEMENTE BLACK</v>
      </c>
      <c r="I43" s="73">
        <v>6</v>
      </c>
      <c r="J43" s="71"/>
      <c r="K43" s="71"/>
      <c r="L43" s="71" t="str">
        <f t="shared" si="4"/>
        <v>14BQ-023</v>
      </c>
    </row>
    <row r="44" spans="1:12" ht="14.1" customHeight="1">
      <c r="A44" s="69">
        <f t="shared" si="3"/>
        <v>46226</v>
      </c>
      <c r="B44" s="70">
        <f>'CHICLETS MASTER S2'!P12</f>
        <v>0.56944444444444497</v>
      </c>
      <c r="C44" s="71" t="s">
        <v>157</v>
      </c>
      <c r="D44" s="119" t="str">
        <f t="shared" si="5"/>
        <v>VILLA PARK HS</v>
      </c>
      <c r="E44" s="71">
        <v>26</v>
      </c>
      <c r="F44" s="71" t="str">
        <f>B10</f>
        <v>H(8)-NORCAL TEAL</v>
      </c>
      <c r="G44" s="73">
        <v>8.1</v>
      </c>
      <c r="H44" s="71" t="str">
        <f>B11</f>
        <v>H(17)-LA CITY UNITED</v>
      </c>
      <c r="I44" s="73">
        <v>8.4</v>
      </c>
      <c r="J44" s="71"/>
      <c r="K44" s="71"/>
      <c r="L44" s="71" t="str">
        <f t="shared" si="4"/>
        <v>14BQ-026</v>
      </c>
    </row>
    <row r="45" spans="1:12" ht="14.1" customHeight="1">
      <c r="A45" s="69">
        <f t="shared" si="3"/>
        <v>46226</v>
      </c>
      <c r="B45" s="70">
        <f>'CHICLETS MASTER S2'!P13</f>
        <v>0.60416666666666696</v>
      </c>
      <c r="C45" s="71" t="s">
        <v>158</v>
      </c>
      <c r="D45" s="119" t="str">
        <f t="shared" si="5"/>
        <v>VILLA PARK HS</v>
      </c>
      <c r="E45" s="71">
        <v>29</v>
      </c>
      <c r="F45" s="71" t="str">
        <f>A10</f>
        <v>G(7)-CHAWP</v>
      </c>
      <c r="G45" s="73">
        <v>11</v>
      </c>
      <c r="H45" s="71" t="str">
        <f>A11</f>
        <v>G(18)-CORONADO</v>
      </c>
      <c r="I45" s="73">
        <v>4</v>
      </c>
      <c r="J45" s="71"/>
      <c r="K45" s="71"/>
      <c r="L45" s="71" t="str">
        <f t="shared" si="4"/>
        <v>14BQ-029</v>
      </c>
    </row>
    <row r="46" spans="1:12" ht="14.1" customHeight="1">
      <c r="A46" s="69">
        <f t="shared" si="3"/>
        <v>46226</v>
      </c>
      <c r="B46" s="70">
        <f>'CHICLETS MASTER S2'!P14</f>
        <v>0.63888888888888895</v>
      </c>
      <c r="C46" s="71" t="s">
        <v>159</v>
      </c>
      <c r="D46" s="119" t="str">
        <f t="shared" si="5"/>
        <v>VILLA PARK HS</v>
      </c>
      <c r="E46" s="71">
        <v>32</v>
      </c>
      <c r="F46" s="71" t="str">
        <f>F5</f>
        <v>F(6)-PALOS VERDES BLUE</v>
      </c>
      <c r="G46" s="73">
        <v>6</v>
      </c>
      <c r="H46" s="71" t="str">
        <f>F6</f>
        <v>F(19)-CDM WHITE</v>
      </c>
      <c r="I46" s="73">
        <v>8</v>
      </c>
      <c r="J46" s="71"/>
      <c r="K46" s="71"/>
      <c r="L46" s="71" t="str">
        <f t="shared" si="4"/>
        <v>14BQ-032</v>
      </c>
    </row>
    <row r="47" spans="1:12" ht="14.1" customHeight="1">
      <c r="A47" s="69">
        <f t="shared" si="3"/>
        <v>46226</v>
      </c>
      <c r="B47" s="70">
        <f>'CHICLETS MASTER S2'!P15</f>
        <v>0.67361111111111105</v>
      </c>
      <c r="C47" s="71" t="s">
        <v>160</v>
      </c>
      <c r="D47" s="119" t="str">
        <f t="shared" si="5"/>
        <v>VILLA PARK HS</v>
      </c>
      <c r="E47" s="71">
        <v>35</v>
      </c>
      <c r="F47" s="71" t="str">
        <f>E5</f>
        <v>E(5)-VNITED</v>
      </c>
      <c r="G47" s="73">
        <v>14</v>
      </c>
      <c r="H47" s="71" t="str">
        <f>E6</f>
        <v>E(20)-CAL REPUBLIC</v>
      </c>
      <c r="I47" s="73">
        <v>12</v>
      </c>
      <c r="J47" s="71"/>
      <c r="K47" s="71"/>
      <c r="L47" s="71" t="str">
        <f t="shared" si="4"/>
        <v>14BQ-035</v>
      </c>
    </row>
    <row r="48" spans="1:12" ht="14.1" customHeight="1">
      <c r="B48" s="60" t="s">
        <v>139</v>
      </c>
      <c r="G48" s="60"/>
      <c r="I48" s="60"/>
    </row>
    <row r="49" spans="1:12" ht="14.1" customHeight="1">
      <c r="A49" s="69">
        <f t="shared" si="3"/>
        <v>46226</v>
      </c>
      <c r="B49" s="70">
        <f>'CHICLETS MASTER S2'!P17</f>
        <v>0.74305555555555602</v>
      </c>
      <c r="C49" s="71" t="s">
        <v>140</v>
      </c>
      <c r="D49" s="119" t="str">
        <f>$D$34</f>
        <v>VILLA PARK HS</v>
      </c>
      <c r="E49" s="71">
        <v>38</v>
      </c>
      <c r="F49" s="71" t="s">
        <v>1605</v>
      </c>
      <c r="G49" s="73">
        <v>6</v>
      </c>
      <c r="H49" s="71" t="s">
        <v>1606</v>
      </c>
      <c r="I49" s="73">
        <v>12</v>
      </c>
      <c r="J49" s="71" t="s">
        <v>1607</v>
      </c>
      <c r="K49" s="71" t="s">
        <v>1608</v>
      </c>
      <c r="L49" s="71" t="str">
        <f t="shared" si="4"/>
        <v>14BQ-038</v>
      </c>
    </row>
    <row r="50" spans="1:12" ht="14.1" customHeight="1">
      <c r="A50" s="69">
        <f t="shared" si="3"/>
        <v>46226</v>
      </c>
      <c r="B50" s="70">
        <f>'CHICLETS MASTER S2'!P18</f>
        <v>0.77777777777777801</v>
      </c>
      <c r="C50" s="71" t="s">
        <v>140</v>
      </c>
      <c r="D50" s="119" t="str">
        <f>$D$34</f>
        <v>VILLA PARK HS</v>
      </c>
      <c r="E50" s="71">
        <v>41</v>
      </c>
      <c r="F50" s="71" t="s">
        <v>1609</v>
      </c>
      <c r="G50" s="73">
        <v>19</v>
      </c>
      <c r="H50" s="71" t="s">
        <v>1610</v>
      </c>
      <c r="I50" s="73">
        <v>3</v>
      </c>
      <c r="J50" s="71" t="s">
        <v>1611</v>
      </c>
      <c r="K50" s="71" t="s">
        <v>1612</v>
      </c>
      <c r="L50" s="71" t="str">
        <f t="shared" si="4"/>
        <v>14BQ-041</v>
      </c>
    </row>
    <row r="51" spans="1:12" ht="14.1" customHeight="1">
      <c r="A51" s="69">
        <f t="shared" si="3"/>
        <v>46226</v>
      </c>
      <c r="B51" s="70">
        <f>'CHICLETS MASTER S2'!P19</f>
        <v>0.8125</v>
      </c>
      <c r="C51" s="71" t="s">
        <v>140</v>
      </c>
      <c r="D51" s="119" t="str">
        <f>$D$34</f>
        <v>VILLA PARK HS</v>
      </c>
      <c r="E51" s="71">
        <v>44</v>
      </c>
      <c r="F51" s="71" t="s">
        <v>1613</v>
      </c>
      <c r="G51" s="73">
        <v>10</v>
      </c>
      <c r="H51" s="71" t="s">
        <v>1614</v>
      </c>
      <c r="I51" s="73">
        <v>5</v>
      </c>
      <c r="J51" s="71" t="s">
        <v>1615</v>
      </c>
      <c r="K51" s="71" t="s">
        <v>1616</v>
      </c>
      <c r="L51" s="71" t="str">
        <f t="shared" si="4"/>
        <v>14BQ-044</v>
      </c>
    </row>
    <row r="52" spans="1:12" ht="14.1" customHeight="1">
      <c r="A52" s="69">
        <f t="shared" si="3"/>
        <v>46226</v>
      </c>
      <c r="B52" s="70">
        <f>'CHICLETS MASTER S2'!P20</f>
        <v>0.84722222222222199</v>
      </c>
      <c r="C52" s="71" t="s">
        <v>140</v>
      </c>
      <c r="D52" s="119" t="str">
        <f>$D$34</f>
        <v>VILLA PARK HS</v>
      </c>
      <c r="E52" s="71">
        <v>47</v>
      </c>
      <c r="F52" s="71" t="s">
        <v>1617</v>
      </c>
      <c r="G52" s="73">
        <v>21</v>
      </c>
      <c r="H52" s="71" t="s">
        <v>1618</v>
      </c>
      <c r="I52" s="73">
        <v>7</v>
      </c>
      <c r="J52" s="71" t="s">
        <v>1619</v>
      </c>
      <c r="K52" s="71" t="s">
        <v>1620</v>
      </c>
      <c r="L52" s="71" t="str">
        <f t="shared" si="4"/>
        <v>14BQ-047</v>
      </c>
    </row>
    <row r="53" spans="1:12" ht="14.1" customHeight="1" thickBot="1">
      <c r="A53" s="98"/>
      <c r="B53" s="79"/>
    </row>
    <row r="54" spans="1:12" ht="14.1" customHeight="1" thickBot="1">
      <c r="D54" s="65" t="str">
        <f>'CHICLETS MASTER S2'!$U$3</f>
        <v>PORTOLA HS 2</v>
      </c>
    </row>
    <row r="55" spans="1:12" ht="14.1" customHeight="1">
      <c r="A55" s="281" t="s">
        <v>124</v>
      </c>
      <c r="B55" s="281" t="s">
        <v>125</v>
      </c>
      <c r="C55" s="281" t="s">
        <v>126</v>
      </c>
      <c r="D55" s="281" t="s">
        <v>127</v>
      </c>
      <c r="E55" s="281" t="s">
        <v>128</v>
      </c>
      <c r="F55" s="281" t="s">
        <v>129</v>
      </c>
      <c r="G55" s="281" t="s">
        <v>130</v>
      </c>
      <c r="H55" s="281" t="s">
        <v>131</v>
      </c>
      <c r="I55" s="281" t="s">
        <v>130</v>
      </c>
      <c r="J55" s="281" t="s">
        <v>132</v>
      </c>
      <c r="K55" s="281" t="s">
        <v>133</v>
      </c>
      <c r="L55" s="281" t="s">
        <v>134</v>
      </c>
    </row>
    <row r="56" spans="1:12" ht="14.1" customHeight="1">
      <c r="A56" s="69">
        <f t="shared" ref="A56:A72" si="6">$A$2</f>
        <v>46226</v>
      </c>
      <c r="B56" s="70">
        <f>'CHICLETS MASTER S2'!P4</f>
        <v>0.29166666666666669</v>
      </c>
      <c r="C56" s="71" t="s">
        <v>177</v>
      </c>
      <c r="D56" s="119" t="str">
        <f>$D$54</f>
        <v>PORTOLA HS 2</v>
      </c>
      <c r="E56" s="71">
        <v>3</v>
      </c>
      <c r="F56" s="71" t="str">
        <f>C10</f>
        <v>I(9)-SAND CANYON</v>
      </c>
      <c r="G56" s="73">
        <v>12</v>
      </c>
      <c r="H56" s="71" t="str">
        <f>C12</f>
        <v>I(33)-LOYOLA</v>
      </c>
      <c r="I56" s="73">
        <v>8</v>
      </c>
      <c r="J56" s="71"/>
      <c r="K56" s="71"/>
      <c r="L56" s="71" t="str">
        <f t="shared" ref="L56:L72" si="7">IF(E56="","",$L$13&amp;"-"&amp;TEXT(E56,"000"))</f>
        <v>14BQ-003</v>
      </c>
    </row>
    <row r="57" spans="1:12" ht="14.1" customHeight="1">
      <c r="A57" s="69">
        <f t="shared" si="6"/>
        <v>46226</v>
      </c>
      <c r="B57" s="70">
        <f>'CHICLETS MASTER S2'!P5</f>
        <v>0.3263888888888889</v>
      </c>
      <c r="C57" s="71" t="s">
        <v>178</v>
      </c>
      <c r="D57" s="119" t="str">
        <f t="shared" ref="D57:D67" si="8">$D$54</f>
        <v>PORTOLA HS 2</v>
      </c>
      <c r="E57" s="71">
        <v>6</v>
      </c>
      <c r="F57" s="71" t="str">
        <f>D10</f>
        <v>J(10)-908 BLUE</v>
      </c>
      <c r="G57" s="73">
        <v>15</v>
      </c>
      <c r="H57" s="71" t="str">
        <f>D12</f>
        <v>J(34)-NAVY</v>
      </c>
      <c r="I57" s="73">
        <v>11</v>
      </c>
      <c r="J57" s="71"/>
      <c r="K57" s="71"/>
      <c r="L57" s="71" t="str">
        <f t="shared" si="7"/>
        <v>14BQ-006</v>
      </c>
    </row>
    <row r="58" spans="1:12" ht="14.1" customHeight="1">
      <c r="A58" s="69">
        <f t="shared" si="6"/>
        <v>46226</v>
      </c>
      <c r="B58" s="70">
        <f>'CHICLETS MASTER S2'!P6</f>
        <v>0.36111111111111099</v>
      </c>
      <c r="C58" s="71" t="s">
        <v>181</v>
      </c>
      <c r="D58" s="119" t="str">
        <f t="shared" si="8"/>
        <v>PORTOLA HS 2</v>
      </c>
      <c r="E58" s="227">
        <v>9</v>
      </c>
      <c r="F58" s="216" t="str">
        <f>E10</f>
        <v>K(11)-SANTA CRUZ</v>
      </c>
      <c r="G58" s="284">
        <v>14</v>
      </c>
      <c r="H58" s="71" t="str">
        <f>E12</f>
        <v>K(35)-ORWP RED</v>
      </c>
      <c r="I58" s="73">
        <v>3</v>
      </c>
      <c r="J58" s="71"/>
      <c r="K58" s="71"/>
      <c r="L58" s="71" t="str">
        <f t="shared" si="7"/>
        <v>14BQ-009</v>
      </c>
    </row>
    <row r="59" spans="1:12" ht="14.1" customHeight="1">
      <c r="A59" s="69">
        <f t="shared" si="6"/>
        <v>46226</v>
      </c>
      <c r="B59" s="70">
        <f>'CHICLETS MASTER S2'!P7</f>
        <v>0.39583333333333398</v>
      </c>
      <c r="C59" s="71" t="s">
        <v>179</v>
      </c>
      <c r="D59" s="119" t="str">
        <f t="shared" si="8"/>
        <v>PORTOLA HS 2</v>
      </c>
      <c r="E59" s="71">
        <v>12</v>
      </c>
      <c r="F59" s="216" t="str">
        <f>F10</f>
        <v>L(12)-STANFORD WHITE</v>
      </c>
      <c r="G59" s="73">
        <v>17</v>
      </c>
      <c r="H59" s="71" t="str">
        <f>F12</f>
        <v>L(36)-ROSE BOWL BLACK</v>
      </c>
      <c r="I59" s="73">
        <v>4</v>
      </c>
      <c r="J59" s="71"/>
      <c r="K59" s="71"/>
      <c r="L59" s="71" t="str">
        <f t="shared" si="7"/>
        <v>14BQ-012</v>
      </c>
    </row>
    <row r="60" spans="1:12" ht="14.1" customHeight="1">
      <c r="A60" s="69">
        <f t="shared" si="6"/>
        <v>46226</v>
      </c>
      <c r="B60" s="70">
        <f>'CHICLETS MASTER S2'!P8</f>
        <v>0.43055555555555602</v>
      </c>
      <c r="C60" s="71" t="s">
        <v>177</v>
      </c>
      <c r="D60" s="119" t="str">
        <f t="shared" si="8"/>
        <v>PORTOLA HS 2</v>
      </c>
      <c r="E60" s="71">
        <v>15</v>
      </c>
      <c r="F60" s="216" t="str">
        <f>C11</f>
        <v>I(16)-CCU WHITE</v>
      </c>
      <c r="G60" s="73">
        <v>7</v>
      </c>
      <c r="H60" s="71" t="str">
        <f>C12</f>
        <v>I(33)-LOYOLA</v>
      </c>
      <c r="I60" s="73">
        <v>5</v>
      </c>
      <c r="J60" s="71"/>
      <c r="K60" s="71"/>
      <c r="L60" s="71" t="str">
        <f t="shared" si="7"/>
        <v>14BQ-015</v>
      </c>
    </row>
    <row r="61" spans="1:12" ht="14.1" customHeight="1">
      <c r="A61" s="69">
        <f t="shared" si="6"/>
        <v>46226</v>
      </c>
      <c r="B61" s="70">
        <f>'CHICLETS MASTER S2'!P9</f>
        <v>0.46527777777777801</v>
      </c>
      <c r="C61" s="71" t="s">
        <v>178</v>
      </c>
      <c r="D61" s="119" t="str">
        <f t="shared" si="8"/>
        <v>PORTOLA HS 2</v>
      </c>
      <c r="E61" s="71">
        <v>18</v>
      </c>
      <c r="F61" s="216" t="str">
        <f>D11</f>
        <v>J(15)-NORTH IRVINE RED</v>
      </c>
      <c r="G61" s="73">
        <v>21</v>
      </c>
      <c r="H61" s="71" t="str">
        <f>D12</f>
        <v>J(34)-NAVY</v>
      </c>
      <c r="I61" s="73">
        <v>13</v>
      </c>
      <c r="J61" s="71"/>
      <c r="K61" s="71"/>
      <c r="L61" s="71" t="str">
        <f t="shared" si="7"/>
        <v>14BQ-018</v>
      </c>
    </row>
    <row r="62" spans="1:12" ht="14.1" customHeight="1">
      <c r="A62" s="69">
        <f t="shared" si="6"/>
        <v>46226</v>
      </c>
      <c r="B62" s="70">
        <f>'CHICLETS MASTER S2'!P10</f>
        <v>0.5</v>
      </c>
      <c r="C62" s="71" t="s">
        <v>181</v>
      </c>
      <c r="D62" s="119" t="str">
        <f t="shared" si="8"/>
        <v>PORTOLA HS 2</v>
      </c>
      <c r="E62" s="227">
        <v>21</v>
      </c>
      <c r="F62" s="216" t="str">
        <f>E11</f>
        <v>K(14)-TRILOGY</v>
      </c>
      <c r="G62" s="284">
        <v>12</v>
      </c>
      <c r="H62" s="71" t="str">
        <f>E12</f>
        <v>K(35)-ORWP RED</v>
      </c>
      <c r="I62" s="73">
        <v>5</v>
      </c>
      <c r="J62" s="71"/>
      <c r="K62" s="71"/>
      <c r="L62" s="71" t="str">
        <f t="shared" si="7"/>
        <v>14BQ-021</v>
      </c>
    </row>
    <row r="63" spans="1:12" ht="14.1" customHeight="1">
      <c r="A63" s="69">
        <f t="shared" si="6"/>
        <v>46226</v>
      </c>
      <c r="B63" s="70">
        <f>'CHICLETS MASTER S2'!P11</f>
        <v>0.53472222222222199</v>
      </c>
      <c r="C63" s="71" t="s">
        <v>179</v>
      </c>
      <c r="D63" s="119" t="str">
        <f t="shared" si="8"/>
        <v>PORTOLA HS 2</v>
      </c>
      <c r="E63" s="71">
        <v>24</v>
      </c>
      <c r="F63" s="71" t="str">
        <f>F11</f>
        <v>L(13)-LOS ALAMITOS</v>
      </c>
      <c r="G63" s="73">
        <v>19</v>
      </c>
      <c r="H63" s="71" t="str">
        <f>F12</f>
        <v>L(36)-ROSE BOWL BLACK</v>
      </c>
      <c r="I63" s="73">
        <v>4</v>
      </c>
      <c r="J63" s="71"/>
      <c r="K63" s="71"/>
      <c r="L63" s="71" t="str">
        <f t="shared" si="7"/>
        <v>14BQ-024</v>
      </c>
    </row>
    <row r="64" spans="1:12" ht="14.1" customHeight="1">
      <c r="A64" s="69">
        <f t="shared" si="6"/>
        <v>46226</v>
      </c>
      <c r="B64" s="70">
        <f>'CHICLETS MASTER S2'!P12</f>
        <v>0.56944444444444497</v>
      </c>
      <c r="C64" s="71" t="s">
        <v>177</v>
      </c>
      <c r="D64" s="119" t="str">
        <f t="shared" si="8"/>
        <v>PORTOLA HS 2</v>
      </c>
      <c r="E64" s="71">
        <v>27</v>
      </c>
      <c r="F64" s="71" t="str">
        <f>C10</f>
        <v>I(9)-SAND CANYON</v>
      </c>
      <c r="G64" s="73">
        <v>15</v>
      </c>
      <c r="H64" s="71" t="str">
        <f>C11</f>
        <v>I(16)-CCU WHITE</v>
      </c>
      <c r="I64" s="73">
        <v>10</v>
      </c>
      <c r="J64" s="71"/>
      <c r="K64" s="71"/>
      <c r="L64" s="71" t="str">
        <f t="shared" si="7"/>
        <v>14BQ-027</v>
      </c>
    </row>
    <row r="65" spans="1:12" ht="14.1" customHeight="1">
      <c r="A65" s="69">
        <f t="shared" si="6"/>
        <v>46226</v>
      </c>
      <c r="B65" s="70">
        <f>'CHICLETS MASTER S2'!P13</f>
        <v>0.60416666666666696</v>
      </c>
      <c r="C65" s="71" t="s">
        <v>178</v>
      </c>
      <c r="D65" s="119" t="str">
        <f t="shared" si="8"/>
        <v>PORTOLA HS 2</v>
      </c>
      <c r="E65" s="71">
        <v>30</v>
      </c>
      <c r="F65" s="71" t="str">
        <f>D10</f>
        <v>J(10)-908 BLUE</v>
      </c>
      <c r="G65" s="73">
        <v>12</v>
      </c>
      <c r="H65" s="71" t="str">
        <f>D11</f>
        <v>J(15)-NORTH IRVINE RED</v>
      </c>
      <c r="I65" s="73">
        <v>13</v>
      </c>
      <c r="J65" s="71"/>
      <c r="K65" s="71"/>
      <c r="L65" s="71" t="str">
        <f t="shared" si="7"/>
        <v>14BQ-030</v>
      </c>
    </row>
    <row r="66" spans="1:12" ht="14.1" customHeight="1">
      <c r="A66" s="69">
        <f t="shared" si="6"/>
        <v>46226</v>
      </c>
      <c r="B66" s="70">
        <f>'CHICLETS MASTER S2'!P14</f>
        <v>0.63888888888888895</v>
      </c>
      <c r="C66" s="71" t="s">
        <v>181</v>
      </c>
      <c r="D66" s="119" t="str">
        <f t="shared" si="8"/>
        <v>PORTOLA HS 2</v>
      </c>
      <c r="E66" s="71">
        <v>33</v>
      </c>
      <c r="F66" s="71" t="str">
        <f>E10</f>
        <v>K(11)-SANTA CRUZ</v>
      </c>
      <c r="G66" s="74">
        <v>9.4</v>
      </c>
      <c r="H66" s="71" t="str">
        <f>E11</f>
        <v>K(14)-TRILOGY</v>
      </c>
      <c r="I66" s="74">
        <v>9.5</v>
      </c>
      <c r="J66" s="71"/>
      <c r="K66" s="71"/>
      <c r="L66" s="71" t="str">
        <f t="shared" si="7"/>
        <v>14BQ-033</v>
      </c>
    </row>
    <row r="67" spans="1:12" ht="14.1" customHeight="1">
      <c r="A67" s="69">
        <f t="shared" si="6"/>
        <v>46226</v>
      </c>
      <c r="B67" s="70">
        <f>'CHICLETS MASTER S2'!P15</f>
        <v>0.67361111111111105</v>
      </c>
      <c r="C67" s="71" t="s">
        <v>179</v>
      </c>
      <c r="D67" s="119" t="str">
        <f t="shared" si="8"/>
        <v>PORTOLA HS 2</v>
      </c>
      <c r="E67" s="71">
        <v>36</v>
      </c>
      <c r="F67" s="71" t="str">
        <f>F10</f>
        <v>L(12)-STANFORD WHITE</v>
      </c>
      <c r="G67" s="73">
        <v>6</v>
      </c>
      <c r="H67" s="71" t="str">
        <f>F11</f>
        <v>L(13)-LOS ALAMITOS</v>
      </c>
      <c r="I67" s="73">
        <v>20</v>
      </c>
      <c r="J67" s="71"/>
      <c r="K67" s="71"/>
      <c r="L67" s="71" t="str">
        <f t="shared" si="7"/>
        <v>14BQ-036</v>
      </c>
    </row>
    <row r="68" spans="1:12" ht="14.1" customHeight="1">
      <c r="B68" s="60" t="s">
        <v>139</v>
      </c>
      <c r="G68" s="60"/>
      <c r="I68" s="60"/>
    </row>
    <row r="69" spans="1:12" ht="14.1" customHeight="1">
      <c r="A69" s="69">
        <f t="shared" si="6"/>
        <v>46226</v>
      </c>
      <c r="B69" s="70">
        <f>'CHICLETS MASTER S2'!P17</f>
        <v>0.74305555555555602</v>
      </c>
      <c r="C69" s="71" t="s">
        <v>140</v>
      </c>
      <c r="D69" s="119" t="str">
        <f>$D$54</f>
        <v>PORTOLA HS 2</v>
      </c>
      <c r="E69" s="71">
        <v>39</v>
      </c>
      <c r="F69" s="71" t="s">
        <v>1621</v>
      </c>
      <c r="G69" s="73">
        <v>10</v>
      </c>
      <c r="H69" s="71" t="s">
        <v>1622</v>
      </c>
      <c r="I69" s="73">
        <v>11</v>
      </c>
      <c r="J69" s="71" t="s">
        <v>1623</v>
      </c>
      <c r="K69" s="71" t="s">
        <v>1624</v>
      </c>
      <c r="L69" s="71" t="str">
        <f t="shared" si="7"/>
        <v>14BQ-039</v>
      </c>
    </row>
    <row r="70" spans="1:12" ht="14.1" customHeight="1">
      <c r="A70" s="69">
        <f t="shared" si="6"/>
        <v>46226</v>
      </c>
      <c r="B70" s="70">
        <f>'CHICLETS MASTER S2'!P18</f>
        <v>0.77777777777777801</v>
      </c>
      <c r="C70" s="71" t="s">
        <v>140</v>
      </c>
      <c r="D70" s="119" t="str">
        <f>$D$54</f>
        <v>PORTOLA HS 2</v>
      </c>
      <c r="E70" s="71">
        <v>42</v>
      </c>
      <c r="F70" s="71" t="s">
        <v>1625</v>
      </c>
      <c r="G70" s="73">
        <v>11</v>
      </c>
      <c r="H70" s="71" t="s">
        <v>1626</v>
      </c>
      <c r="I70" s="73">
        <v>10</v>
      </c>
      <c r="J70" s="71" t="s">
        <v>1627</v>
      </c>
      <c r="K70" s="71" t="s">
        <v>1628</v>
      </c>
      <c r="L70" s="71" t="str">
        <f t="shared" si="7"/>
        <v>14BQ-042</v>
      </c>
    </row>
    <row r="71" spans="1:12" ht="14.1" customHeight="1">
      <c r="A71" s="69">
        <f t="shared" si="6"/>
        <v>46226</v>
      </c>
      <c r="B71" s="70">
        <f>'CHICLETS MASTER S2'!P19</f>
        <v>0.8125</v>
      </c>
      <c r="C71" s="71" t="s">
        <v>140</v>
      </c>
      <c r="D71" s="119" t="str">
        <f>$D$54</f>
        <v>PORTOLA HS 2</v>
      </c>
      <c r="E71" s="71">
        <v>45</v>
      </c>
      <c r="F71" s="71" t="s">
        <v>1629</v>
      </c>
      <c r="G71" s="73">
        <v>12</v>
      </c>
      <c r="H71" s="71" t="s">
        <v>1630</v>
      </c>
      <c r="I71" s="73">
        <v>3</v>
      </c>
      <c r="J71" s="71" t="s">
        <v>1631</v>
      </c>
      <c r="K71" s="71" t="s">
        <v>1632</v>
      </c>
      <c r="L71" s="71" t="str">
        <f t="shared" si="7"/>
        <v>14BQ-045</v>
      </c>
    </row>
    <row r="72" spans="1:12" ht="14.1" customHeight="1">
      <c r="A72" s="69">
        <f t="shared" si="6"/>
        <v>46226</v>
      </c>
      <c r="B72" s="70">
        <f>'CHICLETS MASTER S2'!P20</f>
        <v>0.84722222222222199</v>
      </c>
      <c r="C72" s="71" t="s">
        <v>140</v>
      </c>
      <c r="D72" s="119" t="str">
        <f>$D$54</f>
        <v>PORTOLA HS 2</v>
      </c>
      <c r="E72" s="227">
        <v>48</v>
      </c>
      <c r="F72" s="71" t="s">
        <v>1633</v>
      </c>
      <c r="G72" s="73">
        <v>18</v>
      </c>
      <c r="H72" s="71" t="s">
        <v>1634</v>
      </c>
      <c r="I72" s="73">
        <v>6</v>
      </c>
      <c r="J72" s="71" t="s">
        <v>1635</v>
      </c>
      <c r="K72" s="71" t="s">
        <v>1636</v>
      </c>
      <c r="L72" s="71" t="str">
        <f t="shared" si="7"/>
        <v>14BQ-048</v>
      </c>
    </row>
    <row r="74" spans="1:12" ht="14.1" customHeight="1" thickTop="1" thickBot="1">
      <c r="A74" s="280" t="s">
        <v>196</v>
      </c>
      <c r="B74" s="147"/>
      <c r="C74" s="147"/>
      <c r="D74" s="147"/>
      <c r="E74" s="147"/>
      <c r="F74" s="147"/>
      <c r="G74" s="282"/>
      <c r="H74" s="147"/>
      <c r="I74" s="282"/>
      <c r="J74" s="147"/>
      <c r="K74" s="147"/>
      <c r="L74" s="147"/>
    </row>
    <row r="75" spans="1:12" ht="14.1" customHeight="1">
      <c r="A75" s="61">
        <v>46227</v>
      </c>
      <c r="G75" s="60"/>
      <c r="I75" s="60"/>
    </row>
    <row r="76" spans="1:12" ht="14.1" customHeight="1">
      <c r="B76" s="60" t="s">
        <v>1637</v>
      </c>
    </row>
    <row r="77" spans="1:12" ht="14.1" customHeight="1">
      <c r="B77" s="85" t="s">
        <v>1638</v>
      </c>
      <c r="C77" s="85" t="s">
        <v>1639</v>
      </c>
      <c r="D77" s="85" t="s">
        <v>1640</v>
      </c>
      <c r="E77" s="85" t="s">
        <v>1641</v>
      </c>
    </row>
    <row r="78" spans="1:12" ht="14.1" customHeight="1">
      <c r="A78" s="60">
        <v>1</v>
      </c>
      <c r="B78" s="283" t="s">
        <v>1642</v>
      </c>
      <c r="C78" s="283" t="s">
        <v>1643</v>
      </c>
      <c r="D78" s="283" t="s">
        <v>1644</v>
      </c>
      <c r="E78" s="283" t="s">
        <v>1645</v>
      </c>
    </row>
    <row r="79" spans="1:12" ht="14.1" customHeight="1">
      <c r="A79" s="60">
        <v>2</v>
      </c>
      <c r="B79" s="283" t="s">
        <v>1646</v>
      </c>
      <c r="C79" s="283" t="s">
        <v>1647</v>
      </c>
      <c r="D79" s="283" t="s">
        <v>1648</v>
      </c>
      <c r="E79" s="283" t="s">
        <v>1649</v>
      </c>
    </row>
    <row r="80" spans="1:12" ht="14.1" customHeight="1">
      <c r="A80" s="60">
        <v>3</v>
      </c>
      <c r="B80" s="283" t="s">
        <v>1650</v>
      </c>
      <c r="C80" s="283" t="s">
        <v>1651</v>
      </c>
      <c r="D80" s="285" t="s">
        <v>1652</v>
      </c>
      <c r="E80" s="283" t="s">
        <v>1653</v>
      </c>
    </row>
    <row r="82" spans="1:15" ht="14.1" customHeight="1">
      <c r="B82" s="85" t="s">
        <v>1654</v>
      </c>
      <c r="C82" s="85" t="s">
        <v>1655</v>
      </c>
      <c r="D82" s="85" t="s">
        <v>1656</v>
      </c>
      <c r="E82" s="85" t="s">
        <v>1657</v>
      </c>
    </row>
    <row r="83" spans="1:15" ht="14.1" customHeight="1">
      <c r="A83" s="60">
        <v>1</v>
      </c>
      <c r="B83" s="287" t="str">
        <f>IF(G72="","ni_R1(W48)",IF(G72&gt;I72,_xlfn.CONCAT("ni_R1(W48)-",RIGHT(F72,LEN(F72) - FIND("-",F72))), _xlfn.CONCAT("ni_R1(W48)-",RIGHT(H72,LEN(H72) - FIND("-",H72)))))</f>
        <v>ni_R1(W48)-STANFORD WHITE</v>
      </c>
      <c r="C83" s="286" t="str">
        <f>IF(G71="","ni_S1(W45)",IF(G71&gt;I71,_xlfn.CONCAT("ni_S1(W45)-",RIGHT(F71,LEN(F71) - FIND("-",F71))), _xlfn.CONCAT("ni_S1(W45)-",RIGHT(H71,LEN(H71) - FIND("-",H71)))))</f>
        <v>ni_S1(W45)-SANTA CRUZ</v>
      </c>
      <c r="D83" s="286" t="str">
        <f>IF(G70="","ni_T1(W42)",IF(G70&gt;I70,_xlfn.CONCAT("ni_T1(W42)-",RIGHT(F70,LEN(F70) - FIND("-",F70))), _xlfn.CONCAT("ni_T1(W42)-",RIGHT(H70,LEN(H70) - FIND("-",H70)))))</f>
        <v>ni_T1(W42)-908 BLUE</v>
      </c>
      <c r="E83" s="286" t="str">
        <f>IF(G69="","ni_U1(W39)",IF(G69&gt;I69,_xlfn.CONCAT("ni_U1(W39)-",RIGHT(F69,LEN(F69) - FIND("-",F69))), _xlfn.CONCAT("ni_U1(W39)-",RIGHT(H69,LEN(H69) - FIND("-",H69)))))</f>
        <v>ni_U1(W39)-NAVY</v>
      </c>
    </row>
    <row r="84" spans="1:15" ht="14.1" customHeight="1">
      <c r="A84" s="60">
        <v>2</v>
      </c>
      <c r="B84" s="287" t="str">
        <f>IF(G52="","ni_R2(W47)",IF(G52&gt;I52,_xlfn.CONCAT("ni_R2(W47)-",RIGHT(F52,LEN(F52) - FIND("-",F52))), _xlfn.CONCAT("ni_R2(W47)-",RIGHT(H52,LEN(H52) - FIND("-",H52)))))</f>
        <v>ni_R2(W47)-CAL REPUBLIC</v>
      </c>
      <c r="C84" s="288" t="str">
        <f>IF(G51="","ni_S2(W44)",IF(G51&gt;I51,_xlfn.CONCAT("ni_S2(W44)-",RIGHT(F51,LEN(F51) - FIND("-",F51))), _xlfn.CONCAT("ni_S2(W44)-",RIGHT(H51,LEN(H51) - FIND("-",H51)))))</f>
        <v>ni_S2(W44)-PALOS VERDES BLUE</v>
      </c>
      <c r="D84" s="289" t="str">
        <f>IF(G50="","ni_T2(W41)",IF(G50&gt;I50,_xlfn.CONCAT("ni_T2(W41)-",RIGHT(F50,LEN(F50) - FIND("-",F50))), _xlfn.CONCAT("ni_T2(W41)-",RIGHT(H50,LEN(H50) - FIND("-",H50)))))</f>
        <v>ni_T2(W41)-CIU COAST</v>
      </c>
      <c r="E84" s="288" t="str">
        <f>IF(G49="","ni_U2(W38)",IF(G49&gt;I49,_xlfn.CONCAT("ni_U2(W38)-",RIGHT(F49,LEN(F49) - FIND("-",F49))), _xlfn.CONCAT("ni_U2(W38)-",RIGHT(H49,LEN(H49) - FIND("-",H49)))))</f>
        <v>ni_U2(W38)-CORONADO</v>
      </c>
    </row>
    <row r="85" spans="1:15" ht="14.1" customHeight="1">
      <c r="A85" s="60">
        <v>3</v>
      </c>
      <c r="B85" s="290" t="str">
        <f>IF(G32="","ni_R3(W46)",IF(G32&gt;I32,_xlfn.CONCAT("ni_R3(W46)-",RIGHT(F32,LEN(F32) - FIND("-",F32))), _xlfn.CONCAT("ni_R3(W46)-",RIGHT(H32,LEN(H32) - FIND("-",H32)))))</f>
        <v>ni_R3(W46)-OCWPC RED</v>
      </c>
      <c r="C85" s="291" t="str">
        <f>IF(G31="","ni_S3(W43)",IF(G31&gt;I31,_xlfn.CONCAT("ni_S3(W43)-",RIGHT(F31,LEN(F31) - FIND("-",F31))), _xlfn.CONCAT("ni_S3(W43)-",RIGHT(H31,LEN(H31) - FIND("-",H31)))))</f>
        <v>ni_S3(W43)-BURLINGAME</v>
      </c>
      <c r="D85" s="291" t="str">
        <f>IF(G30="","ni_T3(W40)",IF(G30&gt;I30,_xlfn.CONCAT("ni_T3(W40)-",RIGHT(F30,LEN(F30) - FIND("-",F30))), _xlfn.CONCAT("ni_T3(W40)-",RIGHT(H30,LEN(H30) - FIND("-",H30)))))</f>
        <v>ni_T3(W40)-LA JOLLA C</v>
      </c>
      <c r="E85" s="291" t="str">
        <f>IF(G29="","ni_U3(W37)",IF(G29&gt;I29,_xlfn.CONCAT("ni_U3(W37)-",RIGHT(F29,LEN(F29) - FIND("-",F29))), _xlfn.CONCAT("ni_U3(W37)-",RIGHT(H29,LEN(H29) - FIND("-",H29)))))</f>
        <v>ni_U3(W37)-PAC</v>
      </c>
    </row>
    <row r="88" spans="1:15" ht="14.1" customHeight="1" thickBot="1">
      <c r="D88" s="65" t="str">
        <f>'CHICLETS MASTER S2'!$AR$27</f>
        <v>SADDLEBACK COLLEGE 1</v>
      </c>
      <c r="G88" s="60"/>
      <c r="I88" s="60"/>
    </row>
    <row r="89" spans="1:15" ht="14.1" customHeight="1">
      <c r="A89" s="281" t="s">
        <v>124</v>
      </c>
      <c r="B89" s="281" t="s">
        <v>125</v>
      </c>
      <c r="C89" s="281" t="s">
        <v>126</v>
      </c>
      <c r="D89" s="281" t="s">
        <v>127</v>
      </c>
      <c r="E89" s="281" t="s">
        <v>128</v>
      </c>
      <c r="F89" s="281" t="s">
        <v>129</v>
      </c>
      <c r="G89" s="281" t="s">
        <v>130</v>
      </c>
      <c r="H89" s="281" t="s">
        <v>131</v>
      </c>
      <c r="I89" s="281" t="s">
        <v>130</v>
      </c>
      <c r="J89" s="281" t="s">
        <v>132</v>
      </c>
      <c r="K89" s="281" t="s">
        <v>133</v>
      </c>
      <c r="L89" s="281" t="s">
        <v>134</v>
      </c>
    </row>
    <row r="90" spans="1:15" ht="14.1" customHeight="1">
      <c r="A90" s="69">
        <f>$A$75</f>
        <v>46227</v>
      </c>
      <c r="B90" s="70">
        <f>'CHICLETS MASTER S2'!P28</f>
        <v>0.29166666666666669</v>
      </c>
      <c r="C90" s="71" t="s">
        <v>218</v>
      </c>
      <c r="D90" s="119" t="str">
        <f>$D$88</f>
        <v>SADDLEBACK COLLEGE 1</v>
      </c>
      <c r="E90" s="71">
        <v>49</v>
      </c>
      <c r="F90" s="90" t="str">
        <f>D79</f>
        <v>ni_O2(1stF)-CDM WHITE</v>
      </c>
      <c r="G90" s="93">
        <v>3</v>
      </c>
      <c r="H90" s="90" t="str">
        <f>D80</f>
        <v>ni_O3(1stK)-TRILOGY</v>
      </c>
      <c r="I90" s="93">
        <v>11</v>
      </c>
      <c r="J90" s="90"/>
      <c r="K90" s="90"/>
      <c r="L90" s="90" t="str">
        <f t="shared" ref="L90:L105" si="9">IF(E90="","",$L$13&amp;"-"&amp;TEXT(E90,"000"))</f>
        <v>14BQ-049</v>
      </c>
      <c r="O90" s="60" t="str">
        <f>$K$130&amp;C90</f>
        <v>ni_Group</v>
      </c>
    </row>
    <row r="91" spans="1:15" ht="14.1" customHeight="1">
      <c r="A91" s="69">
        <f t="shared" ref="A91:A105" si="10">$A$75</f>
        <v>46227</v>
      </c>
      <c r="B91" s="70">
        <f>'CHICLETS MASTER S2'!P29</f>
        <v>0.3263888888888889</v>
      </c>
      <c r="C91" s="71" t="s">
        <v>218</v>
      </c>
      <c r="D91" s="119" t="str">
        <f t="shared" ref="D91:D101" si="11">$D$88</f>
        <v>SADDLEBACK COLLEGE 1</v>
      </c>
      <c r="E91" s="71">
        <v>51</v>
      </c>
      <c r="F91" s="90" t="str">
        <f>E83</f>
        <v>ni_U1(W39)-NAVY</v>
      </c>
      <c r="G91" s="93">
        <v>7</v>
      </c>
      <c r="H91" s="90" t="str">
        <f>E84</f>
        <v>ni_U2(W38)-CORONADO</v>
      </c>
      <c r="I91" s="93">
        <v>16</v>
      </c>
      <c r="J91" s="90"/>
      <c r="K91" s="90"/>
      <c r="L91" s="90" t="str">
        <f t="shared" si="9"/>
        <v>14BQ-051</v>
      </c>
      <c r="O91" s="60" t="str">
        <f t="shared" ref="O91:O101" si="12">$K$130&amp;C91</f>
        <v>ni_Group</v>
      </c>
    </row>
    <row r="92" spans="1:15" ht="14.1" customHeight="1">
      <c r="A92" s="69">
        <f t="shared" si="10"/>
        <v>46227</v>
      </c>
      <c r="B92" s="70">
        <f>'CHICLETS MASTER S2'!P30</f>
        <v>0.36111111111111099</v>
      </c>
      <c r="C92" s="71" t="s">
        <v>218</v>
      </c>
      <c r="D92" s="119" t="str">
        <f t="shared" si="11"/>
        <v>SADDLEBACK COLLEGE 1</v>
      </c>
      <c r="E92" s="71">
        <v>54</v>
      </c>
      <c r="F92" s="90" t="str">
        <f>B79</f>
        <v>ni_M2(1stH)-LA CITY UNITED</v>
      </c>
      <c r="G92" s="93">
        <v>13</v>
      </c>
      <c r="H92" s="90" t="str">
        <f>B80</f>
        <v>ni_M3(1stI)-SAND CANYON</v>
      </c>
      <c r="I92" s="93">
        <v>4</v>
      </c>
      <c r="J92" s="90"/>
      <c r="K92" s="90"/>
      <c r="L92" s="90" t="str">
        <f t="shared" si="9"/>
        <v>14BQ-054</v>
      </c>
      <c r="O92" s="60" t="str">
        <f t="shared" si="12"/>
        <v>ni_Group</v>
      </c>
    </row>
    <row r="93" spans="1:15" ht="14.1" customHeight="1">
      <c r="A93" s="69">
        <f t="shared" si="10"/>
        <v>46227</v>
      </c>
      <c r="B93" s="70">
        <f>'CHICLETS MASTER S2'!P31</f>
        <v>0.39583333333333398</v>
      </c>
      <c r="C93" s="71" t="s">
        <v>218</v>
      </c>
      <c r="D93" s="119" t="str">
        <f t="shared" si="11"/>
        <v>SADDLEBACK COLLEGE 1</v>
      </c>
      <c r="E93" s="71">
        <v>57</v>
      </c>
      <c r="F93" s="90" t="str">
        <f>C83</f>
        <v>ni_S1(W45)-SANTA CRUZ</v>
      </c>
      <c r="G93" s="93">
        <v>8</v>
      </c>
      <c r="H93" s="90" t="str">
        <f>C84</f>
        <v>ni_S2(W44)-PALOS VERDES BLUE</v>
      </c>
      <c r="I93" s="93">
        <v>4</v>
      </c>
      <c r="J93" s="90"/>
      <c r="K93" s="90"/>
      <c r="L93" s="90" t="str">
        <f t="shared" si="9"/>
        <v>14BQ-057</v>
      </c>
      <c r="O93" s="60" t="str">
        <f t="shared" si="12"/>
        <v>ni_Group</v>
      </c>
    </row>
    <row r="94" spans="1:15" ht="14.1" customHeight="1">
      <c r="A94" s="69">
        <f t="shared" si="10"/>
        <v>46227</v>
      </c>
      <c r="B94" s="70">
        <f>'CHICLETS MASTER S2'!P32</f>
        <v>0.43055555555555602</v>
      </c>
      <c r="C94" s="71" t="s">
        <v>218</v>
      </c>
      <c r="D94" s="119" t="str">
        <f t="shared" si="11"/>
        <v>SADDLEBACK COLLEGE 1</v>
      </c>
      <c r="E94" s="71">
        <v>60</v>
      </c>
      <c r="F94" s="90" t="str">
        <f>D78</f>
        <v>ni_O1(1stC)-SOCAL</v>
      </c>
      <c r="G94" s="93">
        <v>15</v>
      </c>
      <c r="H94" s="90" t="str">
        <f>D80</f>
        <v>ni_O3(1stK)-TRILOGY</v>
      </c>
      <c r="I94" s="93">
        <v>7</v>
      </c>
      <c r="J94" s="90"/>
      <c r="K94" s="90"/>
      <c r="L94" s="90" t="str">
        <f t="shared" si="9"/>
        <v>14BQ-060</v>
      </c>
      <c r="O94" s="60" t="str">
        <f t="shared" si="12"/>
        <v>ni_Group</v>
      </c>
    </row>
    <row r="95" spans="1:15" ht="14.1" customHeight="1">
      <c r="A95" s="69">
        <f t="shared" si="10"/>
        <v>46227</v>
      </c>
      <c r="B95" s="70">
        <f>'CHICLETS MASTER S2'!P33</f>
        <v>0.46527777777777801</v>
      </c>
      <c r="C95" s="71" t="s">
        <v>218</v>
      </c>
      <c r="D95" s="119" t="str">
        <f t="shared" si="11"/>
        <v>SADDLEBACK COLLEGE 1</v>
      </c>
      <c r="E95" s="71">
        <v>63</v>
      </c>
      <c r="F95" s="90" t="str">
        <f>E83</f>
        <v>ni_U1(W39)-NAVY</v>
      </c>
      <c r="G95" s="93">
        <v>4</v>
      </c>
      <c r="H95" s="90" t="str">
        <f>E85</f>
        <v>ni_U3(W37)-PAC</v>
      </c>
      <c r="I95" s="93">
        <v>11</v>
      </c>
      <c r="J95" s="90"/>
      <c r="K95" s="90"/>
      <c r="L95" s="90" t="str">
        <f t="shared" si="9"/>
        <v>14BQ-063</v>
      </c>
      <c r="O95" s="60" t="str">
        <f t="shared" si="12"/>
        <v>ni_Group</v>
      </c>
    </row>
    <row r="96" spans="1:15" ht="14.1" customHeight="1">
      <c r="A96" s="69">
        <f t="shared" si="10"/>
        <v>46227</v>
      </c>
      <c r="B96" s="70">
        <f>'CHICLETS MASTER S2'!P34</f>
        <v>0.5</v>
      </c>
      <c r="C96" s="71" t="s">
        <v>218</v>
      </c>
      <c r="D96" s="119" t="str">
        <f t="shared" si="11"/>
        <v>SADDLEBACK COLLEGE 1</v>
      </c>
      <c r="E96" s="71">
        <v>66</v>
      </c>
      <c r="F96" s="90" t="str">
        <f>B78</f>
        <v>ni_M1(1stA)-NSD STARS</v>
      </c>
      <c r="G96" s="93">
        <v>11</v>
      </c>
      <c r="H96" s="90" t="str">
        <f>B80</f>
        <v>ni_M3(1stI)-SAND CANYON</v>
      </c>
      <c r="I96" s="93">
        <v>7</v>
      </c>
      <c r="J96" s="90"/>
      <c r="K96" s="90"/>
      <c r="L96" s="90" t="str">
        <f t="shared" si="9"/>
        <v>14BQ-066</v>
      </c>
      <c r="O96" s="60" t="str">
        <f t="shared" si="12"/>
        <v>ni_Group</v>
      </c>
    </row>
    <row r="97" spans="1:15" ht="14.1" customHeight="1">
      <c r="A97" s="69">
        <f t="shared" si="10"/>
        <v>46227</v>
      </c>
      <c r="B97" s="70">
        <f>'CHICLETS MASTER S2'!P35</f>
        <v>0.53472222222222199</v>
      </c>
      <c r="C97" s="71" t="s">
        <v>218</v>
      </c>
      <c r="D97" s="119" t="str">
        <f t="shared" si="11"/>
        <v>SADDLEBACK COLLEGE 1</v>
      </c>
      <c r="E97" s="71">
        <v>69</v>
      </c>
      <c r="F97" s="90" t="str">
        <f>C83</f>
        <v>ni_S1(W45)-SANTA CRUZ</v>
      </c>
      <c r="G97" s="93">
        <v>13</v>
      </c>
      <c r="H97" s="90" t="str">
        <f>C85</f>
        <v>ni_S3(W43)-BURLINGAME</v>
      </c>
      <c r="I97" s="93">
        <v>2</v>
      </c>
      <c r="J97" s="90"/>
      <c r="K97" s="90"/>
      <c r="L97" s="90" t="str">
        <f t="shared" si="9"/>
        <v>14BQ-069</v>
      </c>
      <c r="O97" s="60" t="str">
        <f t="shared" si="12"/>
        <v>ni_Group</v>
      </c>
    </row>
    <row r="98" spans="1:15" ht="14.1" customHeight="1">
      <c r="A98" s="69">
        <f t="shared" si="10"/>
        <v>46227</v>
      </c>
      <c r="B98" s="70">
        <f>'CHICLETS MASTER S2'!P36</f>
        <v>0.56944444444444497</v>
      </c>
      <c r="C98" s="71" t="s">
        <v>218</v>
      </c>
      <c r="D98" s="119" t="str">
        <f t="shared" si="11"/>
        <v>SADDLEBACK COLLEGE 1</v>
      </c>
      <c r="E98" s="71">
        <v>72</v>
      </c>
      <c r="F98" s="90" t="str">
        <f>D78</f>
        <v>ni_O1(1stC)-SOCAL</v>
      </c>
      <c r="G98" s="93">
        <v>16</v>
      </c>
      <c r="H98" s="90" t="str">
        <f>D79</f>
        <v>ni_O2(1stF)-CDM WHITE</v>
      </c>
      <c r="I98" s="93">
        <v>2</v>
      </c>
      <c r="J98" s="90"/>
      <c r="K98" s="90"/>
      <c r="L98" s="90" t="str">
        <f t="shared" si="9"/>
        <v>14BQ-072</v>
      </c>
      <c r="O98" s="60" t="str">
        <f t="shared" si="12"/>
        <v>ni_Group</v>
      </c>
    </row>
    <row r="99" spans="1:15" ht="14.1" customHeight="1">
      <c r="A99" s="69">
        <f t="shared" si="10"/>
        <v>46227</v>
      </c>
      <c r="B99" s="70">
        <f>'CHICLETS MASTER S2'!P37</f>
        <v>0.60416666666666696</v>
      </c>
      <c r="C99" s="71" t="s">
        <v>218</v>
      </c>
      <c r="D99" s="119" t="str">
        <f t="shared" si="11"/>
        <v>SADDLEBACK COLLEGE 1</v>
      </c>
      <c r="E99" s="71">
        <v>75</v>
      </c>
      <c r="F99" s="90" t="str">
        <f>E84</f>
        <v>ni_U2(W38)-CORONADO</v>
      </c>
      <c r="G99" s="93">
        <v>7</v>
      </c>
      <c r="H99" s="90" t="str">
        <f>E85</f>
        <v>ni_U3(W37)-PAC</v>
      </c>
      <c r="I99" s="93">
        <v>5</v>
      </c>
      <c r="J99" s="90"/>
      <c r="K99" s="90"/>
      <c r="L99" s="90" t="str">
        <f t="shared" si="9"/>
        <v>14BQ-075</v>
      </c>
      <c r="O99" s="60" t="str">
        <f t="shared" si="12"/>
        <v>ni_Group</v>
      </c>
    </row>
    <row r="100" spans="1:15" ht="14.1" customHeight="1">
      <c r="A100" s="69">
        <f t="shared" si="10"/>
        <v>46227</v>
      </c>
      <c r="B100" s="70">
        <f>'CHICLETS MASTER S2'!P38</f>
        <v>0.63888888888888895</v>
      </c>
      <c r="C100" s="71" t="s">
        <v>218</v>
      </c>
      <c r="D100" s="119" t="str">
        <f t="shared" si="11"/>
        <v>SADDLEBACK COLLEGE 1</v>
      </c>
      <c r="E100" s="71">
        <v>78</v>
      </c>
      <c r="F100" s="90" t="str">
        <f>B78</f>
        <v>ni_M1(1stA)-NSD STARS</v>
      </c>
      <c r="G100" s="93">
        <v>7</v>
      </c>
      <c r="H100" s="90" t="str">
        <f>B79</f>
        <v>ni_M2(1stH)-LA CITY UNITED</v>
      </c>
      <c r="I100" s="93">
        <v>6</v>
      </c>
      <c r="J100" s="90"/>
      <c r="K100" s="90"/>
      <c r="L100" s="90" t="str">
        <f t="shared" si="9"/>
        <v>14BQ-078</v>
      </c>
      <c r="O100" s="60" t="str">
        <f t="shared" si="12"/>
        <v>ni_Group</v>
      </c>
    </row>
    <row r="101" spans="1:15" ht="14.1" customHeight="1">
      <c r="A101" s="69">
        <f t="shared" si="10"/>
        <v>46227</v>
      </c>
      <c r="B101" s="70">
        <f>'CHICLETS MASTER S2'!P39</f>
        <v>0.67361111111111105</v>
      </c>
      <c r="C101" s="71" t="s">
        <v>218</v>
      </c>
      <c r="D101" s="119" t="str">
        <f t="shared" si="11"/>
        <v>SADDLEBACK COLLEGE 1</v>
      </c>
      <c r="E101" s="71">
        <v>81</v>
      </c>
      <c r="F101" s="90" t="str">
        <f>C84</f>
        <v>ni_S2(W44)-PALOS VERDES BLUE</v>
      </c>
      <c r="G101" s="93">
        <v>12</v>
      </c>
      <c r="H101" s="90" t="str">
        <f>C85</f>
        <v>ni_S3(W43)-BURLINGAME</v>
      </c>
      <c r="I101" s="93">
        <v>4</v>
      </c>
      <c r="J101" s="90"/>
      <c r="K101" s="90"/>
      <c r="L101" s="90" t="str">
        <f t="shared" si="9"/>
        <v>14BQ-081</v>
      </c>
      <c r="O101" s="60" t="str">
        <f t="shared" si="12"/>
        <v>ni_Group</v>
      </c>
    </row>
    <row r="102" spans="1:15" ht="14.1" customHeight="1">
      <c r="B102" s="60" t="s">
        <v>139</v>
      </c>
      <c r="G102" s="60"/>
      <c r="I102" s="60"/>
    </row>
    <row r="103" spans="1:15" ht="14.1" customHeight="1">
      <c r="B103" s="60" t="s">
        <v>139</v>
      </c>
      <c r="G103" s="60"/>
      <c r="I103" s="60"/>
    </row>
    <row r="104" spans="1:15" ht="14.1" customHeight="1">
      <c r="A104" s="69">
        <f t="shared" si="10"/>
        <v>46227</v>
      </c>
      <c r="B104" s="70">
        <f>'CHICLETS MASTER S2'!P42</f>
        <v>0.77777777777777801</v>
      </c>
      <c r="C104" s="71" t="s">
        <v>219</v>
      </c>
      <c r="D104" s="119" t="str">
        <f>$D$88</f>
        <v>SADDLEBACK COLLEGE 1</v>
      </c>
      <c r="E104" s="71">
        <v>85</v>
      </c>
      <c r="F104" s="90" t="s">
        <v>1658</v>
      </c>
      <c r="G104" s="93">
        <v>8</v>
      </c>
      <c r="H104" s="292" t="s">
        <v>1659</v>
      </c>
      <c r="I104" s="93">
        <v>9</v>
      </c>
      <c r="J104" s="90">
        <v>89</v>
      </c>
      <c r="K104" s="90">
        <v>105</v>
      </c>
      <c r="L104" s="90" t="str">
        <f t="shared" si="9"/>
        <v>14BQ-085</v>
      </c>
      <c r="O104" s="60" t="str">
        <f t="shared" ref="O104:O105" si="13">$K$130&amp;C104</f>
        <v>ni_Play-in</v>
      </c>
    </row>
    <row r="105" spans="1:15" ht="14.1" customHeight="1">
      <c r="A105" s="69">
        <f t="shared" si="10"/>
        <v>46227</v>
      </c>
      <c r="B105" s="70">
        <f>'CHICLETS MASTER S2'!P43</f>
        <v>0.8125</v>
      </c>
      <c r="C105" s="71" t="s">
        <v>219</v>
      </c>
      <c r="D105" s="119" t="str">
        <f>$D$88</f>
        <v>SADDLEBACK COLLEGE 1</v>
      </c>
      <c r="E105" s="71">
        <v>87</v>
      </c>
      <c r="F105" s="292" t="s">
        <v>1660</v>
      </c>
      <c r="G105" s="93">
        <v>6</v>
      </c>
      <c r="H105" s="90" t="s">
        <v>1661</v>
      </c>
      <c r="I105" s="93">
        <v>9</v>
      </c>
      <c r="J105" s="90">
        <v>98</v>
      </c>
      <c r="K105" s="90">
        <v>102</v>
      </c>
      <c r="L105" s="90" t="str">
        <f t="shared" si="9"/>
        <v>14BQ-087</v>
      </c>
      <c r="O105" s="60" t="str">
        <f t="shared" si="13"/>
        <v>ni_Play-in</v>
      </c>
    </row>
    <row r="106" spans="1:15" ht="14.1" customHeight="1" thickBot="1">
      <c r="A106" s="98"/>
      <c r="B106" s="79"/>
    </row>
    <row r="107" spans="1:15" ht="14.1" customHeight="1" thickBot="1">
      <c r="D107" s="65" t="str">
        <f>'CHICLETS MASTER S2'!$V$27</f>
        <v>VILLA PARK HS</v>
      </c>
    </row>
    <row r="108" spans="1:15" ht="14.1" customHeight="1">
      <c r="A108" s="281" t="s">
        <v>124</v>
      </c>
      <c r="B108" s="281" t="s">
        <v>125</v>
      </c>
      <c r="C108" s="281" t="s">
        <v>126</v>
      </c>
      <c r="D108" s="281" t="s">
        <v>127</v>
      </c>
      <c r="E108" s="281" t="s">
        <v>128</v>
      </c>
      <c r="F108" s="281" t="s">
        <v>129</v>
      </c>
      <c r="G108" s="281" t="s">
        <v>130</v>
      </c>
      <c r="H108" s="281" t="s">
        <v>131</v>
      </c>
      <c r="I108" s="281" t="s">
        <v>130</v>
      </c>
      <c r="J108" s="281" t="s">
        <v>132</v>
      </c>
      <c r="K108" s="281" t="s">
        <v>133</v>
      </c>
      <c r="L108" s="281" t="s">
        <v>134</v>
      </c>
    </row>
    <row r="109" spans="1:15" ht="14.1" customHeight="1">
      <c r="A109" s="69">
        <f t="shared" ref="A109:A120" si="14">$A$75</f>
        <v>46227</v>
      </c>
      <c r="B109" s="70">
        <f>'CHICLETS MASTER S2'!P28</f>
        <v>0.29166666666666669</v>
      </c>
      <c r="C109" s="71" t="s">
        <v>218</v>
      </c>
      <c r="D109" s="119" t="str">
        <f>$D$107</f>
        <v>VILLA PARK HS</v>
      </c>
      <c r="E109" s="71">
        <v>50</v>
      </c>
      <c r="F109" s="90" t="str">
        <f>E79</f>
        <v>ni_P2(1stE)-VNITED</v>
      </c>
      <c r="G109" s="93">
        <v>6</v>
      </c>
      <c r="H109" s="90" t="str">
        <f>E80</f>
        <v>ni_P3(1stL)-LOS ALAMITOS</v>
      </c>
      <c r="I109" s="93">
        <v>13</v>
      </c>
      <c r="J109" s="90"/>
      <c r="K109" s="90"/>
      <c r="L109" s="90" t="str">
        <f t="shared" ref="L109:L124" si="15">IF(E109="","",$L$13&amp;"-"&amp;TEXT(E109,"000"))</f>
        <v>14BQ-050</v>
      </c>
      <c r="O109" s="60" t="str">
        <f t="shared" ref="O109:O120" si="16">$K$130&amp;C109</f>
        <v>ni_Group</v>
      </c>
    </row>
    <row r="110" spans="1:15" ht="14.1" customHeight="1">
      <c r="A110" s="69">
        <f t="shared" si="14"/>
        <v>46227</v>
      </c>
      <c r="B110" s="70">
        <f>'CHICLETS MASTER S2'!P29</f>
        <v>0.3263888888888889</v>
      </c>
      <c r="C110" s="71" t="s">
        <v>218</v>
      </c>
      <c r="D110" s="119" t="str">
        <f t="shared" ref="D110:D120" si="17">$D$107</f>
        <v>VILLA PARK HS</v>
      </c>
      <c r="E110" s="71">
        <v>52</v>
      </c>
      <c r="F110" s="90" t="str">
        <f>D83</f>
        <v>ni_T1(W42)-908 BLUE</v>
      </c>
      <c r="G110" s="93">
        <v>6</v>
      </c>
      <c r="H110" s="90" t="str">
        <f>D84</f>
        <v>ni_T2(W41)-CIU COAST</v>
      </c>
      <c r="I110" s="93">
        <v>7</v>
      </c>
      <c r="J110" s="90"/>
      <c r="K110" s="90"/>
      <c r="L110" s="90" t="str">
        <f t="shared" si="15"/>
        <v>14BQ-052</v>
      </c>
      <c r="O110" s="60" t="str">
        <f t="shared" si="16"/>
        <v>ni_Group</v>
      </c>
    </row>
    <row r="111" spans="1:15" ht="14.1" customHeight="1">
      <c r="A111" s="69">
        <f t="shared" si="14"/>
        <v>46227</v>
      </c>
      <c r="B111" s="70">
        <f>'CHICLETS MASTER S2'!P30</f>
        <v>0.36111111111111099</v>
      </c>
      <c r="C111" s="71" t="s">
        <v>218</v>
      </c>
      <c r="D111" s="119" t="str">
        <f t="shared" si="17"/>
        <v>VILLA PARK HS</v>
      </c>
      <c r="E111" s="71">
        <v>55</v>
      </c>
      <c r="F111" s="90" t="str">
        <f>C79</f>
        <v>ni_N2(1stG)-CHAWP</v>
      </c>
      <c r="G111" s="93">
        <v>13</v>
      </c>
      <c r="H111" s="90" t="str">
        <f>C80</f>
        <v>ni_N3(1stJ)-NORTH IRVINE RED</v>
      </c>
      <c r="I111" s="93">
        <v>6</v>
      </c>
      <c r="J111" s="90"/>
      <c r="K111" s="90"/>
      <c r="L111" s="90" t="str">
        <f t="shared" si="15"/>
        <v>14BQ-055</v>
      </c>
      <c r="O111" s="60" t="str">
        <f t="shared" si="16"/>
        <v>ni_Group</v>
      </c>
    </row>
    <row r="112" spans="1:15" ht="14.1" customHeight="1">
      <c r="A112" s="69">
        <f t="shared" si="14"/>
        <v>46227</v>
      </c>
      <c r="B112" s="70">
        <f>'CHICLETS MASTER S2'!P31</f>
        <v>0.39583333333333398</v>
      </c>
      <c r="C112" s="71" t="s">
        <v>218</v>
      </c>
      <c r="D112" s="119" t="str">
        <f t="shared" si="17"/>
        <v>VILLA PARK HS</v>
      </c>
      <c r="E112" s="71">
        <v>58</v>
      </c>
      <c r="F112" s="90" t="str">
        <f>B83</f>
        <v>ni_R1(W48)-STANFORD WHITE</v>
      </c>
      <c r="G112" s="93">
        <v>6</v>
      </c>
      <c r="H112" s="90" t="str">
        <f>B84</f>
        <v>ni_R2(W47)-CAL REPUBLIC</v>
      </c>
      <c r="I112" s="93">
        <v>11</v>
      </c>
      <c r="J112" s="90"/>
      <c r="K112" s="90"/>
      <c r="L112" s="90" t="str">
        <f t="shared" si="15"/>
        <v>14BQ-058</v>
      </c>
      <c r="O112" s="60" t="str">
        <f t="shared" si="16"/>
        <v>ni_Group</v>
      </c>
    </row>
    <row r="113" spans="1:15" ht="14.1" customHeight="1">
      <c r="A113" s="69">
        <f t="shared" si="14"/>
        <v>46227</v>
      </c>
      <c r="B113" s="70">
        <f>'CHICLETS MASTER S2'!P32</f>
        <v>0.43055555555555602</v>
      </c>
      <c r="C113" s="71" t="s">
        <v>218</v>
      </c>
      <c r="D113" s="119" t="str">
        <f t="shared" si="17"/>
        <v>VILLA PARK HS</v>
      </c>
      <c r="E113" s="71">
        <v>61</v>
      </c>
      <c r="F113" s="90" t="str">
        <f>E78</f>
        <v>ni_P1(1stD)-BACK BAY</v>
      </c>
      <c r="G113" s="93">
        <v>10</v>
      </c>
      <c r="H113" s="90" t="str">
        <f>E80</f>
        <v>ni_P3(1stL)-LOS ALAMITOS</v>
      </c>
      <c r="I113" s="93">
        <v>15</v>
      </c>
      <c r="J113" s="90"/>
      <c r="K113" s="90"/>
      <c r="L113" s="90" t="str">
        <f t="shared" si="15"/>
        <v>14BQ-061</v>
      </c>
      <c r="O113" s="60" t="str">
        <f t="shared" si="16"/>
        <v>ni_Group</v>
      </c>
    </row>
    <row r="114" spans="1:15" ht="14.1" customHeight="1">
      <c r="A114" s="69">
        <f t="shared" si="14"/>
        <v>46227</v>
      </c>
      <c r="B114" s="70">
        <f>'CHICLETS MASTER S2'!P33</f>
        <v>0.46527777777777801</v>
      </c>
      <c r="C114" s="71" t="s">
        <v>218</v>
      </c>
      <c r="D114" s="119" t="str">
        <f t="shared" si="17"/>
        <v>VILLA PARK HS</v>
      </c>
      <c r="E114" s="71">
        <v>64</v>
      </c>
      <c r="F114" s="90" t="str">
        <f>D83</f>
        <v>ni_T1(W42)-908 BLUE</v>
      </c>
      <c r="G114" s="93">
        <v>20</v>
      </c>
      <c r="H114" s="90" t="str">
        <f>D85</f>
        <v>ni_T3(W40)-LA JOLLA C</v>
      </c>
      <c r="I114" s="93">
        <v>5</v>
      </c>
      <c r="J114" s="90"/>
      <c r="K114" s="90"/>
      <c r="L114" s="90" t="str">
        <f t="shared" si="15"/>
        <v>14BQ-064</v>
      </c>
      <c r="O114" s="60" t="str">
        <f t="shared" si="16"/>
        <v>ni_Group</v>
      </c>
    </row>
    <row r="115" spans="1:15" ht="14.1" customHeight="1">
      <c r="A115" s="69">
        <f t="shared" si="14"/>
        <v>46227</v>
      </c>
      <c r="B115" s="70">
        <f>'CHICLETS MASTER S2'!P34</f>
        <v>0.5</v>
      </c>
      <c r="C115" s="71" t="s">
        <v>218</v>
      </c>
      <c r="D115" s="119" t="str">
        <f t="shared" si="17"/>
        <v>VILLA PARK HS</v>
      </c>
      <c r="E115" s="71">
        <v>67</v>
      </c>
      <c r="F115" s="90" t="str">
        <f>C78</f>
        <v>ni_N1(1stB)-SOUTH COAST WHITE</v>
      </c>
      <c r="G115" s="93">
        <v>8</v>
      </c>
      <c r="H115" s="90" t="str">
        <f>C80</f>
        <v>ni_N3(1stJ)-NORTH IRVINE RED</v>
      </c>
      <c r="I115" s="93">
        <v>6</v>
      </c>
      <c r="J115" s="90"/>
      <c r="K115" s="90"/>
      <c r="L115" s="90" t="str">
        <f t="shared" si="15"/>
        <v>14BQ-067</v>
      </c>
      <c r="O115" s="60" t="str">
        <f t="shared" si="16"/>
        <v>ni_Group</v>
      </c>
    </row>
    <row r="116" spans="1:15" ht="14.1" customHeight="1">
      <c r="A116" s="69">
        <f t="shared" si="14"/>
        <v>46227</v>
      </c>
      <c r="B116" s="70">
        <f>'CHICLETS MASTER S2'!P35</f>
        <v>0.53472222222222199</v>
      </c>
      <c r="C116" s="71" t="s">
        <v>218</v>
      </c>
      <c r="D116" s="119" t="str">
        <f t="shared" si="17"/>
        <v>VILLA PARK HS</v>
      </c>
      <c r="E116" s="71">
        <v>70</v>
      </c>
      <c r="F116" s="90" t="str">
        <f>B83</f>
        <v>ni_R1(W48)-STANFORD WHITE</v>
      </c>
      <c r="G116" s="93">
        <v>8</v>
      </c>
      <c r="H116" s="90" t="str">
        <f>B85</f>
        <v>ni_R3(W46)-OCWPC RED</v>
      </c>
      <c r="I116" s="93">
        <v>10</v>
      </c>
      <c r="J116" s="90"/>
      <c r="K116" s="90"/>
      <c r="L116" s="90" t="str">
        <f t="shared" si="15"/>
        <v>14BQ-070</v>
      </c>
      <c r="O116" s="60" t="str">
        <f t="shared" si="16"/>
        <v>ni_Group</v>
      </c>
    </row>
    <row r="117" spans="1:15" ht="14.1" customHeight="1">
      <c r="A117" s="69">
        <f t="shared" si="14"/>
        <v>46227</v>
      </c>
      <c r="B117" s="70">
        <f>'CHICLETS MASTER S2'!P36</f>
        <v>0.56944444444444497</v>
      </c>
      <c r="C117" s="71" t="s">
        <v>218</v>
      </c>
      <c r="D117" s="119" t="str">
        <f t="shared" si="17"/>
        <v>VILLA PARK HS</v>
      </c>
      <c r="E117" s="71">
        <v>73</v>
      </c>
      <c r="F117" s="90" t="str">
        <f>E78</f>
        <v>ni_P1(1stD)-BACK BAY</v>
      </c>
      <c r="G117" s="93">
        <v>17</v>
      </c>
      <c r="H117" s="90" t="str">
        <f>E79</f>
        <v>ni_P2(1stE)-VNITED</v>
      </c>
      <c r="I117" s="93">
        <v>7</v>
      </c>
      <c r="J117" s="90"/>
      <c r="K117" s="90"/>
      <c r="L117" s="90" t="str">
        <f t="shared" si="15"/>
        <v>14BQ-073</v>
      </c>
      <c r="O117" s="60" t="str">
        <f t="shared" si="16"/>
        <v>ni_Group</v>
      </c>
    </row>
    <row r="118" spans="1:15" ht="14.1" customHeight="1">
      <c r="A118" s="69">
        <f t="shared" si="14"/>
        <v>46227</v>
      </c>
      <c r="B118" s="70">
        <f>'CHICLETS MASTER S2'!P37</f>
        <v>0.60416666666666696</v>
      </c>
      <c r="C118" s="71" t="s">
        <v>218</v>
      </c>
      <c r="D118" s="119" t="str">
        <f t="shared" si="17"/>
        <v>VILLA PARK HS</v>
      </c>
      <c r="E118" s="71">
        <v>76</v>
      </c>
      <c r="F118" s="90" t="str">
        <f>D84</f>
        <v>ni_T2(W41)-CIU COAST</v>
      </c>
      <c r="G118" s="93">
        <v>13</v>
      </c>
      <c r="H118" s="90" t="str">
        <f>D85</f>
        <v>ni_T3(W40)-LA JOLLA C</v>
      </c>
      <c r="I118" s="93">
        <v>1</v>
      </c>
      <c r="J118" s="90"/>
      <c r="K118" s="90"/>
      <c r="L118" s="90" t="str">
        <f t="shared" si="15"/>
        <v>14BQ-076</v>
      </c>
      <c r="O118" s="60" t="str">
        <f t="shared" si="16"/>
        <v>ni_Group</v>
      </c>
    </row>
    <row r="119" spans="1:15" ht="14.1" customHeight="1">
      <c r="A119" s="69">
        <f t="shared" si="14"/>
        <v>46227</v>
      </c>
      <c r="B119" s="70">
        <f>'CHICLETS MASTER S2'!P38</f>
        <v>0.63888888888888895</v>
      </c>
      <c r="C119" s="71" t="s">
        <v>218</v>
      </c>
      <c r="D119" s="119" t="str">
        <f t="shared" si="17"/>
        <v>VILLA PARK HS</v>
      </c>
      <c r="E119" s="71">
        <v>79</v>
      </c>
      <c r="F119" s="90" t="str">
        <f>C78</f>
        <v>ni_N1(1stB)-SOUTH COAST WHITE</v>
      </c>
      <c r="G119" s="93">
        <v>10</v>
      </c>
      <c r="H119" s="90" t="str">
        <f>C79</f>
        <v>ni_N2(1stG)-CHAWP</v>
      </c>
      <c r="I119" s="93">
        <v>12</v>
      </c>
      <c r="J119" s="90"/>
      <c r="K119" s="90"/>
      <c r="L119" s="90" t="str">
        <f t="shared" si="15"/>
        <v>14BQ-079</v>
      </c>
      <c r="O119" s="60" t="str">
        <f t="shared" si="16"/>
        <v>ni_Group</v>
      </c>
    </row>
    <row r="120" spans="1:15" ht="14.1" customHeight="1">
      <c r="A120" s="69">
        <f t="shared" si="14"/>
        <v>46227</v>
      </c>
      <c r="B120" s="70">
        <f>'CHICLETS MASTER S2'!P39</f>
        <v>0.67361111111111105</v>
      </c>
      <c r="C120" s="71" t="s">
        <v>218</v>
      </c>
      <c r="D120" s="119" t="str">
        <f t="shared" si="17"/>
        <v>VILLA PARK HS</v>
      </c>
      <c r="E120" s="71">
        <v>82</v>
      </c>
      <c r="F120" s="90" t="str">
        <f>B84</f>
        <v>ni_R2(W47)-CAL REPUBLIC</v>
      </c>
      <c r="G120" s="93">
        <v>10</v>
      </c>
      <c r="H120" s="90" t="str">
        <f>B85</f>
        <v>ni_R3(W46)-OCWPC RED</v>
      </c>
      <c r="I120" s="93">
        <v>8</v>
      </c>
      <c r="J120" s="90"/>
      <c r="K120" s="90"/>
      <c r="L120" s="90" t="str">
        <f t="shared" si="15"/>
        <v>14BQ-082</v>
      </c>
      <c r="O120" s="60" t="str">
        <f t="shared" si="16"/>
        <v>ni_Group</v>
      </c>
    </row>
    <row r="121" spans="1:15" ht="14.1" customHeight="1">
      <c r="B121" s="60" t="s">
        <v>139</v>
      </c>
      <c r="G121" s="60"/>
      <c r="I121" s="60"/>
    </row>
    <row r="122" spans="1:15" ht="14.1" customHeight="1">
      <c r="B122" s="60" t="s">
        <v>139</v>
      </c>
      <c r="G122" s="60"/>
      <c r="I122" s="60"/>
    </row>
    <row r="123" spans="1:15" ht="14.1" customHeight="1">
      <c r="A123" s="69">
        <f t="shared" ref="A123:A124" si="18">$A$75</f>
        <v>46227</v>
      </c>
      <c r="B123" s="70">
        <f>'CHICLETS MASTER S2'!P42</f>
        <v>0.77777777777777801</v>
      </c>
      <c r="C123" s="71" t="s">
        <v>219</v>
      </c>
      <c r="D123" s="119" t="str">
        <f>$D$107</f>
        <v>VILLA PARK HS</v>
      </c>
      <c r="E123" s="71">
        <v>86</v>
      </c>
      <c r="F123" s="292" t="s">
        <v>1662</v>
      </c>
      <c r="G123" s="93">
        <v>8</v>
      </c>
      <c r="H123" s="292" t="s">
        <v>1663</v>
      </c>
      <c r="I123" s="93">
        <v>9</v>
      </c>
      <c r="J123" s="90">
        <v>95</v>
      </c>
      <c r="K123" s="90">
        <v>99</v>
      </c>
      <c r="L123" s="90" t="str">
        <f t="shared" si="15"/>
        <v>14BQ-086</v>
      </c>
      <c r="O123" s="60" t="str">
        <f t="shared" ref="O123:O124" si="19">$K$130&amp;C123</f>
        <v>ni_Play-in</v>
      </c>
    </row>
    <row r="124" spans="1:15" ht="14.1" customHeight="1">
      <c r="A124" s="69">
        <f t="shared" si="18"/>
        <v>46227</v>
      </c>
      <c r="B124" s="70">
        <f>'CHICLETS MASTER S2'!P43</f>
        <v>0.8125</v>
      </c>
      <c r="C124" s="71" t="s">
        <v>219</v>
      </c>
      <c r="D124" s="119" t="str">
        <f>$D$107</f>
        <v>VILLA PARK HS</v>
      </c>
      <c r="E124" s="71">
        <v>88</v>
      </c>
      <c r="F124" s="90" t="s">
        <v>1664</v>
      </c>
      <c r="G124" s="93">
        <v>12</v>
      </c>
      <c r="H124" s="90" t="s">
        <v>1665</v>
      </c>
      <c r="I124" s="93">
        <v>5</v>
      </c>
      <c r="J124" s="90">
        <v>92</v>
      </c>
      <c r="K124" s="90">
        <v>96</v>
      </c>
      <c r="L124" s="90" t="str">
        <f t="shared" si="15"/>
        <v>14BQ-088</v>
      </c>
      <c r="O124" s="60" t="str">
        <f t="shared" si="19"/>
        <v>ni_Play-in</v>
      </c>
    </row>
    <row r="125" spans="1:15" ht="14.1" customHeight="1">
      <c r="A125" s="98"/>
      <c r="B125" s="79"/>
    </row>
    <row r="126" spans="1:15" ht="14.1" customHeight="1">
      <c r="A126" s="98"/>
      <c r="B126" s="79" t="s">
        <v>1666</v>
      </c>
      <c r="C126" s="79"/>
    </row>
    <row r="127" spans="1:15" ht="14.1" customHeight="1">
      <c r="A127" s="98"/>
      <c r="B127" s="88" t="s">
        <v>1667</v>
      </c>
      <c r="C127" s="88" t="s">
        <v>1668</v>
      </c>
      <c r="D127" s="88" t="s">
        <v>1669</v>
      </c>
      <c r="E127" s="88" t="s">
        <v>1670</v>
      </c>
    </row>
    <row r="128" spans="1:15" ht="14.1" customHeight="1">
      <c r="A128" s="60">
        <v>1</v>
      </c>
      <c r="B128" s="283" t="str">
        <f>IF(G30="","cu_M1(L40)",IF(G30&lt;I30,_xlfn.CONCAT("cu_M1(L40)-",RIGHT(F30,LEN(F30) - FIND("-",F30))), _xlfn.CONCAT("cu_M1(L40)-",RIGHT(H30,LEN(H30) - FIND("-",H30)))))</f>
        <v>cu_M1(L40)-BREA OLINDA</v>
      </c>
      <c r="C128" s="283" t="str">
        <f>IF(G29="","cu_N1(L37)",IF(G29&lt;I29,_xlfn.CONCAT("cu_N1(L37)-",RIGHT(F29,LEN(F29) - FIND("-",F29))), _xlfn.CONCAT("cu_N1(L37)-",RIGHT(H29,LEN(H29) - FIND("-",H29)))))</f>
        <v>cu_N1(L37)-SOVA</v>
      </c>
      <c r="D128" s="283" t="str">
        <f>IF(G32="","cu_O1(L46)",IF(G32&lt;I32,_xlfn.CONCAT("cu_O1(L46)-",RIGHT(F32,LEN(F32) - FIND("-",F32))), _xlfn.CONCAT("cu_O1(L46)-",RIGHT(H32,LEN(H32) - FIND("-",H32)))))</f>
        <v>cu_O1(L46)-AMERICAN RIVER B</v>
      </c>
      <c r="E128" s="283" t="str">
        <f>IF(G31="","cu_P1(L43)",IF(G31&lt;I31,_xlfn.CONCAT("cu_P1(L43)-",RIGHT(F31,LEN(F31) - FIND("-",F31))), _xlfn.CONCAT("cu_P1(L43)-",RIGHT(H31,LEN(H31) - FIND("-",H31)))))</f>
        <v>cu_P1(L43)-MID PEN</v>
      </c>
    </row>
    <row r="129" spans="1:15" ht="14.1" customHeight="1">
      <c r="A129" s="60">
        <v>2</v>
      </c>
      <c r="B129" s="283" t="str">
        <f>IF(G50="","cu_M2(L41)",IF(G50&lt;I50,_xlfn.CONCAT("cu_M2(L41)-",RIGHT(F50,LEN(F50) - FIND("-",F50))), _xlfn.CONCAT("cu_M2(L41)-",RIGHT(H50,LEN(H50) - FIND("-",H50)))))</f>
        <v>cu_M2(L41)-VALLEY UNITED</v>
      </c>
      <c r="C129" s="283" t="str">
        <f>IF(G49="","cu_N2(L38)",IF(G49&lt;I49,_xlfn.CONCAT("cu_N2(L38)-",RIGHT(F49,LEN(F49) - FIND("-",F49))), _xlfn.CONCAT("cu_N2(L38)-",RIGHT(H49,LEN(H49) - FIND("-",H49)))))</f>
        <v>cu_N2(L38)-NORCAL TEAL</v>
      </c>
      <c r="D129" s="283" t="str">
        <f>IF(G52="","cu_O2(L47)",IF(G52&lt;I52,_xlfn.CONCAT("cu_O2(L47)-",RIGHT(F52,LEN(F52) - FIND("-",F52))), _xlfn.CONCAT("cu_O2(L47)-",RIGHT(H52,LEN(H52) - FIND("-",H52)))))</f>
        <v xml:space="preserve">cu_O2(L47)-TRI VALLEY TRITONS	</v>
      </c>
      <c r="E129" s="283" t="str">
        <f>IF(G51="","cu_P2(L44)",IF(G51&lt;I51,_xlfn.CONCAT("cu_P2(L44)-",RIGHT(F51,LEN(F51) - FIND("-",F51))), _xlfn.CONCAT("cu_P2(L44)-",RIGHT(H51,LEN(H51) - FIND("-",H51)))))</f>
        <v>cu_P2(L44)-SAN CLEMENTE BLACK</v>
      </c>
    </row>
    <row r="130" spans="1:15" ht="14.1" customHeight="1">
      <c r="A130" s="60">
        <v>3</v>
      </c>
      <c r="B130" s="283" t="str">
        <f>IF(G70="","cu_M3(L42)",IF(G70&lt;I70,_xlfn.CONCAT("cu_M3(L42)-",RIGHT(F70,LEN(F70) - FIND("-",F70))), _xlfn.CONCAT("cu_M3(L42)-",RIGHT(H70,LEN(H70) - FIND("-",H70)))))</f>
        <v>cu_M3(L42)-LOYOLA</v>
      </c>
      <c r="C130" s="283" t="str">
        <f>IF(G69="","cu_N3(L39)",IF(G69&lt;I69,_xlfn.CONCAT("cu_N3(L39)-",RIGHT(F69,LEN(F69) - FIND("-",F69))), _xlfn.CONCAT("cu_N3(L39)-",RIGHT(H69,LEN(H69) - FIND("-",H69)))))</f>
        <v>cu_N3(L39)-CCU WHITE</v>
      </c>
      <c r="D130" s="283" t="str">
        <f>IF(G72="","cu_O3(L48)",IF(G72&lt;I72,_xlfn.CONCAT("cu_O3(L48)-",RIGHT(F72,LEN(F72) - FIND("-",F72))), _xlfn.CONCAT("cu_O3(L48)-",RIGHT(H72,LEN(H72) - FIND("-",H72)))))</f>
        <v>cu_O3(L48)-ORWP RED</v>
      </c>
      <c r="E130" s="283" t="str">
        <f>IF(G71="","cu_P3(L45)",IF(G71&lt;I71,_xlfn.CONCAT("cu_P3(L45)-",RIGHT(F71,LEN(F71) - FIND("-",F71))), _xlfn.CONCAT("cu_P3(L45)-",RIGHT(H71,LEN(H71) - FIND("-",H71)))))</f>
        <v>cu_P3(L45)-ROSE BOWL BLACK</v>
      </c>
      <c r="K130" s="60" t="s">
        <v>1671</v>
      </c>
    </row>
    <row r="131" spans="1:15" ht="14.1" customHeight="1" thickBot="1">
      <c r="B131" s="79"/>
      <c r="K131" s="60" t="s">
        <v>1672</v>
      </c>
    </row>
    <row r="132" spans="1:15" ht="14.1" customHeight="1" thickBot="1">
      <c r="D132" s="65" t="str">
        <f>'CHICLETS MASTER S2'!$W$27</f>
        <v>TRABUCO HILLS HS</v>
      </c>
    </row>
    <row r="133" spans="1:15" ht="14.1" customHeight="1">
      <c r="A133" s="281" t="s">
        <v>124</v>
      </c>
      <c r="B133" s="281" t="s">
        <v>125</v>
      </c>
      <c r="C133" s="281" t="s">
        <v>126</v>
      </c>
      <c r="D133" s="281" t="s">
        <v>127</v>
      </c>
      <c r="E133" s="281" t="s">
        <v>128</v>
      </c>
      <c r="F133" s="281" t="s">
        <v>129</v>
      </c>
      <c r="G133" s="281" t="s">
        <v>130</v>
      </c>
      <c r="H133" s="281" t="s">
        <v>131</v>
      </c>
      <c r="I133" s="281" t="s">
        <v>130</v>
      </c>
      <c r="J133" s="281" t="s">
        <v>132</v>
      </c>
      <c r="K133" s="281" t="s">
        <v>133</v>
      </c>
      <c r="L133" s="281" t="s">
        <v>134</v>
      </c>
    </row>
    <row r="134" spans="1:15" ht="14.1" customHeight="1">
      <c r="A134" s="69">
        <f t="shared" ref="A134:A145" si="20">$A$75</f>
        <v>46227</v>
      </c>
      <c r="B134" s="70">
        <f>'CHICLETS MASTER S2'!P28</f>
        <v>0.29166666666666669</v>
      </c>
      <c r="C134" s="71" t="s">
        <v>218</v>
      </c>
      <c r="D134" s="119" t="str">
        <f>$D$132</f>
        <v>TRABUCO HILLS HS</v>
      </c>
      <c r="E134" s="71">
        <v>53</v>
      </c>
      <c r="F134" s="91" t="str">
        <f>B129</f>
        <v>cu_M2(L41)-VALLEY UNITED</v>
      </c>
      <c r="G134" s="91">
        <v>15</v>
      </c>
      <c r="H134" s="91" t="str">
        <f>B130</f>
        <v>cu_M3(L42)-LOYOLA</v>
      </c>
      <c r="I134" s="91">
        <v>2</v>
      </c>
      <c r="J134" s="91"/>
      <c r="K134" s="91"/>
      <c r="L134" s="91" t="str">
        <f t="shared" ref="L134:L145" si="21">IF(E134="","",$L$13&amp;"-"&amp;TEXT(E134,"000"))</f>
        <v>14BQ-053</v>
      </c>
      <c r="O134" s="60" t="str">
        <f>$K$131&amp;C134</f>
        <v>cu_Group</v>
      </c>
    </row>
    <row r="135" spans="1:15" ht="14.1" customHeight="1">
      <c r="A135" s="69">
        <f t="shared" si="20"/>
        <v>46227</v>
      </c>
      <c r="B135" s="70">
        <f>'CHICLETS MASTER S2'!P29</f>
        <v>0.3263888888888889</v>
      </c>
      <c r="C135" s="71" t="s">
        <v>218</v>
      </c>
      <c r="D135" s="119" t="str">
        <f t="shared" ref="D135:D145" si="22">$D$132</f>
        <v>TRABUCO HILLS HS</v>
      </c>
      <c r="E135" s="71">
        <v>56</v>
      </c>
      <c r="F135" s="91" t="str">
        <f>C129</f>
        <v>cu_N2(L38)-NORCAL TEAL</v>
      </c>
      <c r="G135" s="91">
        <v>12</v>
      </c>
      <c r="H135" s="91" t="str">
        <f>C130</f>
        <v>cu_N3(L39)-CCU WHITE</v>
      </c>
      <c r="I135" s="91">
        <v>6</v>
      </c>
      <c r="J135" s="91"/>
      <c r="K135" s="91"/>
      <c r="L135" s="91" t="str">
        <f t="shared" si="21"/>
        <v>14BQ-056</v>
      </c>
      <c r="O135" s="60" t="str">
        <f t="shared" ref="O135:O145" si="23">$K$131&amp;C135</f>
        <v>cu_Group</v>
      </c>
    </row>
    <row r="136" spans="1:15" ht="14.1" customHeight="1">
      <c r="A136" s="69">
        <f t="shared" si="20"/>
        <v>46227</v>
      </c>
      <c r="B136" s="70">
        <f>'CHICLETS MASTER S2'!P30</f>
        <v>0.36111111111111099</v>
      </c>
      <c r="C136" s="71" t="s">
        <v>218</v>
      </c>
      <c r="D136" s="119" t="str">
        <f t="shared" si="22"/>
        <v>TRABUCO HILLS HS</v>
      </c>
      <c r="E136" s="71">
        <v>59</v>
      </c>
      <c r="F136" s="91" t="str">
        <f>D129</f>
        <v xml:space="preserve">cu_O2(L47)-TRI VALLEY TRITONS	</v>
      </c>
      <c r="G136" s="91">
        <v>4</v>
      </c>
      <c r="H136" s="91" t="str">
        <f>D130</f>
        <v>cu_O3(L48)-ORWP RED</v>
      </c>
      <c r="I136" s="91">
        <v>14</v>
      </c>
      <c r="J136" s="91"/>
      <c r="K136" s="91"/>
      <c r="L136" s="91" t="str">
        <f t="shared" si="21"/>
        <v>14BQ-059</v>
      </c>
      <c r="O136" s="60" t="str">
        <f t="shared" si="23"/>
        <v>cu_Group</v>
      </c>
    </row>
    <row r="137" spans="1:15" ht="14.1" customHeight="1">
      <c r="A137" s="69">
        <f t="shared" si="20"/>
        <v>46227</v>
      </c>
      <c r="B137" s="70">
        <f>'CHICLETS MASTER S2'!P31</f>
        <v>0.39583333333333398</v>
      </c>
      <c r="C137" s="71" t="s">
        <v>218</v>
      </c>
      <c r="D137" s="119" t="str">
        <f t="shared" si="22"/>
        <v>TRABUCO HILLS HS</v>
      </c>
      <c r="E137" s="71">
        <v>62</v>
      </c>
      <c r="F137" s="91" t="str">
        <f>E129</f>
        <v>cu_P2(L44)-SAN CLEMENTE BLACK</v>
      </c>
      <c r="G137" s="91">
        <v>9</v>
      </c>
      <c r="H137" s="91" t="str">
        <f>E130</f>
        <v>cu_P3(L45)-ROSE BOWL BLACK</v>
      </c>
      <c r="I137" s="91">
        <v>1</v>
      </c>
      <c r="J137" s="91"/>
      <c r="K137" s="91"/>
      <c r="L137" s="91" t="str">
        <f t="shared" si="21"/>
        <v>14BQ-062</v>
      </c>
      <c r="O137" s="60" t="str">
        <f t="shared" si="23"/>
        <v>cu_Group</v>
      </c>
    </row>
    <row r="138" spans="1:15" ht="14.1" customHeight="1">
      <c r="A138" s="69">
        <f t="shared" si="20"/>
        <v>46227</v>
      </c>
      <c r="B138" s="70">
        <f>'CHICLETS MASTER S2'!P32</f>
        <v>0.43055555555555602</v>
      </c>
      <c r="C138" s="71" t="s">
        <v>218</v>
      </c>
      <c r="D138" s="119" t="str">
        <f t="shared" si="22"/>
        <v>TRABUCO HILLS HS</v>
      </c>
      <c r="E138" s="71">
        <v>65</v>
      </c>
      <c r="F138" s="91" t="str">
        <f>B128</f>
        <v>cu_M1(L40)-BREA OLINDA</v>
      </c>
      <c r="G138" s="91">
        <v>11</v>
      </c>
      <c r="H138" s="91" t="str">
        <f>B130</f>
        <v>cu_M3(L42)-LOYOLA</v>
      </c>
      <c r="I138" s="91">
        <v>2</v>
      </c>
      <c r="J138" s="91"/>
      <c r="K138" s="91"/>
      <c r="L138" s="91" t="str">
        <f t="shared" si="21"/>
        <v>14BQ-065</v>
      </c>
      <c r="O138" s="60" t="str">
        <f t="shared" si="23"/>
        <v>cu_Group</v>
      </c>
    </row>
    <row r="139" spans="1:15" ht="14.1" customHeight="1">
      <c r="A139" s="69">
        <f t="shared" si="20"/>
        <v>46227</v>
      </c>
      <c r="B139" s="70">
        <f>'CHICLETS MASTER S2'!P33</f>
        <v>0.46527777777777801</v>
      </c>
      <c r="C139" s="71" t="s">
        <v>218</v>
      </c>
      <c r="D139" s="119" t="str">
        <f t="shared" si="22"/>
        <v>TRABUCO HILLS HS</v>
      </c>
      <c r="E139" s="71">
        <v>68</v>
      </c>
      <c r="F139" s="91" t="str">
        <f>C128</f>
        <v>cu_N1(L37)-SOVA</v>
      </c>
      <c r="G139" s="91">
        <v>14</v>
      </c>
      <c r="H139" s="91" t="str">
        <f>C130</f>
        <v>cu_N3(L39)-CCU WHITE</v>
      </c>
      <c r="I139" s="91">
        <v>8</v>
      </c>
      <c r="J139" s="91"/>
      <c r="K139" s="91"/>
      <c r="L139" s="91" t="str">
        <f t="shared" si="21"/>
        <v>14BQ-068</v>
      </c>
      <c r="O139" s="60" t="str">
        <f t="shared" si="23"/>
        <v>cu_Group</v>
      </c>
    </row>
    <row r="140" spans="1:15" ht="14.1" customHeight="1">
      <c r="A140" s="69">
        <f t="shared" si="20"/>
        <v>46227</v>
      </c>
      <c r="B140" s="70">
        <f>'CHICLETS MASTER S2'!P34</f>
        <v>0.5</v>
      </c>
      <c r="C140" s="71" t="s">
        <v>218</v>
      </c>
      <c r="D140" s="119" t="str">
        <f t="shared" si="22"/>
        <v>TRABUCO HILLS HS</v>
      </c>
      <c r="E140" s="71">
        <v>71</v>
      </c>
      <c r="F140" s="91" t="str">
        <f>D128</f>
        <v>cu_O1(L46)-AMERICAN RIVER B</v>
      </c>
      <c r="G140" s="91">
        <v>4</v>
      </c>
      <c r="H140" s="91" t="str">
        <f>D130</f>
        <v>cu_O3(L48)-ORWP RED</v>
      </c>
      <c r="I140" s="91">
        <v>8</v>
      </c>
      <c r="J140" s="91"/>
      <c r="K140" s="91"/>
      <c r="L140" s="91" t="str">
        <f t="shared" si="21"/>
        <v>14BQ-071</v>
      </c>
      <c r="O140" s="60" t="str">
        <f t="shared" si="23"/>
        <v>cu_Group</v>
      </c>
    </row>
    <row r="141" spans="1:15" ht="14.1" customHeight="1">
      <c r="A141" s="69">
        <f t="shared" si="20"/>
        <v>46227</v>
      </c>
      <c r="B141" s="70">
        <f>'CHICLETS MASTER S2'!P35</f>
        <v>0.53472222222222199</v>
      </c>
      <c r="C141" s="71" t="s">
        <v>218</v>
      </c>
      <c r="D141" s="119" t="str">
        <f t="shared" si="22"/>
        <v>TRABUCO HILLS HS</v>
      </c>
      <c r="E141" s="71">
        <v>74</v>
      </c>
      <c r="F141" s="91" t="str">
        <f>E128</f>
        <v>cu_P1(L43)-MID PEN</v>
      </c>
      <c r="G141" s="91">
        <v>6</v>
      </c>
      <c r="H141" s="91" t="str">
        <f>E130</f>
        <v>cu_P3(L45)-ROSE BOWL BLACK</v>
      </c>
      <c r="I141" s="91">
        <v>3</v>
      </c>
      <c r="J141" s="91"/>
      <c r="K141" s="91"/>
      <c r="L141" s="91" t="str">
        <f t="shared" si="21"/>
        <v>14BQ-074</v>
      </c>
      <c r="O141" s="60" t="str">
        <f t="shared" si="23"/>
        <v>cu_Group</v>
      </c>
    </row>
    <row r="142" spans="1:15" ht="14.1" customHeight="1">
      <c r="A142" s="69">
        <f t="shared" si="20"/>
        <v>46227</v>
      </c>
      <c r="B142" s="70">
        <f>'CHICLETS MASTER S2'!P36</f>
        <v>0.56944444444444497</v>
      </c>
      <c r="C142" s="71" t="s">
        <v>218</v>
      </c>
      <c r="D142" s="119" t="str">
        <f t="shared" si="22"/>
        <v>TRABUCO HILLS HS</v>
      </c>
      <c r="E142" s="71">
        <v>77</v>
      </c>
      <c r="F142" s="91" t="str">
        <f>B128</f>
        <v>cu_M1(L40)-BREA OLINDA</v>
      </c>
      <c r="G142" s="91">
        <v>15</v>
      </c>
      <c r="H142" s="91" t="str">
        <f>B129</f>
        <v>cu_M2(L41)-VALLEY UNITED</v>
      </c>
      <c r="I142" s="91">
        <v>2</v>
      </c>
      <c r="J142" s="91"/>
      <c r="K142" s="91"/>
      <c r="L142" s="91" t="str">
        <f t="shared" si="21"/>
        <v>14BQ-077</v>
      </c>
      <c r="O142" s="60" t="str">
        <f t="shared" si="23"/>
        <v>cu_Group</v>
      </c>
    </row>
    <row r="143" spans="1:15" ht="14.1" customHeight="1">
      <c r="A143" s="69">
        <f t="shared" si="20"/>
        <v>46227</v>
      </c>
      <c r="B143" s="70">
        <f>'CHICLETS MASTER S2'!P37</f>
        <v>0.60416666666666696</v>
      </c>
      <c r="C143" s="71" t="s">
        <v>218</v>
      </c>
      <c r="D143" s="119" t="str">
        <f t="shared" si="22"/>
        <v>TRABUCO HILLS HS</v>
      </c>
      <c r="E143" s="71">
        <v>80</v>
      </c>
      <c r="F143" s="91" t="str">
        <f>C128</f>
        <v>cu_N1(L37)-SOVA</v>
      </c>
      <c r="G143" s="91">
        <v>9</v>
      </c>
      <c r="H143" s="91" t="str">
        <f>C129</f>
        <v>cu_N2(L38)-NORCAL TEAL</v>
      </c>
      <c r="I143" s="91">
        <v>16</v>
      </c>
      <c r="J143" s="91"/>
      <c r="K143" s="91"/>
      <c r="L143" s="91" t="str">
        <f t="shared" si="21"/>
        <v>14BQ-080</v>
      </c>
      <c r="O143" s="60" t="str">
        <f t="shared" si="23"/>
        <v>cu_Group</v>
      </c>
    </row>
    <row r="144" spans="1:15" ht="14.1" customHeight="1">
      <c r="A144" s="69">
        <f t="shared" si="20"/>
        <v>46227</v>
      </c>
      <c r="B144" s="70">
        <f>'CHICLETS MASTER S2'!P38</f>
        <v>0.63888888888888895</v>
      </c>
      <c r="C144" s="71" t="s">
        <v>218</v>
      </c>
      <c r="D144" s="119" t="str">
        <f t="shared" si="22"/>
        <v>TRABUCO HILLS HS</v>
      </c>
      <c r="E144" s="71">
        <v>83</v>
      </c>
      <c r="F144" s="91" t="str">
        <f>D128</f>
        <v>cu_O1(L46)-AMERICAN RIVER B</v>
      </c>
      <c r="G144" s="91">
        <v>8</v>
      </c>
      <c r="H144" s="91" t="str">
        <f>D129</f>
        <v xml:space="preserve">cu_O2(L47)-TRI VALLEY TRITONS	</v>
      </c>
      <c r="I144" s="91">
        <v>6</v>
      </c>
      <c r="J144" s="91"/>
      <c r="K144" s="91"/>
      <c r="L144" s="91" t="str">
        <f t="shared" si="21"/>
        <v>14BQ-083</v>
      </c>
      <c r="O144" s="60" t="str">
        <f t="shared" si="23"/>
        <v>cu_Group</v>
      </c>
    </row>
    <row r="145" spans="1:15" ht="14.1" customHeight="1">
      <c r="A145" s="69">
        <f t="shared" si="20"/>
        <v>46227</v>
      </c>
      <c r="B145" s="70">
        <f>'CHICLETS MASTER S2'!P39</f>
        <v>0.67361111111111105</v>
      </c>
      <c r="C145" s="71" t="s">
        <v>218</v>
      </c>
      <c r="D145" s="119" t="str">
        <f t="shared" si="22"/>
        <v>TRABUCO HILLS HS</v>
      </c>
      <c r="E145" s="71">
        <v>84</v>
      </c>
      <c r="F145" s="91" t="str">
        <f>E128</f>
        <v>cu_P1(L43)-MID PEN</v>
      </c>
      <c r="G145" s="91">
        <v>3</v>
      </c>
      <c r="H145" s="91" t="str">
        <f>E129</f>
        <v>cu_P2(L44)-SAN CLEMENTE BLACK</v>
      </c>
      <c r="I145" s="91">
        <v>8</v>
      </c>
      <c r="J145" s="91"/>
      <c r="K145" s="91"/>
      <c r="L145" s="91" t="str">
        <f t="shared" si="21"/>
        <v>14BQ-084</v>
      </c>
      <c r="O145" s="60" t="str">
        <f t="shared" si="23"/>
        <v>cu_Group</v>
      </c>
    </row>
    <row r="146" spans="1:15" ht="14.1" customHeight="1" thickBot="1">
      <c r="A146" s="98"/>
    </row>
    <row r="147" spans="1:15" ht="14.1" customHeight="1" thickTop="1" thickBot="1">
      <c r="A147" s="280" t="s">
        <v>236</v>
      </c>
      <c r="B147" s="147"/>
      <c r="C147" s="147"/>
      <c r="D147" s="147"/>
      <c r="E147" s="147"/>
      <c r="F147" s="147"/>
      <c r="G147" s="282"/>
      <c r="H147" s="147"/>
      <c r="I147" s="282"/>
      <c r="J147" s="147"/>
      <c r="K147" s="147"/>
      <c r="L147" s="147"/>
    </row>
    <row r="148" spans="1:15" ht="14.1" customHeight="1" thickBot="1">
      <c r="A148" s="61">
        <v>46228</v>
      </c>
    </row>
    <row r="149" spans="1:15" ht="14.1" customHeight="1" thickBot="1">
      <c r="D149" s="65" t="str">
        <f>'CHICLETS MASTER S2'!$AS$51</f>
        <v>ANAHEIM HS</v>
      </c>
    </row>
    <row r="150" spans="1:15" ht="14.1" customHeight="1">
      <c r="A150" s="281" t="s">
        <v>124</v>
      </c>
      <c r="B150" s="281" t="s">
        <v>125</v>
      </c>
      <c r="C150" s="281" t="s">
        <v>126</v>
      </c>
      <c r="D150" s="281" t="s">
        <v>127</v>
      </c>
      <c r="E150" s="281" t="s">
        <v>128</v>
      </c>
      <c r="F150" s="281" t="s">
        <v>129</v>
      </c>
      <c r="G150" s="281" t="s">
        <v>130</v>
      </c>
      <c r="H150" s="281" t="s">
        <v>131</v>
      </c>
      <c r="I150" s="281" t="s">
        <v>130</v>
      </c>
      <c r="J150" s="281" t="s">
        <v>132</v>
      </c>
      <c r="K150" s="281" t="s">
        <v>133</v>
      </c>
      <c r="L150" s="281" t="s">
        <v>134</v>
      </c>
    </row>
    <row r="151" spans="1:15" ht="14.1" customHeight="1">
      <c r="A151" s="69">
        <f>$A$148</f>
        <v>46228</v>
      </c>
      <c r="B151" s="70">
        <f>'CHICLETS MASTER S2'!P53</f>
        <v>0.33333333333333331</v>
      </c>
      <c r="C151" s="71" t="s">
        <v>237</v>
      </c>
      <c r="D151" s="119" t="str">
        <f>$D$149</f>
        <v>ANAHEIM HS</v>
      </c>
      <c r="E151" s="71">
        <v>89</v>
      </c>
      <c r="F151" s="90" t="s">
        <v>1673</v>
      </c>
      <c r="G151" s="93">
        <v>15</v>
      </c>
      <c r="H151" s="90" t="str">
        <f>IF(G104="","W85",IF(G104&gt;I104,_xlfn.CONCAT("W85-",RIGHT(F104,LEN(F104) - FIND("-",F104))), _xlfn.CONCAT("W85-",RIGHT(H104,LEN(H104) - FIND("-",H104)))))</f>
        <v>W85-CORONADO</v>
      </c>
      <c r="I151" s="93">
        <v>9</v>
      </c>
      <c r="J151" s="90">
        <v>107</v>
      </c>
      <c r="K151" s="90">
        <v>113</v>
      </c>
      <c r="L151" s="90" t="str">
        <f t="shared" ref="L151:L162" si="24">IF(E151="","",$L$13&amp;"-"&amp;TEXT(E151,"000"))</f>
        <v>14BQ-089</v>
      </c>
      <c r="O151" s="60" t="str">
        <f t="shared" ref="O151:O162" si="25">$K$130&amp;C151</f>
        <v>ni_5-8 v 9-12</v>
      </c>
    </row>
    <row r="152" spans="1:15" ht="14.1" customHeight="1">
      <c r="A152" s="69">
        <f t="shared" ref="A152:A192" si="26">$A$148</f>
        <v>46228</v>
      </c>
      <c r="B152" s="70">
        <f>'CHICLETS MASTER S2'!P54</f>
        <v>0.375</v>
      </c>
      <c r="C152" s="71" t="s">
        <v>237</v>
      </c>
      <c r="D152" s="119" t="str">
        <f t="shared" ref="D152:D162" si="27">$D$149</f>
        <v>ANAHEIM HS</v>
      </c>
      <c r="E152" s="71">
        <v>92</v>
      </c>
      <c r="F152" s="90" t="s">
        <v>1674</v>
      </c>
      <c r="G152" s="93">
        <v>6</v>
      </c>
      <c r="H152" s="90" t="str">
        <f>IF(G124="","W88",IF(G124&gt;I124,_xlfn.CONCAT("W88-",RIGHT(F124,LEN(F124) - FIND("-",F124))), _xlfn.CONCAT("W88-",RIGHT(H124,LEN(H124) - FIND("-",H124)))))</f>
        <v>W88-NORTH IRVINE RED</v>
      </c>
      <c r="I152" s="93">
        <v>11</v>
      </c>
      <c r="J152" s="90">
        <v>107</v>
      </c>
      <c r="K152" s="90">
        <v>113</v>
      </c>
      <c r="L152" s="90" t="str">
        <f t="shared" si="24"/>
        <v>14BQ-092</v>
      </c>
      <c r="O152" s="60" t="str">
        <f t="shared" si="25"/>
        <v>ni_5-8 v 9-12</v>
      </c>
    </row>
    <row r="153" spans="1:15" ht="14.1" customHeight="1">
      <c r="A153" s="69">
        <f t="shared" si="26"/>
        <v>46228</v>
      </c>
      <c r="B153" s="70">
        <f>'CHICLETS MASTER S2'!P55</f>
        <v>0.41666666666666702</v>
      </c>
      <c r="C153" s="71" t="s">
        <v>237</v>
      </c>
      <c r="D153" s="119" t="str">
        <f t="shared" si="27"/>
        <v>ANAHEIM HS</v>
      </c>
      <c r="E153" s="71">
        <v>95</v>
      </c>
      <c r="F153" s="90" t="s">
        <v>1675</v>
      </c>
      <c r="G153" s="93">
        <v>6</v>
      </c>
      <c r="H153" s="90" t="str">
        <f>IF(G123="","W86",IF(G123&gt;I123,_xlfn.CONCAT("W86-",RIGHT(F123,LEN(F123) - FIND("-",F123))), _xlfn.CONCAT("W86-",RIGHT(H123,LEN(H123) - FIND("-",H123)))))</f>
        <v>W86-CIU COAST</v>
      </c>
      <c r="I153" s="93">
        <v>3</v>
      </c>
      <c r="J153" s="90">
        <v>110</v>
      </c>
      <c r="K153" s="90">
        <v>116</v>
      </c>
      <c r="L153" s="90" t="str">
        <f t="shared" si="24"/>
        <v>14BQ-095</v>
      </c>
      <c r="O153" s="60" t="str">
        <f t="shared" si="25"/>
        <v>ni_5-8 v 9-12</v>
      </c>
    </row>
    <row r="154" spans="1:15" ht="14.1" customHeight="1">
      <c r="A154" s="69">
        <f t="shared" si="26"/>
        <v>46228</v>
      </c>
      <c r="B154" s="70">
        <f>'CHICLETS MASTER S2'!P56</f>
        <v>0.45833333333333298</v>
      </c>
      <c r="C154" s="71" t="s">
        <v>237</v>
      </c>
      <c r="D154" s="119" t="str">
        <f t="shared" si="27"/>
        <v>ANAHEIM HS</v>
      </c>
      <c r="E154" s="71">
        <v>98</v>
      </c>
      <c r="F154" s="90" t="s">
        <v>1676</v>
      </c>
      <c r="G154" s="93">
        <v>4</v>
      </c>
      <c r="H154" s="90" t="str">
        <f>IF(G105="","W87",IF(G105&gt;I105,_xlfn.CONCAT("W87-",RIGHT(F105,LEN(F105) - FIND("-",F105))), _xlfn.CONCAT("W87-",RIGHT(H105,LEN(H105) - FIND("-",H105)))))</f>
        <v>W87-SANTA CRUZ</v>
      </c>
      <c r="I154" s="93">
        <v>1</v>
      </c>
      <c r="J154" s="90">
        <v>110</v>
      </c>
      <c r="K154" s="90">
        <v>116</v>
      </c>
      <c r="L154" s="90" t="str">
        <f t="shared" si="24"/>
        <v>14BQ-098</v>
      </c>
      <c r="O154" s="60" t="str">
        <f t="shared" si="25"/>
        <v>ni_5-8 v 9-12</v>
      </c>
    </row>
    <row r="155" spans="1:15" ht="14.1" customHeight="1">
      <c r="A155" s="69">
        <f t="shared" si="26"/>
        <v>46228</v>
      </c>
      <c r="B155" s="70">
        <f>'CHICLETS MASTER S2'!P57</f>
        <v>0.5</v>
      </c>
      <c r="C155" s="71" t="s">
        <v>242</v>
      </c>
      <c r="D155" s="119" t="str">
        <f t="shared" si="27"/>
        <v>ANAHEIM HS</v>
      </c>
      <c r="E155" s="71">
        <v>101</v>
      </c>
      <c r="F155" s="90" t="s">
        <v>1677</v>
      </c>
      <c r="G155" s="93">
        <v>4</v>
      </c>
      <c r="H155" s="90" t="s">
        <v>1678</v>
      </c>
      <c r="I155" s="93">
        <v>11</v>
      </c>
      <c r="J155" s="90">
        <v>132</v>
      </c>
      <c r="K155" s="90">
        <v>119</v>
      </c>
      <c r="L155" s="90" t="str">
        <f t="shared" si="24"/>
        <v>14BQ-101</v>
      </c>
      <c r="O155" s="60" t="str">
        <f t="shared" si="25"/>
        <v>ni_1-2 v 3-4</v>
      </c>
    </row>
    <row r="156" spans="1:15" ht="14.1" customHeight="1">
      <c r="A156" s="69">
        <f t="shared" si="26"/>
        <v>46228</v>
      </c>
      <c r="B156" s="70">
        <f>'CHICLETS MASTER S2'!P58</f>
        <v>0.54166666666666696</v>
      </c>
      <c r="C156" s="71" t="s">
        <v>242</v>
      </c>
      <c r="D156" s="119" t="str">
        <f t="shared" si="27"/>
        <v>ANAHEIM HS</v>
      </c>
      <c r="E156" s="71">
        <v>104</v>
      </c>
      <c r="F156" s="90" t="s">
        <v>1679</v>
      </c>
      <c r="G156" s="93">
        <v>5</v>
      </c>
      <c r="H156" s="90" t="s">
        <v>1680</v>
      </c>
      <c r="I156" s="93">
        <v>18</v>
      </c>
      <c r="J156" s="90">
        <v>131</v>
      </c>
      <c r="K156" s="90">
        <v>122</v>
      </c>
      <c r="L156" s="90" t="str">
        <f t="shared" si="24"/>
        <v>14BQ-104</v>
      </c>
      <c r="O156" s="60" t="str">
        <f t="shared" si="25"/>
        <v>ni_1-2 v 3-4</v>
      </c>
    </row>
    <row r="157" spans="1:15" ht="14.1" customHeight="1">
      <c r="A157" s="69">
        <f t="shared" si="26"/>
        <v>46228</v>
      </c>
      <c r="B157" s="70">
        <f>'CHICLETS MASTER S2'!P59</f>
        <v>0.58333333333333304</v>
      </c>
      <c r="C157" s="71" t="s">
        <v>247</v>
      </c>
      <c r="D157" s="119" t="str">
        <f t="shared" si="27"/>
        <v>ANAHEIM HS</v>
      </c>
      <c r="E157" s="71">
        <v>107</v>
      </c>
      <c r="F157" s="90" t="str">
        <f>IF(G151="","W89",IF(G151&gt;I151,_xlfn.CONCAT("W89-",RIGHT(F151,LEN(F151) - FIND("-",F151))), _xlfn.CONCAT("W89-",RIGHT(H151,LEN(H151) - FIND("-",H151)))))</f>
        <v>W89-BACK BAY</v>
      </c>
      <c r="G157" s="93">
        <v>19</v>
      </c>
      <c r="H157" s="90" t="str">
        <f>IF(G152="","W92",IF(G152&gt;I152,_xlfn.CONCAT("W92-",RIGHT(F152,LEN(F152) - FIND("-",F152))), _xlfn.CONCAT("W92-",RIGHT(H152,LEN(H152) - FIND("-",H152)))))</f>
        <v>W92-NORTH IRVINE RED</v>
      </c>
      <c r="I157" s="93">
        <v>8</v>
      </c>
      <c r="J157" s="90">
        <v>119</v>
      </c>
      <c r="K157" s="90">
        <v>140</v>
      </c>
      <c r="L157" s="90" t="str">
        <f t="shared" si="24"/>
        <v>14BQ-107</v>
      </c>
      <c r="O157" s="60" t="str">
        <f t="shared" si="25"/>
        <v>ni_5-6 v 7-8</v>
      </c>
    </row>
    <row r="158" spans="1:15" ht="14.1" customHeight="1">
      <c r="A158" s="69">
        <f t="shared" si="26"/>
        <v>46228</v>
      </c>
      <c r="B158" s="70">
        <f>'CHICLETS MASTER S2'!P60</f>
        <v>0.625</v>
      </c>
      <c r="C158" s="71" t="s">
        <v>247</v>
      </c>
      <c r="D158" s="119" t="str">
        <f t="shared" si="27"/>
        <v>ANAHEIM HS</v>
      </c>
      <c r="E158" s="71">
        <v>110</v>
      </c>
      <c r="F158" s="90" t="str">
        <f>IF(G153="","W95",IF(G153&gt;I153,_xlfn.CONCAT("W95-",RIGHT(F153,LEN(F153) - FIND("-",F153))), _xlfn.CONCAT("W95-",RIGHT(H153,LEN(H153) - FIND("-",H153)))))</f>
        <v>W95-TRILOGY</v>
      </c>
      <c r="G158" s="93">
        <v>2</v>
      </c>
      <c r="H158" s="90" t="str">
        <f>IF(G154="","W98",IF(G154&gt;I154,_xlfn.CONCAT("W98-",RIGHT(F154,LEN(F154) - FIND("-",F154))), _xlfn.CONCAT("W98-",RIGHT(H154,LEN(H154) - FIND("-",H154)))))</f>
        <v>W98-SOUTH COAST WHITE</v>
      </c>
      <c r="I158" s="93">
        <v>4</v>
      </c>
      <c r="J158" s="90">
        <v>122</v>
      </c>
      <c r="K158" s="90">
        <v>140</v>
      </c>
      <c r="L158" s="90" t="str">
        <f t="shared" si="24"/>
        <v>14BQ-110</v>
      </c>
      <c r="O158" s="60" t="str">
        <f t="shared" si="25"/>
        <v>ni_5-6 v 7-8</v>
      </c>
    </row>
    <row r="159" spans="1:15" ht="14.1" customHeight="1">
      <c r="A159" s="69">
        <f t="shared" si="26"/>
        <v>46228</v>
      </c>
      <c r="B159" s="70">
        <f>'CHICLETS MASTER S2'!P61</f>
        <v>0.66666666666666696</v>
      </c>
      <c r="C159" s="71" t="s">
        <v>248</v>
      </c>
      <c r="D159" s="119" t="str">
        <f t="shared" si="27"/>
        <v>ANAHEIM HS</v>
      </c>
      <c r="E159" s="71">
        <v>113</v>
      </c>
      <c r="F159" s="90" t="str">
        <f>IF(G152="","L92",IF(G152&lt;I152,_xlfn.CONCAT("L92-",RIGHT(F152,LEN(F152) - FIND("-",F152))), _xlfn.CONCAT("L92-",RIGHT(H152,LEN(H152) - FIND("-",H152)))))</f>
        <v>L92-LA CITY UNITED</v>
      </c>
      <c r="G159" s="93">
        <v>11</v>
      </c>
      <c r="H159" s="90" t="str">
        <f>IF(G151="","L89",IF(G151&lt;I151,_xlfn.CONCAT("L89-",RIGHT(F151,LEN(F151) - FIND("-",F151))), _xlfn.CONCAT("L89-",RIGHT(H151,LEN(H151) - FIND("-",H151)))))</f>
        <v>L89-CORONADO</v>
      </c>
      <c r="I159" s="93">
        <v>13</v>
      </c>
      <c r="J159" s="90">
        <v>138</v>
      </c>
      <c r="K159" s="90">
        <v>137</v>
      </c>
      <c r="L159" s="90" t="str">
        <f t="shared" si="24"/>
        <v>14BQ-113</v>
      </c>
      <c r="O159" s="60" t="str">
        <f t="shared" si="25"/>
        <v>ni_9-12 semi</v>
      </c>
    </row>
    <row r="160" spans="1:15" ht="14.1" customHeight="1">
      <c r="A160" s="69">
        <f t="shared" si="26"/>
        <v>46228</v>
      </c>
      <c r="B160" s="70">
        <f>'CHICLETS MASTER S2'!P62</f>
        <v>0.70833333333333304</v>
      </c>
      <c r="C160" s="71" t="s">
        <v>248</v>
      </c>
      <c r="D160" s="119" t="str">
        <f t="shared" si="27"/>
        <v>ANAHEIM HS</v>
      </c>
      <c r="E160" s="71">
        <v>116</v>
      </c>
      <c r="F160" s="90" t="str">
        <f>IF(G154="","L98",IF(G154&lt;I154,_xlfn.CONCAT("L98-",RIGHT(F154,LEN(F154) - FIND("-",F154))), _xlfn.CONCAT("L98-",RIGHT(H154,LEN(H154) - FIND("-",H154)))))</f>
        <v>L98-SANTA CRUZ</v>
      </c>
      <c r="G160" s="93">
        <v>9</v>
      </c>
      <c r="H160" s="90" t="str">
        <f>IF(G153="","L95",IF(G153&lt;I153,_xlfn.CONCAT("L95-",RIGHT(F153,LEN(F153) - FIND("-",F153))), _xlfn.CONCAT("L95-",RIGHT(H153,LEN(H153) - FIND("-",H153)))))</f>
        <v>L95-CIU COAST</v>
      </c>
      <c r="I160" s="93">
        <v>7</v>
      </c>
      <c r="J160" s="90">
        <v>138</v>
      </c>
      <c r="K160" s="90">
        <v>137</v>
      </c>
      <c r="L160" s="90" t="str">
        <f t="shared" si="24"/>
        <v>14BQ-116</v>
      </c>
      <c r="O160" s="60" t="str">
        <f t="shared" si="25"/>
        <v>ni_9-12 semi</v>
      </c>
    </row>
    <row r="161" spans="1:15" ht="14.1" customHeight="1">
      <c r="A161" s="69">
        <f t="shared" si="26"/>
        <v>46228</v>
      </c>
      <c r="B161" s="70">
        <f>'CHICLETS MASTER S2'!P63</f>
        <v>0.75</v>
      </c>
      <c r="C161" s="71" t="s">
        <v>219</v>
      </c>
      <c r="D161" s="119" t="str">
        <f t="shared" si="27"/>
        <v>ANAHEIM HS</v>
      </c>
      <c r="E161" s="71">
        <v>119</v>
      </c>
      <c r="F161" s="90" t="str">
        <f>IF(G155="","L101",IF(G155&lt;I155,_xlfn.CONCAT("L101-",RIGHT(F155,LEN(F155) - FIND("-",F155))), _xlfn.CONCAT("L101-",RIGHT(H155,LEN(H155) - FIND("-",H155)))))</f>
        <v>L101-CHAWP</v>
      </c>
      <c r="G161" s="97">
        <v>11.4</v>
      </c>
      <c r="H161" s="90" t="str">
        <f>IF(G157="","W107",IF(G157&gt;I157,_xlfn.CONCAT("W107-",RIGHT(F157,LEN(F157) - FIND("-",F157))), _xlfn.CONCAT("W107-",RIGHT(H157,LEN(H157) - FIND("-",H157)))))</f>
        <v>W107-BACK BAY</v>
      </c>
      <c r="I161" s="97">
        <v>11.2</v>
      </c>
      <c r="J161" s="90">
        <v>131</v>
      </c>
      <c r="K161" s="90">
        <v>141</v>
      </c>
      <c r="L161" s="90" t="str">
        <f t="shared" si="24"/>
        <v>14BQ-119</v>
      </c>
      <c r="O161" s="60" t="str">
        <f t="shared" si="25"/>
        <v>ni_Play-in</v>
      </c>
    </row>
    <row r="162" spans="1:15" ht="14.1" customHeight="1">
      <c r="A162" s="69">
        <f t="shared" si="26"/>
        <v>46228</v>
      </c>
      <c r="B162" s="70">
        <f>'CHICLETS MASTER S2'!P64</f>
        <v>0.79166666666666696</v>
      </c>
      <c r="C162" s="71" t="s">
        <v>219</v>
      </c>
      <c r="D162" s="119" t="str">
        <f t="shared" si="27"/>
        <v>ANAHEIM HS</v>
      </c>
      <c r="E162" s="71">
        <v>122</v>
      </c>
      <c r="F162" s="90" t="str">
        <f>IF(G156="","L104",IF(G156&lt;I156,_xlfn.CONCAT("L104-",RIGHT(F156,LEN(F156) - FIND("-",F156))), _xlfn.CONCAT("L104-",RIGHT(H156,LEN(H156) - FIND("-",H156)))))</f>
        <v>L104-NSD STARS</v>
      </c>
      <c r="G162" s="93">
        <v>11</v>
      </c>
      <c r="H162" s="90" t="str">
        <f>IF(G158="","W110",IF(G158&gt;I158,_xlfn.CONCAT("W110-",RIGHT(F158,LEN(F158) - FIND("-",F158))), _xlfn.CONCAT("W110-",RIGHT(H158,LEN(H158) - FIND("-",H158)))))</f>
        <v>W110-SOUTH COAST WHITE</v>
      </c>
      <c r="I162" s="93">
        <v>10</v>
      </c>
      <c r="J162" s="90">
        <v>132</v>
      </c>
      <c r="K162" s="90">
        <v>141</v>
      </c>
      <c r="L162" s="90" t="str">
        <f t="shared" si="24"/>
        <v>14BQ-122</v>
      </c>
      <c r="O162" s="60" t="str">
        <f t="shared" si="25"/>
        <v>ni_Play-in</v>
      </c>
    </row>
    <row r="163" spans="1:15" ht="14.1" customHeight="1" thickBot="1">
      <c r="A163" s="98"/>
      <c r="B163" s="79"/>
    </row>
    <row r="164" spans="1:15" ht="14.1" customHeight="1" thickBot="1">
      <c r="D164" s="65" t="str">
        <f>'CHICLETS MASTER S2'!$V$51</f>
        <v>VILLA PARK HS</v>
      </c>
    </row>
    <row r="165" spans="1:15" ht="14.1" customHeight="1">
      <c r="A165" s="281" t="s">
        <v>124</v>
      </c>
      <c r="B165" s="281" t="s">
        <v>125</v>
      </c>
      <c r="C165" s="281" t="s">
        <v>126</v>
      </c>
      <c r="D165" s="281" t="s">
        <v>127</v>
      </c>
      <c r="E165" s="281" t="s">
        <v>128</v>
      </c>
      <c r="F165" s="281" t="s">
        <v>129</v>
      </c>
      <c r="G165" s="281" t="s">
        <v>130</v>
      </c>
      <c r="H165" s="281" t="s">
        <v>131</v>
      </c>
      <c r="I165" s="281" t="s">
        <v>130</v>
      </c>
      <c r="J165" s="281" t="s">
        <v>132</v>
      </c>
      <c r="K165" s="281" t="s">
        <v>133</v>
      </c>
      <c r="L165" s="281" t="s">
        <v>134</v>
      </c>
    </row>
    <row r="166" spans="1:15" ht="14.1" customHeight="1">
      <c r="A166" s="69">
        <f t="shared" ref="A166:A177" si="28">$A$148</f>
        <v>46228</v>
      </c>
      <c r="B166" s="70">
        <f>'CHICLETS MASTER S2'!P53</f>
        <v>0.33333333333333331</v>
      </c>
      <c r="C166" s="71" t="s">
        <v>249</v>
      </c>
      <c r="D166" s="119" t="str">
        <f>$D$164</f>
        <v>VILLA PARK HS</v>
      </c>
      <c r="E166" s="71">
        <v>90</v>
      </c>
      <c r="F166" s="90" t="s">
        <v>1681</v>
      </c>
      <c r="G166" s="93">
        <v>5</v>
      </c>
      <c r="H166" s="90" t="s">
        <v>1682</v>
      </c>
      <c r="I166" s="93">
        <v>10</v>
      </c>
      <c r="J166" s="90"/>
      <c r="K166" s="90"/>
      <c r="L166" s="90" t="str">
        <f t="shared" ref="L166:L177" si="29">IF(E166="","",$L$13&amp;"-"&amp;TEXT(E166,"000"))</f>
        <v>14BQ-090</v>
      </c>
      <c r="O166" s="60" t="str">
        <f t="shared" ref="O166:O177" si="30">$K$130&amp;C166</f>
        <v>ni_21-24 RR</v>
      </c>
    </row>
    <row r="167" spans="1:15" ht="14.1" customHeight="1">
      <c r="A167" s="69">
        <f t="shared" si="28"/>
        <v>46228</v>
      </c>
      <c r="B167" s="70">
        <f>'CHICLETS MASTER S2'!P54</f>
        <v>0.375</v>
      </c>
      <c r="C167" s="71" t="s">
        <v>249</v>
      </c>
      <c r="D167" s="119" t="str">
        <f t="shared" ref="D167:D177" si="31">$D$164</f>
        <v>VILLA PARK HS</v>
      </c>
      <c r="E167" s="71">
        <v>93</v>
      </c>
      <c r="F167" s="90" t="s">
        <v>1683</v>
      </c>
      <c r="G167" s="93">
        <v>7</v>
      </c>
      <c r="H167" s="90" t="s">
        <v>1684</v>
      </c>
      <c r="I167" s="93">
        <v>8</v>
      </c>
      <c r="J167" s="90"/>
      <c r="K167" s="90"/>
      <c r="L167" s="90" t="str">
        <f t="shared" si="29"/>
        <v>14BQ-093</v>
      </c>
      <c r="O167" s="60" t="str">
        <f t="shared" si="30"/>
        <v>ni_21-24 RR</v>
      </c>
    </row>
    <row r="168" spans="1:15" ht="14.1" customHeight="1">
      <c r="A168" s="69">
        <f t="shared" si="28"/>
        <v>46228</v>
      </c>
      <c r="B168" s="70">
        <f>'CHICLETS MASTER S2'!P55</f>
        <v>0.41666666666666702</v>
      </c>
      <c r="C168" s="71" t="s">
        <v>254</v>
      </c>
      <c r="D168" s="119" t="str">
        <f t="shared" si="31"/>
        <v>VILLA PARK HS</v>
      </c>
      <c r="E168" s="71">
        <v>96</v>
      </c>
      <c r="F168" s="90" t="str">
        <f>IF(G124="","L88",IF(G124&lt;I124,_xlfn.CONCAT("L88-",RIGHT(F124,LEN(F124) - FIND("-",F124))), _xlfn.CONCAT("L88-",RIGHT(H124,LEN(H124) - FIND("-",H124)))))</f>
        <v>L88-CAL REPUBLIC</v>
      </c>
      <c r="G168" s="93">
        <v>8</v>
      </c>
      <c r="H168" s="90" t="s">
        <v>1685</v>
      </c>
      <c r="I168" s="93">
        <v>9</v>
      </c>
      <c r="J168" s="90">
        <v>114</v>
      </c>
      <c r="K168" s="90">
        <v>117</v>
      </c>
      <c r="L168" s="90" t="str">
        <f t="shared" si="29"/>
        <v>14BQ-096</v>
      </c>
      <c r="O168" s="60" t="str">
        <f t="shared" si="30"/>
        <v>ni_13-20 qtr</v>
      </c>
    </row>
    <row r="169" spans="1:15" ht="14.1" customHeight="1">
      <c r="A169" s="69">
        <f t="shared" si="28"/>
        <v>46228</v>
      </c>
      <c r="B169" s="70">
        <f>'CHICLETS MASTER S2'!P56</f>
        <v>0.45833333333333298</v>
      </c>
      <c r="C169" s="71" t="s">
        <v>254</v>
      </c>
      <c r="D169" s="119" t="str">
        <f t="shared" si="31"/>
        <v>VILLA PARK HS</v>
      </c>
      <c r="E169" s="71">
        <v>99</v>
      </c>
      <c r="F169" s="90" t="str">
        <f>IF(G123="","L86",IF(G123&lt;I123,_xlfn.CONCAT("L86-",RIGHT(F123,LEN(F123) - FIND("-",F123))), _xlfn.CONCAT("L86-",RIGHT(H123,LEN(H123) - FIND("-",H123)))))</f>
        <v>L86-VNITED</v>
      </c>
      <c r="G169" s="93">
        <v>13</v>
      </c>
      <c r="H169" s="90" t="s">
        <v>1686</v>
      </c>
      <c r="I169" s="93">
        <v>8</v>
      </c>
      <c r="J169" s="90">
        <v>114</v>
      </c>
      <c r="K169" s="90">
        <v>117</v>
      </c>
      <c r="L169" s="90" t="str">
        <f t="shared" si="29"/>
        <v>14BQ-099</v>
      </c>
      <c r="O169" s="60" t="str">
        <f t="shared" si="30"/>
        <v>ni_13-20 qtr</v>
      </c>
    </row>
    <row r="170" spans="1:15" ht="14.1" customHeight="1">
      <c r="A170" s="69">
        <f t="shared" si="28"/>
        <v>46228</v>
      </c>
      <c r="B170" s="70">
        <f>'CHICLETS MASTER S2'!P57</f>
        <v>0.5</v>
      </c>
      <c r="C170" s="71" t="s">
        <v>254</v>
      </c>
      <c r="D170" s="119" t="str">
        <f t="shared" si="31"/>
        <v>VILLA PARK HS</v>
      </c>
      <c r="E170" s="71">
        <v>102</v>
      </c>
      <c r="F170" s="90" t="str">
        <f>IF(G105="","L87",IF(G105&lt;I105,_xlfn.CONCAT("L87-",RIGHT(F105,LEN(F105) - FIND("-",F105))), _xlfn.CONCAT("L87-",RIGHT(H105,LEN(H105) - FIND("-",H105)))))</f>
        <v>L87-SAND CANYON</v>
      </c>
      <c r="G170" s="93">
        <v>9</v>
      </c>
      <c r="H170" s="90" t="s">
        <v>1687</v>
      </c>
      <c r="I170" s="93">
        <v>18</v>
      </c>
      <c r="J170" s="90">
        <v>120</v>
      </c>
      <c r="K170" s="90">
        <v>123</v>
      </c>
      <c r="L170" s="90" t="str">
        <f t="shared" si="29"/>
        <v>14BQ-102</v>
      </c>
      <c r="O170" s="60" t="str">
        <f t="shared" si="30"/>
        <v>ni_13-20 qtr</v>
      </c>
    </row>
    <row r="171" spans="1:15" ht="14.1" customHeight="1">
      <c r="A171" s="69">
        <f t="shared" si="28"/>
        <v>46228</v>
      </c>
      <c r="B171" s="70">
        <f>'CHICLETS MASTER S2'!P58</f>
        <v>0.54166666666666696</v>
      </c>
      <c r="C171" s="71" t="s">
        <v>254</v>
      </c>
      <c r="D171" s="119" t="str">
        <f t="shared" si="31"/>
        <v>VILLA PARK HS</v>
      </c>
      <c r="E171" s="71">
        <v>105</v>
      </c>
      <c r="F171" s="90" t="str">
        <f>IF(G104="","L85",IF(G104&lt;I104,_xlfn.CONCAT("L85-",RIGHT(F104,LEN(F104) - FIND("-",F104))), _xlfn.CONCAT("L85-",RIGHT(H104,LEN(H104) - FIND("-",H104)))))</f>
        <v>L85-CDM WHITE</v>
      </c>
      <c r="G171" s="93">
        <v>14</v>
      </c>
      <c r="H171" s="90" t="s">
        <v>1688</v>
      </c>
      <c r="I171" s="93">
        <v>10</v>
      </c>
      <c r="J171" s="90">
        <v>120</v>
      </c>
      <c r="K171" s="90">
        <v>123</v>
      </c>
      <c r="L171" s="90" t="str">
        <f t="shared" si="29"/>
        <v>14BQ-105</v>
      </c>
      <c r="O171" s="60" t="str">
        <f t="shared" si="30"/>
        <v>ni_13-20 qtr</v>
      </c>
    </row>
    <row r="172" spans="1:15" ht="14.1" customHeight="1">
      <c r="A172" s="69">
        <f t="shared" si="28"/>
        <v>46228</v>
      </c>
      <c r="B172" s="70">
        <f>'CHICLETS MASTER S2'!P59</f>
        <v>0.58333333333333304</v>
      </c>
      <c r="C172" s="71" t="s">
        <v>249</v>
      </c>
      <c r="D172" s="119" t="str">
        <f t="shared" si="31"/>
        <v>VILLA PARK HS</v>
      </c>
      <c r="E172" s="71">
        <v>108</v>
      </c>
      <c r="F172" s="90" t="s">
        <v>1683</v>
      </c>
      <c r="G172" s="93">
        <v>11</v>
      </c>
      <c r="H172" s="90" t="s">
        <v>1682</v>
      </c>
      <c r="I172" s="93">
        <v>8</v>
      </c>
      <c r="J172" s="90"/>
      <c r="K172" s="90"/>
      <c r="L172" s="90" t="str">
        <f t="shared" si="29"/>
        <v>14BQ-108</v>
      </c>
      <c r="O172" s="60" t="str">
        <f t="shared" si="30"/>
        <v>ni_21-24 RR</v>
      </c>
    </row>
    <row r="173" spans="1:15" ht="14.1" customHeight="1">
      <c r="A173" s="69">
        <f t="shared" si="28"/>
        <v>46228</v>
      </c>
      <c r="B173" s="70">
        <f>'CHICLETS MASTER S2'!P60</f>
        <v>0.625</v>
      </c>
      <c r="C173" s="71" t="s">
        <v>249</v>
      </c>
      <c r="D173" s="119" t="str">
        <f t="shared" si="31"/>
        <v>VILLA PARK HS</v>
      </c>
      <c r="E173" s="71">
        <v>111</v>
      </c>
      <c r="F173" s="90" t="s">
        <v>1681</v>
      </c>
      <c r="G173" s="93">
        <v>4</v>
      </c>
      <c r="H173" s="90" t="s">
        <v>1684</v>
      </c>
      <c r="I173" s="93">
        <v>18</v>
      </c>
      <c r="J173" s="90"/>
      <c r="K173" s="90"/>
      <c r="L173" s="90" t="str">
        <f t="shared" si="29"/>
        <v>14BQ-111</v>
      </c>
      <c r="O173" s="60" t="str">
        <f t="shared" si="30"/>
        <v>ni_21-24 RR</v>
      </c>
    </row>
    <row r="174" spans="1:15" ht="14.1" customHeight="1">
      <c r="A174" s="69">
        <f t="shared" si="28"/>
        <v>46228</v>
      </c>
      <c r="B174" s="70">
        <f>'CHICLETS MASTER S2'!P61</f>
        <v>0.66666666666666696</v>
      </c>
      <c r="C174" s="71" t="s">
        <v>259</v>
      </c>
      <c r="D174" s="119" t="str">
        <f t="shared" si="31"/>
        <v>VILLA PARK HS</v>
      </c>
      <c r="E174" s="71">
        <v>114</v>
      </c>
      <c r="F174" s="90" t="str">
        <f>IF(G168="","W96",IF(G168&gt;I168,_xlfn.CONCAT("W96-",RIGHT(F168,LEN(F168) - FIND("-",F168))), _xlfn.CONCAT("W96-",RIGHT(H168,LEN(H168) - FIND("-",H168)))))</f>
        <v>W96-PAC</v>
      </c>
      <c r="G174" s="93">
        <v>5</v>
      </c>
      <c r="H174" s="90" t="str">
        <f>IF(G169="","W99",IF(G169&gt;I169,_xlfn.CONCAT("W99-",RIGHT(F169,LEN(F169) - FIND("-",F169))), _xlfn.CONCAT("W99-",RIGHT(H169,LEN(H169) - FIND("-",H169)))))</f>
        <v>W99-VNITED</v>
      </c>
      <c r="I174" s="93">
        <v>12</v>
      </c>
      <c r="J174" s="90">
        <v>135</v>
      </c>
      <c r="K174" s="90">
        <v>134</v>
      </c>
      <c r="L174" s="90" t="str">
        <f t="shared" si="29"/>
        <v>14BQ-114</v>
      </c>
      <c r="O174" s="60" t="str">
        <f t="shared" si="30"/>
        <v>ni_13-16 semi</v>
      </c>
    </row>
    <row r="175" spans="1:15" ht="14.1" customHeight="1">
      <c r="A175" s="69">
        <f t="shared" si="28"/>
        <v>46228</v>
      </c>
      <c r="B175" s="70">
        <f>'CHICLETS MASTER S2'!P62</f>
        <v>0.70833333333333304</v>
      </c>
      <c r="C175" s="71" t="s">
        <v>260</v>
      </c>
      <c r="D175" s="119" t="str">
        <f t="shared" si="31"/>
        <v>VILLA PARK HS</v>
      </c>
      <c r="E175" s="71">
        <v>117</v>
      </c>
      <c r="F175" s="90" t="str">
        <f>IF(G169="","L99",IF(G169&lt;I169,_xlfn.CONCAT("L99-",RIGHT(F169,LEN(F169) - FIND("-",F169))), _xlfn.CONCAT("L99-",RIGHT(H169,LEN(H169) - FIND("-",H169)))))</f>
        <v>L99-PALOS VERDES BLUE</v>
      </c>
      <c r="G175" s="93">
        <v>9</v>
      </c>
      <c r="H175" s="90" t="str">
        <f>IF(G168="","L96",IF(G168&lt;I168,_xlfn.CONCAT("L96-",RIGHT(F168,LEN(F168) - FIND("-",F168))), _xlfn.CONCAT("L96-",RIGHT(H168,LEN(H168) - FIND("-",H168)))))</f>
        <v>L96-CAL REPUBLIC</v>
      </c>
      <c r="I175" s="93">
        <v>14</v>
      </c>
      <c r="J175" s="90">
        <v>129</v>
      </c>
      <c r="K175" s="90">
        <v>128</v>
      </c>
      <c r="L175" s="90" t="str">
        <f t="shared" si="29"/>
        <v>14BQ-117</v>
      </c>
      <c r="O175" s="60" t="str">
        <f t="shared" si="30"/>
        <v>ni_17-20 semi</v>
      </c>
    </row>
    <row r="176" spans="1:15" ht="14.1" customHeight="1">
      <c r="A176" s="69">
        <f t="shared" si="28"/>
        <v>46228</v>
      </c>
      <c r="B176" s="70">
        <f>'CHICLETS MASTER S2'!P63</f>
        <v>0.75</v>
      </c>
      <c r="C176" s="71" t="s">
        <v>259</v>
      </c>
      <c r="D176" s="119" t="str">
        <f t="shared" si="31"/>
        <v>VILLA PARK HS</v>
      </c>
      <c r="E176" s="71">
        <v>120</v>
      </c>
      <c r="F176" s="90" t="str">
        <f>IF(G170="","W102",IF(G170&gt;I170,_xlfn.CONCAT("W102-",RIGHT(F170,LEN(F170) - FIND("-",F170))), _xlfn.CONCAT("W102-",RIGHT(H170,LEN(H170) - FIND("-",H170)))))</f>
        <v>W102-908 BLUE</v>
      </c>
      <c r="G176" s="93">
        <v>12</v>
      </c>
      <c r="H176" s="90" t="str">
        <f>IF(G171="","W105",IF(G171&gt;I171,_xlfn.CONCAT("W105-",RIGHT(F171,LEN(F171) - FIND("-",F171))), _xlfn.CONCAT("W105-",RIGHT(H171,LEN(H171) - FIND("-",H171)))))</f>
        <v>W105-CDM WHITE</v>
      </c>
      <c r="I176" s="93">
        <v>7</v>
      </c>
      <c r="J176" s="90">
        <v>135</v>
      </c>
      <c r="K176" s="90">
        <v>134</v>
      </c>
      <c r="L176" s="90" t="str">
        <f t="shared" si="29"/>
        <v>14BQ-120</v>
      </c>
      <c r="O176" s="60" t="str">
        <f t="shared" si="30"/>
        <v>ni_13-16 semi</v>
      </c>
    </row>
    <row r="177" spans="1:15" ht="14.1" customHeight="1">
      <c r="A177" s="69">
        <f t="shared" si="28"/>
        <v>46228</v>
      </c>
      <c r="B177" s="70">
        <f>'CHICLETS MASTER S2'!P64</f>
        <v>0.79166666666666696</v>
      </c>
      <c r="C177" s="71" t="s">
        <v>260</v>
      </c>
      <c r="D177" s="119" t="str">
        <f t="shared" si="31"/>
        <v>VILLA PARK HS</v>
      </c>
      <c r="E177" s="71">
        <v>123</v>
      </c>
      <c r="F177" s="90" t="str">
        <f>IF(G171="","L105",IF(G171&lt;I171,_xlfn.CONCAT("L105-",RIGHT(F171,LEN(F171) - FIND("-",F171))), _xlfn.CONCAT("L105-",RIGHT(H171,LEN(H171) - FIND("-",H171)))))</f>
        <v>L105-OCWPC RED</v>
      </c>
      <c r="G177" s="93">
        <v>7</v>
      </c>
      <c r="H177" s="90" t="str">
        <f>IF(G170="","L102",IF(G170&lt;I170,_xlfn.CONCAT("L102-",RIGHT(F170,LEN(F170) - FIND("-",F170))), _xlfn.CONCAT("L102-",RIGHT(H170,LEN(H170) - FIND("-",H170)))))</f>
        <v>L102-SAND CANYON</v>
      </c>
      <c r="I177" s="93">
        <v>12</v>
      </c>
      <c r="J177" s="90">
        <v>129</v>
      </c>
      <c r="K177" s="90">
        <v>128</v>
      </c>
      <c r="L177" s="90" t="str">
        <f t="shared" si="29"/>
        <v>14BQ-123</v>
      </c>
      <c r="O177" s="60" t="str">
        <f t="shared" si="30"/>
        <v>ni_17-20 semi</v>
      </c>
    </row>
    <row r="178" spans="1:15" ht="14.1" customHeight="1" thickBot="1">
      <c r="A178" s="98"/>
      <c r="B178" s="79"/>
    </row>
    <row r="179" spans="1:15" ht="14.1" customHeight="1" thickBot="1">
      <c r="D179" s="65" t="str">
        <f>'CHICLETS MASTER S2'!$W$51</f>
        <v>TRABUCO HILLS HS</v>
      </c>
    </row>
    <row r="180" spans="1:15" ht="14.1" customHeight="1">
      <c r="A180" s="281" t="s">
        <v>124</v>
      </c>
      <c r="B180" s="281" t="s">
        <v>125</v>
      </c>
      <c r="C180" s="281" t="s">
        <v>126</v>
      </c>
      <c r="D180" s="281" t="s">
        <v>127</v>
      </c>
      <c r="E180" s="281" t="s">
        <v>128</v>
      </c>
      <c r="F180" s="281" t="s">
        <v>129</v>
      </c>
      <c r="G180" s="281" t="s">
        <v>130</v>
      </c>
      <c r="H180" s="281" t="s">
        <v>131</v>
      </c>
      <c r="I180" s="281" t="s">
        <v>130</v>
      </c>
      <c r="J180" s="281" t="s">
        <v>132</v>
      </c>
      <c r="K180" s="281" t="s">
        <v>133</v>
      </c>
      <c r="L180" s="281" t="s">
        <v>134</v>
      </c>
    </row>
    <row r="181" spans="1:15" ht="14.1" customHeight="1">
      <c r="A181" s="69">
        <f t="shared" si="26"/>
        <v>46228</v>
      </c>
      <c r="B181" s="70">
        <f>'CHICLETS MASTER S2'!P53</f>
        <v>0.33333333333333331</v>
      </c>
      <c r="C181" s="71" t="s">
        <v>237</v>
      </c>
      <c r="D181" s="119" t="str">
        <f>$D$179</f>
        <v>TRABUCO HILLS HS</v>
      </c>
      <c r="E181" s="71">
        <v>91</v>
      </c>
      <c r="F181" s="91" t="s">
        <v>1689</v>
      </c>
      <c r="G181" s="91">
        <v>16</v>
      </c>
      <c r="H181" s="91" t="s">
        <v>1690</v>
      </c>
      <c r="I181" s="91">
        <v>4</v>
      </c>
      <c r="J181" s="91">
        <v>109</v>
      </c>
      <c r="K181" s="91">
        <v>115</v>
      </c>
      <c r="L181" s="91" t="str">
        <f t="shared" ref="L181:L188" si="32">IF(E181="","",$L$13&amp;"-"&amp;TEXT(E181,"000"))</f>
        <v>14BQ-091</v>
      </c>
      <c r="O181" s="60" t="str">
        <f t="shared" ref="O181:O188" si="33">$K$131&amp;C181</f>
        <v>cu_5-8 v 9-12</v>
      </c>
    </row>
    <row r="182" spans="1:15" ht="14.1" customHeight="1">
      <c r="A182" s="69">
        <f t="shared" si="26"/>
        <v>46228</v>
      </c>
      <c r="B182" s="70">
        <f>'CHICLETS MASTER S2'!P54</f>
        <v>0.375</v>
      </c>
      <c r="C182" s="71" t="s">
        <v>237</v>
      </c>
      <c r="D182" s="119" t="str">
        <f t="shared" ref="D182:D192" si="34">$D$179</f>
        <v>TRABUCO HILLS HS</v>
      </c>
      <c r="E182" s="71">
        <v>94</v>
      </c>
      <c r="F182" s="91" t="s">
        <v>1691</v>
      </c>
      <c r="G182" s="91">
        <v>6</v>
      </c>
      <c r="H182" s="91" t="s">
        <v>1692</v>
      </c>
      <c r="I182" s="91">
        <v>7</v>
      </c>
      <c r="J182" s="91">
        <v>112</v>
      </c>
      <c r="K182" s="91">
        <v>118</v>
      </c>
      <c r="L182" s="91" t="str">
        <f t="shared" si="32"/>
        <v>14BQ-094</v>
      </c>
      <c r="O182" s="60" t="str">
        <f t="shared" si="33"/>
        <v>cu_5-8 v 9-12</v>
      </c>
    </row>
    <row r="183" spans="1:15" ht="14.1" customHeight="1">
      <c r="A183" s="69">
        <f t="shared" si="26"/>
        <v>46228</v>
      </c>
      <c r="B183" s="70">
        <f>'CHICLETS MASTER S2'!P55</f>
        <v>0.41666666666666702</v>
      </c>
      <c r="C183" s="71" t="s">
        <v>237</v>
      </c>
      <c r="D183" s="119" t="str">
        <f t="shared" si="34"/>
        <v>TRABUCO HILLS HS</v>
      </c>
      <c r="E183" s="71">
        <v>97</v>
      </c>
      <c r="F183" s="91" t="s">
        <v>1693</v>
      </c>
      <c r="G183" s="91">
        <v>11</v>
      </c>
      <c r="H183" s="91" t="s">
        <v>1694</v>
      </c>
      <c r="I183" s="91">
        <v>10</v>
      </c>
      <c r="J183" s="91">
        <v>109</v>
      </c>
      <c r="K183" s="91">
        <v>115</v>
      </c>
      <c r="L183" s="91" t="str">
        <f t="shared" si="32"/>
        <v>14BQ-097</v>
      </c>
      <c r="O183" s="60" t="str">
        <f t="shared" si="33"/>
        <v>cu_5-8 v 9-12</v>
      </c>
    </row>
    <row r="184" spans="1:15" ht="14.1" customHeight="1">
      <c r="A184" s="69">
        <f t="shared" si="26"/>
        <v>46228</v>
      </c>
      <c r="B184" s="70">
        <f>'CHICLETS MASTER S2'!P56</f>
        <v>0.45833333333333298</v>
      </c>
      <c r="C184" s="71" t="s">
        <v>237</v>
      </c>
      <c r="D184" s="119" t="str">
        <f t="shared" si="34"/>
        <v>TRABUCO HILLS HS</v>
      </c>
      <c r="E184" s="71">
        <v>100</v>
      </c>
      <c r="F184" s="91" t="s">
        <v>1695</v>
      </c>
      <c r="G184" s="121">
        <v>16</v>
      </c>
      <c r="H184" s="91" t="s">
        <v>1696</v>
      </c>
      <c r="I184" s="91">
        <v>16.100000000000001</v>
      </c>
      <c r="J184" s="91">
        <v>112</v>
      </c>
      <c r="K184" s="91">
        <v>118</v>
      </c>
      <c r="L184" s="91" t="str">
        <f t="shared" si="32"/>
        <v>14BQ-100</v>
      </c>
      <c r="O184" s="60" t="str">
        <f t="shared" si="33"/>
        <v>cu_5-8 v 9-12</v>
      </c>
    </row>
    <row r="185" spans="1:15" ht="14.1" customHeight="1">
      <c r="A185" s="69">
        <f t="shared" si="26"/>
        <v>46228</v>
      </c>
      <c r="B185" s="70">
        <f>'CHICLETS MASTER S2'!P57</f>
        <v>0.5</v>
      </c>
      <c r="C185" s="71" t="s">
        <v>242</v>
      </c>
      <c r="D185" s="119" t="str">
        <f t="shared" si="34"/>
        <v>TRABUCO HILLS HS</v>
      </c>
      <c r="E185" s="71">
        <v>103</v>
      </c>
      <c r="F185" s="91" t="s">
        <v>1697</v>
      </c>
      <c r="G185" s="91">
        <v>15</v>
      </c>
      <c r="H185" s="91" t="s">
        <v>1698</v>
      </c>
      <c r="I185" s="91">
        <v>10</v>
      </c>
      <c r="J185" s="91">
        <v>130</v>
      </c>
      <c r="K185" s="91">
        <v>121</v>
      </c>
      <c r="L185" s="91" t="str">
        <f t="shared" si="32"/>
        <v>14BQ-103</v>
      </c>
      <c r="O185" s="60" t="str">
        <f t="shared" si="33"/>
        <v>cu_1-2 v 3-4</v>
      </c>
    </row>
    <row r="186" spans="1:15" ht="14.1" customHeight="1">
      <c r="A186" s="69">
        <f t="shared" si="26"/>
        <v>46228</v>
      </c>
      <c r="B186" s="70">
        <f>'CHICLETS MASTER S2'!P58</f>
        <v>0.54166666666666696</v>
      </c>
      <c r="C186" s="71" t="s">
        <v>242</v>
      </c>
      <c r="D186" s="119" t="str">
        <f t="shared" si="34"/>
        <v>TRABUCO HILLS HS</v>
      </c>
      <c r="E186" s="71">
        <v>106</v>
      </c>
      <c r="F186" s="91" t="s">
        <v>1699</v>
      </c>
      <c r="G186" s="91">
        <v>16</v>
      </c>
      <c r="H186" s="91" t="s">
        <v>1700</v>
      </c>
      <c r="I186" s="91">
        <v>9</v>
      </c>
      <c r="J186" s="91">
        <v>127</v>
      </c>
      <c r="K186" s="91">
        <v>124</v>
      </c>
      <c r="L186" s="91" t="str">
        <f t="shared" si="32"/>
        <v>14BQ-106</v>
      </c>
      <c r="O186" s="60" t="str">
        <f t="shared" si="33"/>
        <v>cu_1-2 v 3-4</v>
      </c>
    </row>
    <row r="187" spans="1:15" ht="14.1" customHeight="1">
      <c r="A187" s="69">
        <f t="shared" si="26"/>
        <v>46228</v>
      </c>
      <c r="B187" s="70">
        <f>'CHICLETS MASTER S2'!P59</f>
        <v>0.58333333333333304</v>
      </c>
      <c r="C187" s="71" t="s">
        <v>247</v>
      </c>
      <c r="D187" s="119" t="str">
        <f t="shared" si="34"/>
        <v>TRABUCO HILLS HS</v>
      </c>
      <c r="E187" s="71">
        <v>109</v>
      </c>
      <c r="F187" s="91" t="str">
        <f>IF(G181="","W91",IF(G181&gt;I181,_xlfn.CONCAT("W91-",RIGHT(F181,LEN(F181) - FIND("-",F181))), _xlfn.CONCAT("W91-",RIGHT(H181,LEN(H181) - FIND("-",H181)))))</f>
        <v>W91-MID PEN</v>
      </c>
      <c r="G187" s="91">
        <v>9</v>
      </c>
      <c r="H187" s="91" t="str">
        <f>IF(G183="","W97",IF(G183&gt;I183,_xlfn.CONCAT("W97-",RIGHT(F183,LEN(F183) - FIND("-",F183))), _xlfn.CONCAT("W97-",RIGHT(H183,LEN(H183) - FIND("-",H183)))))</f>
        <v>W97-VALLEY UNITED</v>
      </c>
      <c r="I187" s="91">
        <v>12</v>
      </c>
      <c r="J187" s="91">
        <v>121</v>
      </c>
      <c r="K187" s="91">
        <v>142</v>
      </c>
      <c r="L187" s="91" t="str">
        <f t="shared" si="32"/>
        <v>14BQ-109</v>
      </c>
      <c r="O187" s="60" t="str">
        <f t="shared" si="33"/>
        <v>cu_5-6 v 7-8</v>
      </c>
    </row>
    <row r="188" spans="1:15" ht="14.1" customHeight="1">
      <c r="A188" s="69">
        <f t="shared" si="26"/>
        <v>46228</v>
      </c>
      <c r="B188" s="70">
        <f>'CHICLETS MASTER S2'!P60</f>
        <v>0.625</v>
      </c>
      <c r="C188" s="71" t="s">
        <v>247</v>
      </c>
      <c r="D188" s="119" t="str">
        <f t="shared" si="34"/>
        <v>TRABUCO HILLS HS</v>
      </c>
      <c r="E188" s="71">
        <v>112</v>
      </c>
      <c r="F188" s="91" t="str">
        <f>IF(G182="","W94",IF(G182&gt;I182,_xlfn.CONCAT("W94-",RIGHT(F182,LEN(F182) - FIND("-",F182))), _xlfn.CONCAT("W94-",RIGHT(H182,LEN(H182) - FIND("-",H182)))))</f>
        <v>W94-ROSE BOWL BLACK</v>
      </c>
      <c r="G188" s="91">
        <v>7</v>
      </c>
      <c r="H188" s="91" t="str">
        <f>IF(G184="","W100",IF(G184&gt;I184,_xlfn.CONCAT("W100-",RIGHT(F184,LEN(F184) - FIND("-",F184))), _xlfn.CONCAT("W100-",RIGHT(H184,LEN(H184) - FIND("-",H184)))))</f>
        <v>W100-LOYOLA</v>
      </c>
      <c r="I188" s="91">
        <v>17</v>
      </c>
      <c r="J188" s="91">
        <v>124</v>
      </c>
      <c r="K188" s="91">
        <v>142</v>
      </c>
      <c r="L188" s="91" t="str">
        <f t="shared" si="32"/>
        <v>14BQ-112</v>
      </c>
      <c r="O188" s="60" t="str">
        <f t="shared" si="33"/>
        <v>cu_5-6 v 7-8</v>
      </c>
    </row>
    <row r="189" spans="1:15" ht="14.1" customHeight="1">
      <c r="A189" s="69">
        <f t="shared" si="26"/>
        <v>46228</v>
      </c>
      <c r="B189" s="70">
        <f>'CHICLETS MASTER S2'!P61</f>
        <v>0.66666666666666696</v>
      </c>
      <c r="C189" s="71" t="s">
        <v>248</v>
      </c>
      <c r="D189" s="119" t="str">
        <f t="shared" si="34"/>
        <v>TRABUCO HILLS HS</v>
      </c>
      <c r="E189" s="71">
        <v>115</v>
      </c>
      <c r="F189" s="91" t="str">
        <f>IF(G183="","L97",IF(G183&lt;I183,_xlfn.CONCAT("L97-",RIGHT(F183,LEN(F183) - FIND("-",F183))), _xlfn.CONCAT("L97-",RIGHT(H183,LEN(H183) - FIND("-",H183)))))</f>
        <v>L97-CCU WHITE</v>
      </c>
      <c r="G189" s="91">
        <v>22</v>
      </c>
      <c r="H189" s="91" t="str">
        <f>IF(G181="","L91",IF(G181&lt;I181,_xlfn.CONCAT("L91-",RIGHT(F181,LEN(F181) - FIND("-",F181))), _xlfn.CONCAT("L91-",RIGHT(H181,LEN(H181) - FIND("-",H181)))))</f>
        <v>L91-TRI VALLEY TRITONS</v>
      </c>
      <c r="I189" s="91">
        <v>4</v>
      </c>
      <c r="J189" s="91">
        <v>133</v>
      </c>
      <c r="K189" s="91">
        <v>136</v>
      </c>
      <c r="L189" s="91" t="str">
        <f>IF(E189="","",$L$13&amp;"-"&amp;TEXT(E189,"000"))</f>
        <v>14BQ-115</v>
      </c>
      <c r="O189" s="60" t="str">
        <f>$K$131&amp;C189</f>
        <v>cu_9-12 semi</v>
      </c>
    </row>
    <row r="190" spans="1:15" ht="14.1" customHeight="1">
      <c r="A190" s="69">
        <f t="shared" si="26"/>
        <v>46228</v>
      </c>
      <c r="B190" s="70">
        <f>'CHICLETS MASTER S2'!P62</f>
        <v>0.70833333333333304</v>
      </c>
      <c r="C190" s="71" t="s">
        <v>248</v>
      </c>
      <c r="D190" s="119" t="str">
        <f t="shared" si="34"/>
        <v>TRABUCO HILLS HS</v>
      </c>
      <c r="E190" s="71">
        <v>118</v>
      </c>
      <c r="F190" s="91" t="str">
        <f>IF(G184="","L100",IF(G184&lt;I184,_xlfn.CONCAT("L100-",RIGHT(F184,LEN(F184) - FIND("-",F184))), _xlfn.CONCAT("L100-",RIGHT(H184,LEN(H184) - FIND("-",H184)))))</f>
        <v>L100-SOVA</v>
      </c>
      <c r="G190" s="91">
        <v>15</v>
      </c>
      <c r="H190" s="91" t="str">
        <f>IF(G182="","L94",IF(G182&lt;I182,_xlfn.CONCAT("L94-",RIGHT(F182,LEN(F182) - FIND("-",F182))), _xlfn.CONCAT("L94-",RIGHT(H182,LEN(H182) - FIND("-",H182)))))</f>
        <v>L94-AMERICAN RIVER B</v>
      </c>
      <c r="I190" s="91">
        <v>8</v>
      </c>
      <c r="J190" s="91">
        <v>133</v>
      </c>
      <c r="K190" s="91">
        <v>136</v>
      </c>
      <c r="L190" s="91" t="str">
        <f>IF(E190="","",$L$13&amp;"-"&amp;TEXT(E190,"000"))</f>
        <v>14BQ-118</v>
      </c>
      <c r="O190" s="60" t="str">
        <f>$K$131&amp;C190</f>
        <v>cu_9-12 semi</v>
      </c>
    </row>
    <row r="191" spans="1:15" ht="14.1" customHeight="1">
      <c r="A191" s="69">
        <f t="shared" si="26"/>
        <v>46228</v>
      </c>
      <c r="B191" s="70">
        <f>'CHICLETS MASTER S2'!P63</f>
        <v>0.75</v>
      </c>
      <c r="C191" s="71" t="s">
        <v>219</v>
      </c>
      <c r="D191" s="119" t="str">
        <f t="shared" si="34"/>
        <v>TRABUCO HILLS HS</v>
      </c>
      <c r="E191" s="71">
        <v>121</v>
      </c>
      <c r="F191" s="91" t="str">
        <f>IF(G185="","L103",IF(G185&lt;I185,_xlfn.CONCAT("L103-",RIGHT(F185,LEN(F185) - FIND("-",F185))), _xlfn.CONCAT("L103-",RIGHT(H185,LEN(H185) - FIND("-",H185)))))</f>
        <v>L103-ORWP RED</v>
      </c>
      <c r="G191" s="91">
        <v>15</v>
      </c>
      <c r="H191" s="91" t="str">
        <f>IF(G187="","W109",IF(G187&gt;I187,_xlfn.CONCAT("W109-",RIGHT(F187,LEN(F187) - FIND("-",F187))), _xlfn.CONCAT("W109-",RIGHT(H187,LEN(H187) - FIND("-",H187)))))</f>
        <v>W109-VALLEY UNITED</v>
      </c>
      <c r="I191" s="91">
        <v>14</v>
      </c>
      <c r="J191" s="91">
        <v>127</v>
      </c>
      <c r="K191" s="91">
        <v>139</v>
      </c>
      <c r="L191" s="91" t="str">
        <f>IF(E191="","",$L$13&amp;"-"&amp;TEXT(E191,"000"))</f>
        <v>14BQ-121</v>
      </c>
      <c r="O191" s="60" t="str">
        <f>$K$131&amp;C191</f>
        <v>cu_Play-in</v>
      </c>
    </row>
    <row r="192" spans="1:15" ht="14.1" customHeight="1">
      <c r="A192" s="69">
        <f t="shared" si="26"/>
        <v>46228</v>
      </c>
      <c r="B192" s="70">
        <f>'CHICLETS MASTER S2'!P64</f>
        <v>0.79166666666666696</v>
      </c>
      <c r="C192" s="71" t="s">
        <v>219</v>
      </c>
      <c r="D192" s="119" t="str">
        <f t="shared" si="34"/>
        <v>TRABUCO HILLS HS</v>
      </c>
      <c r="E192" s="71">
        <v>124</v>
      </c>
      <c r="F192" s="91" t="str">
        <f>IF(G186="","L106",IF(G186&lt;I186,_xlfn.CONCAT("L106-",RIGHT(F186,LEN(F186) - FIND("-",F186))), _xlfn.CONCAT("L106-",RIGHT(H186,LEN(H186) - FIND("-",H186)))))</f>
        <v>L106-SAN CLEMENTE BLACK</v>
      </c>
      <c r="G192" s="91">
        <v>7</v>
      </c>
      <c r="H192" s="91" t="str">
        <f>IF(G188="","W112",IF(G188&gt;I188,_xlfn.CONCAT("W112-",RIGHT(F188,LEN(F188) - FIND("-",F188))), _xlfn.CONCAT("W112-",RIGHT(H188,LEN(H188) - FIND("-",H188)))))</f>
        <v>W112-LOYOLA</v>
      </c>
      <c r="I192" s="91">
        <v>11</v>
      </c>
      <c r="J192" s="91">
        <v>130</v>
      </c>
      <c r="K192" s="91">
        <v>139</v>
      </c>
      <c r="L192" s="91" t="str">
        <f>IF(E192="","",$L$13&amp;"-"&amp;TEXT(E192,"000"))</f>
        <v>14BQ-124</v>
      </c>
      <c r="O192" s="60" t="str">
        <f>$K$131&amp;C192</f>
        <v>cu_Play-in</v>
      </c>
    </row>
    <row r="194" spans="1:15" ht="14.1" customHeight="1" thickTop="1" thickBot="1">
      <c r="A194" s="280" t="s">
        <v>267</v>
      </c>
      <c r="B194" s="147"/>
      <c r="C194" s="147"/>
      <c r="D194" s="147"/>
      <c r="E194" s="147"/>
      <c r="F194" s="147"/>
      <c r="G194" s="282"/>
      <c r="H194" s="147"/>
      <c r="I194" s="282"/>
      <c r="J194" s="147"/>
      <c r="K194" s="147"/>
      <c r="L194" s="147"/>
    </row>
    <row r="195" spans="1:15" ht="14.1" customHeight="1" thickBot="1">
      <c r="A195" s="61">
        <v>46229</v>
      </c>
    </row>
    <row r="196" spans="1:15" ht="14.1" customHeight="1" thickBot="1">
      <c r="D196" s="65" t="str">
        <f>'CHICLETS MASTER S2'!$V$72</f>
        <v>VILLA PARK HS</v>
      </c>
    </row>
    <row r="197" spans="1:15" ht="14.1" customHeight="1">
      <c r="A197" s="281" t="s">
        <v>124</v>
      </c>
      <c r="B197" s="281" t="s">
        <v>125</v>
      </c>
      <c r="C197" s="281" t="s">
        <v>126</v>
      </c>
      <c r="D197" s="281" t="s">
        <v>127</v>
      </c>
      <c r="E197" s="281" t="s">
        <v>128</v>
      </c>
      <c r="F197" s="281" t="s">
        <v>129</v>
      </c>
      <c r="G197" s="281" t="s">
        <v>130</v>
      </c>
      <c r="H197" s="281" t="s">
        <v>131</v>
      </c>
      <c r="I197" s="281" t="s">
        <v>130</v>
      </c>
      <c r="J197" s="281" t="s">
        <v>132</v>
      </c>
      <c r="K197" s="281" t="s">
        <v>133</v>
      </c>
      <c r="L197" s="281" t="s">
        <v>134</v>
      </c>
    </row>
    <row r="198" spans="1:15" ht="14.1" customHeight="1">
      <c r="A198" s="69">
        <f t="shared" ref="A198:A228" si="35">$A$195</f>
        <v>46229</v>
      </c>
      <c r="B198" s="293">
        <f>'CHICLETS MASTER S2'!P73</f>
        <v>0.29166666666666669</v>
      </c>
      <c r="C198" s="71" t="s">
        <v>268</v>
      </c>
      <c r="D198" s="119" t="str">
        <f t="shared" ref="D198:D203" si="36">$D$196</f>
        <v>VILLA PARK HS</v>
      </c>
      <c r="E198" s="71">
        <v>131</v>
      </c>
      <c r="F198" s="90" t="str">
        <f>IF(G156="","W104",IF(G156&gt;I156,_xlfn.CONCAT("W104-",RIGHT(F156,LEN(F156) - FIND("-",F156))), _xlfn.CONCAT("W104-",RIGHT(H156,LEN(H156) - FIND("-",H156)))))</f>
        <v>W104-LOS ALAMITOS</v>
      </c>
      <c r="G198" s="93">
        <v>8</v>
      </c>
      <c r="H198" s="90" t="str">
        <f>IF(G161="","W119",IF(G161&gt;I161,_xlfn.CONCAT("W119-",RIGHT(F161,LEN(F161) - FIND("-",F161))), _xlfn.CONCAT("W119-",RIGHT(H161,LEN(H161) - FIND("-",H161)))))</f>
        <v>W119-CHAWP</v>
      </c>
      <c r="I198" s="93">
        <v>10</v>
      </c>
      <c r="J198" s="90">
        <v>146</v>
      </c>
      <c r="K198" s="90">
        <v>145</v>
      </c>
      <c r="L198" s="90" t="str">
        <f t="shared" ref="L198:L203" si="37">IF(E198="","",$L$13&amp;"-"&amp;TEXT(E198,"000"))</f>
        <v>14BQ-131</v>
      </c>
      <c r="O198" s="60" t="str">
        <f t="shared" ref="O198:O209" si="38">$K$130&amp;C198</f>
        <v>ni_semi</v>
      </c>
    </row>
    <row r="199" spans="1:15" ht="14.1" customHeight="1">
      <c r="A199" s="69">
        <f t="shared" si="35"/>
        <v>46229</v>
      </c>
      <c r="B199" s="293">
        <f>'CHICLETS MASTER S2'!P74</f>
        <v>0.33333333333333298</v>
      </c>
      <c r="C199" s="71" t="s">
        <v>268</v>
      </c>
      <c r="D199" s="119" t="str">
        <f t="shared" si="36"/>
        <v>VILLA PARK HS</v>
      </c>
      <c r="E199" s="71">
        <v>132</v>
      </c>
      <c r="F199" s="90" t="str">
        <f>IF(G155="","W101",IF(G155&gt;I155,_xlfn.CONCAT("W101-",RIGHT(F155,LEN(F155) - FIND("-",F155))), _xlfn.CONCAT("W101-",RIGHT(H155,LEN(H155) - FIND("-",H155)))))</f>
        <v>W101-SOCAL</v>
      </c>
      <c r="G199" s="93">
        <v>19</v>
      </c>
      <c r="H199" s="90" t="str">
        <f>IF(G162="","W122",IF(G162&gt;I162,_xlfn.CONCAT("W122-",RIGHT(F162,LEN(F162) - FIND("-",F162))), _xlfn.CONCAT("W122-",RIGHT(H162,LEN(H162) - FIND("-",H162)))))</f>
        <v>W122-NSD STARS</v>
      </c>
      <c r="I199" s="93">
        <v>7</v>
      </c>
      <c r="J199" s="90">
        <v>146</v>
      </c>
      <c r="K199" s="90">
        <v>145</v>
      </c>
      <c r="L199" s="90" t="str">
        <f t="shared" si="37"/>
        <v>14BQ-132</v>
      </c>
      <c r="O199" s="60" t="str">
        <f t="shared" si="38"/>
        <v>ni_semi</v>
      </c>
    </row>
    <row r="200" spans="1:15" ht="14.1" customHeight="1">
      <c r="A200" s="69">
        <f t="shared" si="35"/>
        <v>46229</v>
      </c>
      <c r="B200" s="293">
        <f>'CHICLETS MASTER S2'!P75</f>
        <v>0.375</v>
      </c>
      <c r="C200" s="71" t="s">
        <v>269</v>
      </c>
      <c r="D200" s="119" t="str">
        <f t="shared" si="36"/>
        <v>VILLA PARK HS</v>
      </c>
      <c r="E200" s="71">
        <v>140</v>
      </c>
      <c r="F200" s="90" t="str">
        <f>IF(G157="","L107",IF(G157&lt;I157,_xlfn.CONCAT("L107-",RIGHT(F157,LEN(F157) - FIND("-",F157))), _xlfn.CONCAT("L107-",RIGHT(H157,LEN(H157) - FIND("-",H157)))))</f>
        <v>L107-NORTH IRVINE RED</v>
      </c>
      <c r="G200" s="93">
        <v>9</v>
      </c>
      <c r="H200" s="90" t="str">
        <f>IF(G158="","L110",IF(G158&lt;I158,_xlfn.CONCAT("L110-",RIGHT(F158,LEN(F158) - FIND("-",F158))), _xlfn.CONCAT("L110-",RIGHT(H158,LEN(H158) - FIND("-",H158)))))</f>
        <v>L110-TRILOGY</v>
      </c>
      <c r="I200" s="93">
        <v>12</v>
      </c>
      <c r="J200" s="90" t="s">
        <v>1701</v>
      </c>
      <c r="K200" s="90" t="s">
        <v>1702</v>
      </c>
      <c r="L200" s="90" t="str">
        <f t="shared" si="37"/>
        <v>14BQ-140</v>
      </c>
      <c r="O200" s="60" t="str">
        <f>$K$130&amp;C200</f>
        <v>ni_7th</v>
      </c>
    </row>
    <row r="201" spans="1:15" ht="14.1" customHeight="1">
      <c r="A201" s="69">
        <f t="shared" si="35"/>
        <v>46229</v>
      </c>
      <c r="B201" s="293">
        <f>'CHICLETS MASTER S2'!P76</f>
        <v>0.41666666666666702</v>
      </c>
      <c r="C201" s="71" t="s">
        <v>272</v>
      </c>
      <c r="D201" s="119" t="str">
        <f t="shared" si="36"/>
        <v>VILLA PARK HS</v>
      </c>
      <c r="E201" s="71">
        <v>141</v>
      </c>
      <c r="F201" s="90" t="str">
        <f>IF(G161="","L119",IF(G161&lt;I161,_xlfn.CONCAT("L119-",RIGHT(F161,LEN(F161) - FIND("-",F161))), _xlfn.CONCAT("L119-",RIGHT(H161,LEN(H161) - FIND("-",H161)))))</f>
        <v>L119-BACK BAY</v>
      </c>
      <c r="G201" s="93">
        <v>17</v>
      </c>
      <c r="H201" s="90" t="str">
        <f>IF(G162="","L122",IF(G162&lt;I162,_xlfn.CONCAT("L122-",RIGHT(F162,LEN(F162) - FIND("-",F162))), _xlfn.CONCAT("L122-",RIGHT(H162,LEN(H162) - FIND("-",H162)))))</f>
        <v>L122-SOUTH COAST WHITE</v>
      </c>
      <c r="I201" s="93">
        <v>6</v>
      </c>
      <c r="J201" s="90" t="s">
        <v>1703</v>
      </c>
      <c r="K201" s="90" t="s">
        <v>1704</v>
      </c>
      <c r="L201" s="90" t="str">
        <f t="shared" si="37"/>
        <v>14BQ-141</v>
      </c>
      <c r="O201" s="60" t="str">
        <f>$K$130&amp;C201</f>
        <v>ni_5th</v>
      </c>
    </row>
    <row r="202" spans="1:15" ht="14.1" customHeight="1">
      <c r="A202" s="69">
        <f t="shared" si="35"/>
        <v>46229</v>
      </c>
      <c r="B202" s="293">
        <f>'CHICLETS MASTER S2'!P77</f>
        <v>0.45833333333333298</v>
      </c>
      <c r="C202" s="71" t="s">
        <v>275</v>
      </c>
      <c r="D202" s="119" t="str">
        <f t="shared" si="36"/>
        <v>VILLA PARK HS</v>
      </c>
      <c r="E202" s="71">
        <v>145</v>
      </c>
      <c r="F202" s="90" t="str">
        <f>IF(G198="","L131",IF(G198&lt;I198,_xlfn.CONCAT("L131-",RIGHT(F198,LEN(F198) - FIND("-",F198))), _xlfn.CONCAT("L131-",RIGHT(H198,LEN(H198) - FIND("-",H198)))))</f>
        <v>L131-LOS ALAMITOS</v>
      </c>
      <c r="G202" s="93">
        <v>15</v>
      </c>
      <c r="H202" s="90" t="str">
        <f>IF(G199="","L132",IF(G199&lt;I199,_xlfn.CONCAT("L132-",RIGHT(F199,LEN(F199) - FIND("-",F199))), _xlfn.CONCAT("L132-",RIGHT(H199,LEN(H199) - FIND("-",H199)))))</f>
        <v>L132-NSD STARS</v>
      </c>
      <c r="I202" s="93">
        <v>8</v>
      </c>
      <c r="J202" s="90" t="s">
        <v>1705</v>
      </c>
      <c r="K202" s="90" t="s">
        <v>1706</v>
      </c>
      <c r="L202" s="90" t="str">
        <f t="shared" si="37"/>
        <v>14BQ-145</v>
      </c>
      <c r="O202" s="60" t="str">
        <f>$K$130&amp;C202</f>
        <v>ni_3rd</v>
      </c>
    </row>
    <row r="203" spans="1:15" ht="14.1" customHeight="1">
      <c r="A203" s="69">
        <f t="shared" si="35"/>
        <v>46229</v>
      </c>
      <c r="B203" s="293">
        <f>'CHICLETS MASTER S2'!P78</f>
        <v>0.5</v>
      </c>
      <c r="C203" s="71" t="s">
        <v>278</v>
      </c>
      <c r="D203" s="119" t="str">
        <f t="shared" si="36"/>
        <v>VILLA PARK HS</v>
      </c>
      <c r="E203" s="71">
        <v>146</v>
      </c>
      <c r="F203" s="90" t="str">
        <f>IF(G198="","W131",IF(G198&gt;I198,_xlfn.CONCAT("W131-",RIGHT(F198,LEN(F198) - FIND("-",F198))), _xlfn.CONCAT("W131-",RIGHT(H198,LEN(H198) - FIND("-",H198)))))</f>
        <v>W131-CHAWP</v>
      </c>
      <c r="G203" s="93">
        <v>12</v>
      </c>
      <c r="H203" s="90" t="str">
        <f>IF(G199="","W132",IF(G199&gt;I199,_xlfn.CONCAT("W132-",RIGHT(F199,LEN(F199) - FIND("-",F199))), _xlfn.CONCAT("W132-",RIGHT(H199,LEN(H199) - FIND("-",H199)))))</f>
        <v>W132-SOCAL</v>
      </c>
      <c r="I203" s="93">
        <v>15</v>
      </c>
      <c r="J203" s="90" t="s">
        <v>1707</v>
      </c>
      <c r="K203" s="90" t="s">
        <v>1708</v>
      </c>
      <c r="L203" s="90" t="str">
        <f t="shared" si="37"/>
        <v>14BQ-146</v>
      </c>
      <c r="O203" s="60" t="str">
        <f t="shared" ref="O203" si="39">$K$130&amp;C203</f>
        <v>ni_1st</v>
      </c>
    </row>
    <row r="204" spans="1:15" ht="14.1" customHeight="1" thickBot="1"/>
    <row r="205" spans="1:15" ht="14.1" customHeight="1" thickBot="1">
      <c r="D205" s="65" t="str">
        <f>'CHICLETS MASTER S2'!$W$72</f>
        <v>TRABUCO HILLS HS</v>
      </c>
    </row>
    <row r="206" spans="1:15" ht="14.1" customHeight="1">
      <c r="A206" s="281" t="s">
        <v>124</v>
      </c>
      <c r="B206" s="281" t="s">
        <v>125</v>
      </c>
      <c r="C206" s="281" t="s">
        <v>126</v>
      </c>
      <c r="D206" s="281" t="s">
        <v>127</v>
      </c>
      <c r="E206" s="281" t="s">
        <v>128</v>
      </c>
      <c r="F206" s="281" t="s">
        <v>129</v>
      </c>
      <c r="G206" s="281" t="s">
        <v>130</v>
      </c>
      <c r="H206" s="281" t="s">
        <v>131</v>
      </c>
      <c r="I206" s="281" t="s">
        <v>130</v>
      </c>
      <c r="J206" s="281" t="s">
        <v>132</v>
      </c>
      <c r="K206" s="281" t="s">
        <v>133</v>
      </c>
      <c r="L206" s="281" t="s">
        <v>134</v>
      </c>
    </row>
    <row r="207" spans="1:15" ht="14.1" customHeight="1">
      <c r="A207" s="294">
        <f t="shared" si="35"/>
        <v>46229</v>
      </c>
      <c r="B207" s="293">
        <f>'CHICLETS MASTER S2'!P73</f>
        <v>0.29166666666666669</v>
      </c>
      <c r="C207" s="119" t="s">
        <v>249</v>
      </c>
      <c r="D207" s="119" t="str">
        <f>$D$205</f>
        <v>TRABUCO HILLS HS</v>
      </c>
      <c r="E207" s="119">
        <v>125</v>
      </c>
      <c r="F207" s="292" t="s">
        <v>1681</v>
      </c>
      <c r="G207" s="295">
        <v>11</v>
      </c>
      <c r="H207" s="292" t="s">
        <v>1683</v>
      </c>
      <c r="I207" s="295">
        <v>14</v>
      </c>
      <c r="J207" s="292"/>
      <c r="K207" s="292"/>
      <c r="L207" s="292" t="str">
        <f>IF(E207="","",$L$13&amp;"-"&amp;TEXT(E207,"000"))</f>
        <v>14BQ-125</v>
      </c>
      <c r="O207" s="60" t="str">
        <f>$K$130&amp;C207</f>
        <v>ni_21-24 RR</v>
      </c>
    </row>
    <row r="208" spans="1:15" ht="14.1" customHeight="1">
      <c r="A208" s="294">
        <f t="shared" si="35"/>
        <v>46229</v>
      </c>
      <c r="B208" s="293">
        <f>'CHICLETS MASTER S2'!P74</f>
        <v>0.33333333333333298</v>
      </c>
      <c r="C208" s="119" t="s">
        <v>293</v>
      </c>
      <c r="D208" s="119" t="str">
        <f>$D$205</f>
        <v>TRABUCO HILLS HS</v>
      </c>
      <c r="E208" s="119">
        <v>129</v>
      </c>
      <c r="F208" s="90" t="str">
        <f>IF(G175="","W117",IF(G175&gt;I175,_xlfn.CONCAT("W117-",RIGHT(F175,LEN(F175) - FIND("-",F175))), _xlfn.CONCAT("W117-",RIGHT(H175,LEN(H175) - FIND("-",H175)))))</f>
        <v>W117-CAL REPUBLIC</v>
      </c>
      <c r="G208" s="295">
        <v>16</v>
      </c>
      <c r="H208" s="292" t="str">
        <f>IF(G177="","W123",IF(G177&gt;I177,_xlfn.CONCAT("W123-",RIGHT(F177,LEN(F177) - FIND("-",F177))), _xlfn.CONCAT("W123-",RIGHT(H177,LEN(H177) - FIND("-",H177)))))</f>
        <v>W123-SAND CANYON</v>
      </c>
      <c r="I208" s="295">
        <v>15</v>
      </c>
      <c r="J208" s="292" t="s">
        <v>1709</v>
      </c>
      <c r="K208" s="292" t="s">
        <v>1710</v>
      </c>
      <c r="L208" s="292" t="str">
        <f>IF(E208="","",$L$13&amp;"-"&amp;TEXT(E208,"000"))</f>
        <v>14BQ-129</v>
      </c>
      <c r="O208" s="60" t="str">
        <f t="shared" si="38"/>
        <v>ni_17th</v>
      </c>
    </row>
    <row r="209" spans="1:15" ht="14.1" customHeight="1">
      <c r="A209" s="69">
        <f t="shared" si="35"/>
        <v>46229</v>
      </c>
      <c r="B209" s="293">
        <f>'CHICLETS MASTER S2'!P75</f>
        <v>0.375</v>
      </c>
      <c r="C209" s="119" t="s">
        <v>296</v>
      </c>
      <c r="D209" s="119" t="str">
        <f>$D$205</f>
        <v>TRABUCO HILLS HS</v>
      </c>
      <c r="E209" s="71">
        <v>128</v>
      </c>
      <c r="F209" s="90" t="str">
        <f>IF(G175="","L117",IF(G175&lt;I175,_xlfn.CONCAT("L117-",RIGHT(F175,LEN(F175) - FIND("-",F175))), _xlfn.CONCAT("L117-",RIGHT(H175,LEN(H175) - FIND("-",H175)))))</f>
        <v>L117-PALOS VERDES BLUE</v>
      </c>
      <c r="G209" s="93">
        <v>9</v>
      </c>
      <c r="H209" s="90" t="str">
        <f>IF(G177="","L123",IF(G177&lt;I177,_xlfn.CONCAT("L123-",RIGHT(F177,LEN(F177) - FIND("-",F177))), _xlfn.CONCAT("L123-",RIGHT(H177,LEN(H177) - FIND("-",H177)))))</f>
        <v>L123-OCWPC RED</v>
      </c>
      <c r="I209" s="93">
        <v>8</v>
      </c>
      <c r="J209" s="90" t="s">
        <v>1711</v>
      </c>
      <c r="K209" s="90" t="s">
        <v>1712</v>
      </c>
      <c r="L209" s="90" t="str">
        <f>IF(E209="","",$L$13&amp;"-"&amp;TEXT(E209,"000"))</f>
        <v>14BQ-128</v>
      </c>
      <c r="O209" s="60" t="str">
        <f t="shared" si="38"/>
        <v>ni_19th</v>
      </c>
    </row>
    <row r="210" spans="1:15" ht="14.1" customHeight="1">
      <c r="A210" s="69">
        <f t="shared" si="35"/>
        <v>46229</v>
      </c>
      <c r="B210" s="293">
        <f>'CHICLETS MASTER S2'!P76</f>
        <v>0.41666666666666702</v>
      </c>
      <c r="C210" s="71" t="s">
        <v>281</v>
      </c>
      <c r="D210" s="119" t="str">
        <f>$D$205</f>
        <v>TRABUCO HILLS HS</v>
      </c>
      <c r="E210" s="71">
        <v>138</v>
      </c>
      <c r="F210" s="90" t="str">
        <f>IF(G159="","W113",IF(G159&gt;I159,_xlfn.CONCAT("W113-",RIGHT(F159,LEN(F159) - FIND("-",F159))), _xlfn.CONCAT("W113-",RIGHT(H159,LEN(H159) - FIND("-",H159)))))</f>
        <v>W113-CORONADO</v>
      </c>
      <c r="G210" s="93">
        <v>10</v>
      </c>
      <c r="H210" s="90" t="str">
        <f>IF(G160="","W116",IF(G160&gt;I160,_xlfn.CONCAT("W116-",RIGHT(F160,LEN(F160) - FIND("-",F160))), _xlfn.CONCAT("W116-",RIGHT(H160,LEN(H160) - FIND("-",H160)))))</f>
        <v>W116-SANTA CRUZ</v>
      </c>
      <c r="I210" s="93">
        <v>8</v>
      </c>
      <c r="J210" s="90" t="s">
        <v>1713</v>
      </c>
      <c r="K210" s="90" t="s">
        <v>1714</v>
      </c>
      <c r="L210" s="90" t="str">
        <f>IF(E210="","",$L$13&amp;"-"&amp;TEXT(E210,"000"))</f>
        <v>14BQ-138</v>
      </c>
      <c r="O210" s="60" t="str">
        <f>$K$130&amp;C210</f>
        <v>ni_9th</v>
      </c>
    </row>
    <row r="211" spans="1:15" ht="14.1" customHeight="1">
      <c r="A211" s="69">
        <f t="shared" si="35"/>
        <v>46229</v>
      </c>
      <c r="B211" s="293">
        <f>'CHICLETS MASTER S2'!P77</f>
        <v>0.45833333333333298</v>
      </c>
      <c r="C211" s="71" t="s">
        <v>284</v>
      </c>
      <c r="D211" s="119" t="str">
        <f>$D$205</f>
        <v>TRABUCO HILLS HS</v>
      </c>
      <c r="E211" s="71">
        <v>137</v>
      </c>
      <c r="F211" s="90" t="str">
        <f>IF(G159="","L113",IF(G159&lt;I159,_xlfn.CONCAT("L113-",RIGHT(F159,LEN(F159) - FIND("-",F159))), _xlfn.CONCAT("L113-",RIGHT(H159,LEN(H159) - FIND("-",H159)))))</f>
        <v>L113-LA CITY UNITED</v>
      </c>
      <c r="G211" s="97">
        <v>8.5</v>
      </c>
      <c r="H211" s="90" t="str">
        <f>IF(G160="","L116",IF(G160&lt;I160,_xlfn.CONCAT("L116-",RIGHT(F160,LEN(F160) - FIND("-",F160))), _xlfn.CONCAT("L116-",RIGHT(H160,LEN(H160) - FIND("-",H160)))))</f>
        <v>L116-CIU COAST</v>
      </c>
      <c r="I211" s="97">
        <v>8.4</v>
      </c>
      <c r="J211" s="90" t="s">
        <v>1715</v>
      </c>
      <c r="K211" s="90" t="s">
        <v>1716</v>
      </c>
      <c r="L211" s="90" t="str">
        <f>IF(E211="","",$L$13&amp;"-"&amp;TEXT(E211,"000"))</f>
        <v>14BQ-137</v>
      </c>
      <c r="O211" s="60" t="str">
        <f>$K$130&amp;C211</f>
        <v>ni_11th</v>
      </c>
    </row>
    <row r="212" spans="1:15" ht="14.1" customHeight="1" thickBot="1"/>
    <row r="213" spans="1:15" ht="14.1" customHeight="1" thickBot="1">
      <c r="D213" s="65" t="str">
        <f>'CHICLETS MASTER S2'!$U$72</f>
        <v>PORTOLA HS 2</v>
      </c>
    </row>
    <row r="214" spans="1:15" ht="14.1" customHeight="1">
      <c r="A214" s="281" t="s">
        <v>124</v>
      </c>
      <c r="B214" s="281" t="s">
        <v>125</v>
      </c>
      <c r="C214" s="281" t="s">
        <v>126</v>
      </c>
      <c r="D214" s="281" t="s">
        <v>127</v>
      </c>
      <c r="E214" s="281" t="s">
        <v>128</v>
      </c>
      <c r="F214" s="281" t="s">
        <v>129</v>
      </c>
      <c r="G214" s="281" t="s">
        <v>130</v>
      </c>
      <c r="H214" s="281" t="s">
        <v>131</v>
      </c>
      <c r="I214" s="281" t="s">
        <v>130</v>
      </c>
      <c r="J214" s="281" t="s">
        <v>132</v>
      </c>
      <c r="K214" s="281" t="s">
        <v>133</v>
      </c>
      <c r="L214" s="281" t="s">
        <v>134</v>
      </c>
    </row>
    <row r="215" spans="1:15" ht="14.1" customHeight="1">
      <c r="A215" s="69">
        <f>$A$195</f>
        <v>46229</v>
      </c>
      <c r="B215" s="293">
        <f>'CHICLETS MASTER S2'!P73</f>
        <v>0.29166666666666669</v>
      </c>
      <c r="C215" s="71" t="s">
        <v>268</v>
      </c>
      <c r="D215" s="119" t="str">
        <f t="shared" ref="D215:D220" si="40">$D$213</f>
        <v>PORTOLA HS 2</v>
      </c>
      <c r="E215" s="71">
        <v>127</v>
      </c>
      <c r="F215" s="91" t="str">
        <f>IF(G186="","W106",IF(G186&gt;I186,_xlfn.CONCAT("W106-",RIGHT(F186,LEN(F186) - FIND("-",F186))), _xlfn.CONCAT("W106-",RIGHT(H186,LEN(H186) - FIND("-",H186)))))</f>
        <v>W106-BREA OLINDA</v>
      </c>
      <c r="G215" s="91">
        <v>17</v>
      </c>
      <c r="H215" s="91" t="str">
        <f>IF(G191="","W121",IF(G191&gt;I191,_xlfn.CONCAT("W121-",RIGHT(F191,LEN(F191) - FIND("-",F191))), _xlfn.CONCAT("W121-",RIGHT(H191,LEN(H191) - FIND("-",H191)))))</f>
        <v>W121-ORWP RED</v>
      </c>
      <c r="I215" s="91">
        <v>13</v>
      </c>
      <c r="J215" s="91">
        <v>144</v>
      </c>
      <c r="K215" s="91">
        <v>143</v>
      </c>
      <c r="L215" s="91" t="str">
        <f>IF(E215="","",$L$13&amp;"-"&amp;TEXT(E215,"000"))</f>
        <v>14BQ-127</v>
      </c>
      <c r="O215" s="60" t="str">
        <f t="shared" ref="O215:O216" si="41">$K$131&amp;C215</f>
        <v>cu_semi</v>
      </c>
    </row>
    <row r="216" spans="1:15" ht="14.1" customHeight="1">
      <c r="A216" s="69">
        <f t="shared" si="35"/>
        <v>46229</v>
      </c>
      <c r="B216" s="293">
        <f>'CHICLETS MASTER S2'!P74</f>
        <v>0.33333333333333298</v>
      </c>
      <c r="C216" s="71" t="s">
        <v>268</v>
      </c>
      <c r="D216" s="119" t="str">
        <f t="shared" si="40"/>
        <v>PORTOLA HS 2</v>
      </c>
      <c r="E216" s="71">
        <v>130</v>
      </c>
      <c r="F216" s="91" t="str">
        <f>IF(G185="","W103",IF(G185&gt;I185,_xlfn.CONCAT("W103-",RIGHT(F185,LEN(F185) - FIND("-",F185))), _xlfn.CONCAT("W103-",RIGHT(H185,LEN(H185) - FIND("-",H185)))))</f>
        <v>W103-NORCAL TEAL</v>
      </c>
      <c r="G216" s="91">
        <v>12</v>
      </c>
      <c r="H216" s="91" t="str">
        <f>IF(G192="","W124",IF(G192&gt;I192,_xlfn.CONCAT("W124-",RIGHT(F192,LEN(F192) - FIND("-",F192))), _xlfn.CONCAT("W124-",RIGHT(H192,LEN(H192) - FIND("-",H192)))))</f>
        <v>W124-LOYOLA</v>
      </c>
      <c r="I216" s="91">
        <v>9</v>
      </c>
      <c r="J216" s="91">
        <v>144</v>
      </c>
      <c r="K216" s="91">
        <v>143</v>
      </c>
      <c r="L216" s="91" t="str">
        <f>IF(E216="","",$L$13&amp;"-"&amp;TEXT(E216,"000"))</f>
        <v>14BQ-130</v>
      </c>
      <c r="O216" s="60" t="str">
        <f t="shared" si="41"/>
        <v>cu_semi</v>
      </c>
    </row>
    <row r="217" spans="1:15" ht="14.1" customHeight="1">
      <c r="A217" s="69">
        <f t="shared" si="35"/>
        <v>46229</v>
      </c>
      <c r="B217" s="293">
        <f>'CHICLETS MASTER S2'!P75</f>
        <v>0.375</v>
      </c>
      <c r="C217" s="71" t="s">
        <v>269</v>
      </c>
      <c r="D217" s="119" t="str">
        <f t="shared" si="40"/>
        <v>PORTOLA HS 2</v>
      </c>
      <c r="E217" s="71">
        <v>142</v>
      </c>
      <c r="F217" s="91" t="str">
        <f>IF(G187="","L109",IF(G187&lt;I187,_xlfn.CONCAT("L109-",RIGHT(F187,LEN(F187) - FIND("-",F187))), _xlfn.CONCAT("L109-",RIGHT(H187,LEN(H187) - FIND("-",H187)))))</f>
        <v>L109-MID PEN</v>
      </c>
      <c r="G217" s="91">
        <v>5</v>
      </c>
      <c r="H217" s="91" t="str">
        <f>IF(G188="","L112",IF(G188&lt;I188,_xlfn.CONCAT("L112-",RIGHT(F188,LEN(F188) - FIND("-",F188))), _xlfn.CONCAT("L112-",RIGHT(H188,LEN(H188) - FIND("-",H188)))))</f>
        <v>L112-ROSE BOWL BLACK</v>
      </c>
      <c r="I217" s="91">
        <v>10</v>
      </c>
      <c r="J217" s="91" t="s">
        <v>1717</v>
      </c>
      <c r="K217" s="91" t="s">
        <v>1718</v>
      </c>
      <c r="L217" s="91" t="str">
        <f>IF(E217="","",$L$13&amp;"-"&amp;TEXT(E217,"000"))</f>
        <v>14BQ-142</v>
      </c>
      <c r="O217" s="60" t="str">
        <f>$K$131&amp;C217</f>
        <v>cu_7th</v>
      </c>
    </row>
    <row r="218" spans="1:15" ht="14.1" customHeight="1">
      <c r="A218" s="69">
        <f t="shared" si="35"/>
        <v>46229</v>
      </c>
      <c r="B218" s="293">
        <f>'CHICLETS MASTER S2'!P76</f>
        <v>0.41666666666666702</v>
      </c>
      <c r="C218" s="71" t="s">
        <v>272</v>
      </c>
      <c r="D218" s="119" t="str">
        <f t="shared" si="40"/>
        <v>PORTOLA HS 2</v>
      </c>
      <c r="E218" s="71">
        <v>139</v>
      </c>
      <c r="F218" s="91" t="str">
        <f>IF(G191="","L121",IF(G191&lt;I191,_xlfn.CONCAT("L121-",RIGHT(F191,LEN(F191) - FIND("-",F191))), _xlfn.CONCAT("L121-",RIGHT(H191,LEN(H191) - FIND("-",H191)))))</f>
        <v>L121-VALLEY UNITED</v>
      </c>
      <c r="G218" s="91">
        <v>18</v>
      </c>
      <c r="H218" s="91" t="str">
        <f>IF(G192="","L124",IF(G192&lt;I192,_xlfn.CONCAT("L124-",RIGHT(F192,LEN(F192) - FIND("-",F192))), _xlfn.CONCAT("L124-",RIGHT(H192,LEN(H192) - FIND("-",H192)))))</f>
        <v>L124-SAN CLEMENTE BLACK</v>
      </c>
      <c r="I218" s="91">
        <v>20</v>
      </c>
      <c r="J218" s="91" t="s">
        <v>1719</v>
      </c>
      <c r="K218" s="91" t="s">
        <v>1720</v>
      </c>
      <c r="L218" s="91" t="str">
        <f>IF(E218="","",$L$13&amp;"-"&amp;TEXT(E218,"000"))</f>
        <v>14BQ-139</v>
      </c>
      <c r="O218" s="60" t="str">
        <f>$K$131&amp;C218</f>
        <v>cu_5th</v>
      </c>
    </row>
    <row r="219" spans="1:15" ht="14.1" customHeight="1">
      <c r="A219" s="69">
        <f t="shared" si="35"/>
        <v>46229</v>
      </c>
      <c r="B219" s="293">
        <f>'CHICLETS MASTER S2'!P77</f>
        <v>0.45833333333333298</v>
      </c>
      <c r="C219" s="71" t="s">
        <v>275</v>
      </c>
      <c r="D219" s="119" t="str">
        <f t="shared" si="40"/>
        <v>PORTOLA HS 2</v>
      </c>
      <c r="E219" s="71">
        <v>143</v>
      </c>
      <c r="F219" s="91" t="str">
        <f>IF(G215="","L127",IF(G215&lt;I215,_xlfn.CONCAT("L127-",RIGHT(F215,LEN(F215) - FIND("-",F215))), _xlfn.CONCAT("L127-",RIGHT(H215,LEN(H215) - FIND("-",H215)))))</f>
        <v>L127-ORWP RED</v>
      </c>
      <c r="G219" s="91">
        <v>10</v>
      </c>
      <c r="H219" s="91" t="str">
        <f>IF(G216="","L130",IF(G216&lt;I216,_xlfn.CONCAT("L130-",RIGHT(F216,LEN(F216) - FIND("-",F216))), _xlfn.CONCAT("L130-",RIGHT(H216,LEN(H216) - FIND("-",H216)))))</f>
        <v>L130-LOYOLA</v>
      </c>
      <c r="I219" s="91">
        <v>5</v>
      </c>
      <c r="J219" s="91" t="s">
        <v>1721</v>
      </c>
      <c r="K219" s="91" t="s">
        <v>1722</v>
      </c>
      <c r="L219" s="91" t="str">
        <f t="shared" ref="L219:L220" si="42">IF(E219="","",$L$13&amp;"-"&amp;TEXT(E219,"000"))</f>
        <v>14BQ-143</v>
      </c>
      <c r="O219" s="60" t="str">
        <f>$K$131&amp;C219</f>
        <v>cu_3rd</v>
      </c>
    </row>
    <row r="220" spans="1:15" ht="14.1" customHeight="1">
      <c r="A220" s="69">
        <f t="shared" si="35"/>
        <v>46229</v>
      </c>
      <c r="B220" s="293">
        <f>'CHICLETS MASTER S2'!P78</f>
        <v>0.5</v>
      </c>
      <c r="C220" s="71" t="s">
        <v>278</v>
      </c>
      <c r="D220" s="119" t="str">
        <f t="shared" si="40"/>
        <v>PORTOLA HS 2</v>
      </c>
      <c r="E220" s="71">
        <v>144</v>
      </c>
      <c r="F220" s="91" t="str">
        <f>IF(G215="","W127",IF(G215&gt;I215,_xlfn.CONCAT("W127-",RIGHT(F215,LEN(F215) - FIND("-",F215))), _xlfn.CONCAT("W127-",RIGHT(H215,LEN(H215) - FIND("-",H215)))))</f>
        <v>W127-BREA OLINDA</v>
      </c>
      <c r="G220" s="91">
        <v>10</v>
      </c>
      <c r="H220" s="91" t="str">
        <f>IF(G216="","W130",IF(G216&gt;I216,_xlfn.CONCAT("W130-",RIGHT(F216,LEN(F216) - FIND("-",F216))), _xlfn.CONCAT("W130-",RIGHT(H216,LEN(H216) - FIND("-",H216)))))</f>
        <v>W130-NORCAL TEAL</v>
      </c>
      <c r="I220" s="91">
        <v>12</v>
      </c>
      <c r="J220" s="91" t="s">
        <v>1723</v>
      </c>
      <c r="K220" s="91" t="s">
        <v>1724</v>
      </c>
      <c r="L220" s="91" t="str">
        <f t="shared" si="42"/>
        <v>14BQ-144</v>
      </c>
      <c r="O220" s="60" t="str">
        <f t="shared" ref="O220" si="43">$K$131&amp;C220</f>
        <v>cu_1st</v>
      </c>
    </row>
    <row r="221" spans="1:15" ht="14.1" customHeight="1" thickBot="1"/>
    <row r="222" spans="1:15" ht="14.1" customHeight="1" thickBot="1">
      <c r="B222" s="79"/>
      <c r="D222" s="65" t="str">
        <f>'CHICLETS MASTER S2'!$Y$72</f>
        <v>SADDLEBACK COLLEGE 2</v>
      </c>
    </row>
    <row r="223" spans="1:15" ht="14.1" customHeight="1">
      <c r="A223" s="281" t="s">
        <v>124</v>
      </c>
      <c r="B223" s="281" t="s">
        <v>125</v>
      </c>
      <c r="C223" s="281" t="s">
        <v>126</v>
      </c>
      <c r="D223" s="281" t="s">
        <v>127</v>
      </c>
      <c r="E223" s="281" t="s">
        <v>128</v>
      </c>
      <c r="F223" s="281" t="s">
        <v>129</v>
      </c>
      <c r="G223" s="281" t="s">
        <v>130</v>
      </c>
      <c r="H223" s="281" t="s">
        <v>131</v>
      </c>
      <c r="I223" s="281" t="s">
        <v>130</v>
      </c>
      <c r="J223" s="281" t="s">
        <v>132</v>
      </c>
      <c r="K223" s="281" t="s">
        <v>133</v>
      </c>
      <c r="L223" s="281" t="s">
        <v>134</v>
      </c>
    </row>
    <row r="224" spans="1:15" ht="14.1" customHeight="1">
      <c r="A224" s="69">
        <f t="shared" si="35"/>
        <v>46229</v>
      </c>
      <c r="B224" s="293">
        <f>'CHICLETS MASTER S2'!P73</f>
        <v>0.29166666666666669</v>
      </c>
      <c r="C224" s="71" t="s">
        <v>249</v>
      </c>
      <c r="D224" s="119" t="str">
        <f>$D$222</f>
        <v>SADDLEBACK COLLEGE 2</v>
      </c>
      <c r="E224" s="71">
        <v>126</v>
      </c>
      <c r="F224" s="90" t="s">
        <v>1684</v>
      </c>
      <c r="G224" s="93">
        <v>14</v>
      </c>
      <c r="H224" s="90" t="s">
        <v>1682</v>
      </c>
      <c r="I224" s="93">
        <v>6</v>
      </c>
      <c r="J224" s="90"/>
      <c r="K224" s="90"/>
      <c r="L224" s="90" t="str">
        <f>IF(E224="","",$L$13&amp;"-"&amp;TEXT(E224,"000"))</f>
        <v>14BQ-126</v>
      </c>
      <c r="O224" s="60" t="str">
        <f>$K$130&amp;C224</f>
        <v>ni_21-24 RR</v>
      </c>
    </row>
    <row r="225" spans="1:15" ht="14.1" customHeight="1">
      <c r="A225" s="69">
        <f t="shared" si="35"/>
        <v>46229</v>
      </c>
      <c r="B225" s="293">
        <f>'CHICLETS MASTER S2'!P74</f>
        <v>0.33333333333333298</v>
      </c>
      <c r="C225" s="71" t="s">
        <v>281</v>
      </c>
      <c r="D225" s="119" t="str">
        <f>$D$222</f>
        <v>SADDLEBACK COLLEGE 2</v>
      </c>
      <c r="E225" s="71">
        <v>133</v>
      </c>
      <c r="F225" s="91" t="str">
        <f>IF(G189="","W115",IF(G189&gt;I189,_xlfn.CONCAT("W115-",RIGHT(F189,LEN(F189) - FIND("-",F189))), _xlfn.CONCAT("W115-",RIGHT(H189,LEN(H189) - FIND("-",H189)))))</f>
        <v>W115-CCU WHITE</v>
      </c>
      <c r="G225" s="91">
        <v>9</v>
      </c>
      <c r="H225" s="91" t="str">
        <f>IF(G190="","W118",IF(G190&gt;I190,_xlfn.CONCAT("W118-",RIGHT(F190,LEN(F190) - FIND("-",F190))), _xlfn.CONCAT("W118-",RIGHT(H190,LEN(H190) - FIND("-",H190)))))</f>
        <v>W118-SOVA</v>
      </c>
      <c r="I225" s="91">
        <v>10</v>
      </c>
      <c r="J225" s="91" t="s">
        <v>1725</v>
      </c>
      <c r="K225" s="91" t="s">
        <v>1726</v>
      </c>
      <c r="L225" s="91" t="str">
        <f t="shared" ref="L225:L226" si="44">IF(E225="","",$L$13&amp;"-"&amp;TEXT(E225,"000"))</f>
        <v>14BQ-133</v>
      </c>
      <c r="O225" s="60" t="str">
        <f t="shared" ref="O225:O226" si="45">$K$131&amp;C225</f>
        <v>cu_9th</v>
      </c>
    </row>
    <row r="226" spans="1:15" ht="14.1" customHeight="1">
      <c r="A226" s="69">
        <f t="shared" si="35"/>
        <v>46229</v>
      </c>
      <c r="B226" s="293">
        <f>'CHICLETS MASTER S2'!P75</f>
        <v>0.375</v>
      </c>
      <c r="C226" s="119" t="s">
        <v>284</v>
      </c>
      <c r="D226" s="119" t="str">
        <f>$D$222</f>
        <v>SADDLEBACK COLLEGE 2</v>
      </c>
      <c r="E226" s="71">
        <v>136</v>
      </c>
      <c r="F226" s="91" t="str">
        <f>IF(G189="","L115",IF(G189&lt;I189,_xlfn.CONCAT("L115-",RIGHT(F189,LEN(F189) - FIND("-",F189))), _xlfn.CONCAT("L115-",RIGHT(H189,LEN(H189) - FIND("-",H189)))))</f>
        <v>L115-TRI VALLEY TRITONS</v>
      </c>
      <c r="G226" s="91">
        <v>4</v>
      </c>
      <c r="H226" s="91" t="str">
        <f>IF(G190="","L118",IF(G190&lt;I190,_xlfn.CONCAT("L118-",RIGHT(F190,LEN(F190) - FIND("-",F190))), _xlfn.CONCAT("L118-",RIGHT(H190,LEN(H190) - FIND("-",H190)))))</f>
        <v>L118-AMERICAN RIVER B</v>
      </c>
      <c r="I226" s="91">
        <v>16</v>
      </c>
      <c r="J226" s="91" t="s">
        <v>1727</v>
      </c>
      <c r="K226" s="91" t="s">
        <v>1728</v>
      </c>
      <c r="L226" s="91" t="str">
        <f t="shared" si="44"/>
        <v>14BQ-136</v>
      </c>
      <c r="O226" s="60" t="str">
        <f t="shared" si="45"/>
        <v>cu_11th</v>
      </c>
    </row>
    <row r="227" spans="1:15" ht="14.1" customHeight="1">
      <c r="A227" s="69">
        <f t="shared" si="35"/>
        <v>46229</v>
      </c>
      <c r="B227" s="293">
        <f>'CHICLETS MASTER S2'!P76</f>
        <v>0.41666666666666702</v>
      </c>
      <c r="C227" s="71" t="s">
        <v>287</v>
      </c>
      <c r="D227" s="119" t="str">
        <f>$D$222</f>
        <v>SADDLEBACK COLLEGE 2</v>
      </c>
      <c r="E227" s="71">
        <v>135</v>
      </c>
      <c r="F227" s="90" t="str">
        <f>IF(G174="","W114",IF(G174&gt;I174,_xlfn.CONCAT("W114-",RIGHT(F174,LEN(F174) - FIND("-",F174))), _xlfn.CONCAT("W114-",RIGHT(H174,LEN(H174) - FIND("-",H174)))))</f>
        <v>W114-VNITED</v>
      </c>
      <c r="G227" s="93">
        <v>13</v>
      </c>
      <c r="H227" s="292" t="str">
        <f>IF(G176="","W120",IF(G176&gt;I176,_xlfn.CONCAT("W120-",RIGHT(F176,LEN(F176) - FIND("-",F176))), _xlfn.CONCAT("W120-",RIGHT(H176,LEN(H176) - FIND("-",H176)))))</f>
        <v>W120-908 BLUE</v>
      </c>
      <c r="I227" s="93">
        <v>12</v>
      </c>
      <c r="J227" s="90" t="s">
        <v>1729</v>
      </c>
      <c r="K227" s="90" t="s">
        <v>1730</v>
      </c>
      <c r="L227" s="90" t="str">
        <f t="shared" ref="L227" si="46">IF(E227="","",$L$13&amp;"-"&amp;TEXT(E227,"000"))</f>
        <v>14BQ-135</v>
      </c>
      <c r="O227" s="60" t="str">
        <f>$K$130&amp;C227</f>
        <v>ni_13th</v>
      </c>
    </row>
    <row r="228" spans="1:15" ht="14.1" customHeight="1">
      <c r="A228" s="69">
        <f t="shared" si="35"/>
        <v>46229</v>
      </c>
      <c r="B228" s="293">
        <f>'CHICLETS MASTER S2'!P77</f>
        <v>0.45833333333333298</v>
      </c>
      <c r="C228" s="71" t="s">
        <v>290</v>
      </c>
      <c r="D228" s="119" t="str">
        <f>$D$222</f>
        <v>SADDLEBACK COLLEGE 2</v>
      </c>
      <c r="E228" s="71">
        <v>134</v>
      </c>
      <c r="F228" s="90" t="str">
        <f>IF(G174="","L114",IF(G174&lt;I174,_xlfn.CONCAT("L114-",RIGHT(F174,LEN(F174) - FIND("-",F174))), _xlfn.CONCAT("L114-",RIGHT(H174,LEN(H174) - FIND("-",H174)))))</f>
        <v>L114-PAC</v>
      </c>
      <c r="G228" s="93">
        <v>14</v>
      </c>
      <c r="H228" s="90" t="str">
        <f>IF(G176="","L120",IF(G176&lt;I176,_xlfn.CONCAT("L120-",RIGHT(F176,LEN(F176) - FIND("-",F176))), _xlfn.CONCAT("L120-",RIGHT(H176,LEN(H176) - FIND("-",H176)))))</f>
        <v>L120-CDM WHITE</v>
      </c>
      <c r="I228" s="93">
        <v>7</v>
      </c>
      <c r="J228" s="90" t="s">
        <v>1731</v>
      </c>
      <c r="K228" s="90" t="s">
        <v>1732</v>
      </c>
      <c r="L228" s="90" t="str">
        <f>IF(E228="","",$L$13&amp;"-"&amp;TEXT(E228,"000"))</f>
        <v>14BQ-134</v>
      </c>
      <c r="O228" s="60" t="str">
        <f>$K$130&amp;C228</f>
        <v>ni_15th</v>
      </c>
    </row>
    <row r="230" spans="1:15" ht="14.1" customHeight="1">
      <c r="A230" s="90" t="s">
        <v>1733</v>
      </c>
      <c r="B230" s="62"/>
      <c r="C230" s="91" t="s">
        <v>1734</v>
      </c>
      <c r="D230" s="62"/>
    </row>
    <row r="231" spans="1:15" ht="14.1" customHeight="1">
      <c r="A231" s="90" t="s">
        <v>278</v>
      </c>
      <c r="B231" s="296" t="str">
        <f>IF(G203="","W146",IF(G203&gt;I203,_xlfn.CONCAT("W146-",RIGHT(F203,LEN(F203) - FIND("-",F203))), _xlfn.CONCAT("W146-",RIGHT(H203,LEN(H203) - FIND("-",H203)))))</f>
        <v>W146-SOCAL</v>
      </c>
      <c r="C231" s="91" t="s">
        <v>278</v>
      </c>
      <c r="D231" s="296" t="str">
        <f>IF(G220="","W144",IF(G220&gt;I220,_xlfn.CONCAT("W144-",RIGHT(F220,LEN(F220) - FIND("-",F220))), _xlfn.CONCAT("W144-",RIGHT(H220,LEN(H220) - FIND("-",H220)))))</f>
        <v>W144-NORCAL TEAL</v>
      </c>
    </row>
    <row r="232" spans="1:15" ht="14.1" customHeight="1">
      <c r="A232" s="90" t="s">
        <v>310</v>
      </c>
      <c r="B232" s="296" t="str">
        <f>IF(G203="","L146",IF(G203&lt;I203,_xlfn.CONCAT("L146-",RIGHT(F203,LEN(F203) - FIND("-",F203))), _xlfn.CONCAT("L146-",RIGHT(H203,LEN(H203) - FIND("-",H203)))))</f>
        <v>L146-CHAWP</v>
      </c>
      <c r="C232" s="91" t="s">
        <v>310</v>
      </c>
      <c r="D232" s="296" t="str">
        <f>IF(G220="","L144",IF(G220&lt;I220,_xlfn.CONCAT("L144-",RIGHT(F220,LEN(F220) - FIND("-",F220))), _xlfn.CONCAT("L144-",RIGHT(H220,LEN(H220) - FIND("-",H220)))))</f>
        <v>L144-BREA OLINDA</v>
      </c>
    </row>
    <row r="233" spans="1:15" ht="14.1" customHeight="1">
      <c r="A233" s="90" t="s">
        <v>275</v>
      </c>
      <c r="B233" s="296" t="str">
        <f>IF(G202="","W145",IF(G202&gt;I202,_xlfn.CONCAT("W145-",RIGHT(F202,LEN(F202) - FIND("-",F202))), _xlfn.CONCAT("W145-",RIGHT(H202,LEN(H202) - FIND("-",H202)))))</f>
        <v>W145-LOS ALAMITOS</v>
      </c>
      <c r="C233" s="91" t="s">
        <v>275</v>
      </c>
      <c r="D233" s="296" t="str">
        <f>IF(G219="","W143",IF(G219&gt;I219,_xlfn.CONCAT("W143-",RIGHT(F219,LEN(F219) - FIND("-",F219))), _xlfn.CONCAT("W143-",RIGHT(H219,LEN(H219) - FIND("-",H219)))))</f>
        <v>W143-ORWP RED</v>
      </c>
    </row>
    <row r="234" spans="1:15" ht="14.1" customHeight="1">
      <c r="A234" s="90" t="s">
        <v>311</v>
      </c>
      <c r="B234" s="296" t="str">
        <f>IF(G202="","L145",IF(G202&lt;I202,_xlfn.CONCAT("L145-",RIGHT(F202,LEN(F202) - FIND("-",F202))), _xlfn.CONCAT("L145-",RIGHT(H202,LEN(H202) - FIND("-",H202)))))</f>
        <v>L145-NSD STARS</v>
      </c>
      <c r="C234" s="91" t="s">
        <v>311</v>
      </c>
      <c r="D234" s="296" t="str">
        <f>IF(G219="","L143",IF(G219&lt;I219,_xlfn.CONCAT("L143-",RIGHT(F219,LEN(F219) - FIND("-",F219))), _xlfn.CONCAT("L143-",RIGHT(H219,LEN(H219) - FIND("-",H219)))))</f>
        <v>L143-LOYOLA</v>
      </c>
    </row>
    <row r="235" spans="1:15" ht="14.1" customHeight="1">
      <c r="A235" s="90" t="s">
        <v>272</v>
      </c>
      <c r="B235" s="296" t="str">
        <f>IF(G201="","W141",IF(G201&gt;I201,_xlfn.CONCAT("W141-",RIGHT(F201,LEN(F201) - FIND("-",F201))), _xlfn.CONCAT("W141-",RIGHT(H201,LEN(H201) - FIND("-",H201)))))</f>
        <v>W141-BACK BAY</v>
      </c>
      <c r="C235" s="91" t="s">
        <v>272</v>
      </c>
      <c r="D235" s="296" t="str">
        <f>IF(G218="","W139",IF(G218&gt;I218,_xlfn.CONCAT("W139-",RIGHT(F218,LEN(F218) - FIND("-",F218))), _xlfn.CONCAT("W139-",RIGHT(H218,LEN(H218) - FIND("-",H218)))))</f>
        <v>W139-SAN CLEMENTE BLACK</v>
      </c>
    </row>
    <row r="236" spans="1:15" ht="14.1" customHeight="1">
      <c r="A236" s="90" t="s">
        <v>312</v>
      </c>
      <c r="B236" s="296" t="str">
        <f>IF(G201="","L141",IF(G201&lt;I201,_xlfn.CONCAT("L141-",RIGHT(F201,LEN(F201) - FIND("-",F201))), _xlfn.CONCAT("L141-",RIGHT(H201,LEN(H201) - FIND("-",H201)))))</f>
        <v>L141-SOUTH COAST WHITE</v>
      </c>
      <c r="C236" s="91" t="s">
        <v>312</v>
      </c>
      <c r="D236" s="296" t="str">
        <f>IF(G218="","L139",IF(G218&lt;I218,_xlfn.CONCAT("L139-",RIGHT(F218,LEN(F218) - FIND("-",F218))), _xlfn.CONCAT("L139-",RIGHT(H218,LEN(H218) - FIND("-",H218)))))</f>
        <v>L139-VALLEY UNITED</v>
      </c>
    </row>
    <row r="237" spans="1:15" ht="14.1" customHeight="1">
      <c r="A237" s="90" t="s">
        <v>269</v>
      </c>
      <c r="B237" s="296" t="str">
        <f>IF(G200="","W140",IF(G200&gt;I200,_xlfn.CONCAT("W140-",RIGHT(F200,LEN(F200) - FIND("-",F200))), _xlfn.CONCAT("W140-",RIGHT(H200,LEN(H200) - FIND("-",H200)))))</f>
        <v>W140-TRILOGY</v>
      </c>
      <c r="C237" s="91" t="s">
        <v>269</v>
      </c>
      <c r="D237" s="296" t="str">
        <f>IF(G217="","W142",IF(G217&gt;I217,_xlfn.CONCAT("W142-",RIGHT(F217,LEN(F217) - FIND("-",F217))), _xlfn.CONCAT("W142-",RIGHT(H217,LEN(H217) - FIND("-",H217)))))</f>
        <v>W142-ROSE BOWL BLACK</v>
      </c>
    </row>
    <row r="238" spans="1:15" ht="14.1" customHeight="1">
      <c r="A238" s="90" t="s">
        <v>313</v>
      </c>
      <c r="B238" s="296" t="str">
        <f>IF(G200="","L140",IF(G200&lt;I200,_xlfn.CONCAT("L140-",RIGHT(F200,LEN(F200) - FIND("-",F200))), _xlfn.CONCAT("L140-",RIGHT(H200,LEN(H200) - FIND("-",H200)))))</f>
        <v>L140-NORTH IRVINE RED</v>
      </c>
      <c r="C238" s="91" t="s">
        <v>313</v>
      </c>
      <c r="D238" s="296" t="str">
        <f>IF(G217="","L142",IF(G217&lt;I217,_xlfn.CONCAT("L142-",RIGHT(F217,LEN(F217) - FIND("-",F217))), _xlfn.CONCAT("L142-",RIGHT(H217,LEN(H217) - FIND("-",H217)))))</f>
        <v>L142-MID PEN</v>
      </c>
    </row>
    <row r="239" spans="1:15" ht="14.1" customHeight="1">
      <c r="A239" s="90" t="s">
        <v>281</v>
      </c>
      <c r="B239" s="296" t="str">
        <f>IF(G210="","W138",IF(G210&gt;I210,_xlfn.CONCAT("W138-",RIGHT(F210,LEN(F210) - FIND("-",F210))), _xlfn.CONCAT("W138-",RIGHT(H210,LEN(H210) - FIND("-",H210)))))</f>
        <v>W138-CORONADO</v>
      </c>
      <c r="C239" s="91" t="s">
        <v>281</v>
      </c>
      <c r="D239" s="296" t="str">
        <f>IF(G225="","W133",IF(G225&gt;I225,_xlfn.CONCAT("W133-",RIGHT(F225,LEN(F225) - FIND("-",F225))), _xlfn.CONCAT("W133-",RIGHT(H225,LEN(H225) - FIND("-",H225)))))</f>
        <v>W133-SOVA</v>
      </c>
    </row>
    <row r="240" spans="1:15" ht="14.1" customHeight="1">
      <c r="A240" s="90" t="s">
        <v>315</v>
      </c>
      <c r="B240" s="296" t="str">
        <f>IF(G210="","L138",IF(G210&lt;I210,_xlfn.CONCAT("L138-",RIGHT(F210,LEN(F210) - FIND("-",F210))), _xlfn.CONCAT("L138-",RIGHT(H210,LEN(H210) - FIND("-",H210)))))</f>
        <v>L138-SANTA CRUZ</v>
      </c>
      <c r="C240" s="91" t="s">
        <v>315</v>
      </c>
      <c r="D240" s="297" t="str">
        <f>IF(G225="","L133",IF(G225&lt;I225,_xlfn.CONCAT("L133-",RIGHT(F225,LEN(F225) - FIND("-",F225))), _xlfn.CONCAT("L133-",RIGHT(H225,LEN(H225) - FIND("-",H225)))))</f>
        <v>L133-CCU WHITE</v>
      </c>
    </row>
    <row r="241" spans="1:4" ht="14.1" customHeight="1">
      <c r="A241" s="90" t="s">
        <v>284</v>
      </c>
      <c r="B241" s="298" t="str">
        <f>IF(G211="","W137",IF(G211&gt;I211,_xlfn.CONCAT("W137-",RIGHT(F211,LEN(F211) - FIND("-",F211))), _xlfn.CONCAT("W137-",RIGHT(H211,LEN(H211) - FIND("-",H211)))))</f>
        <v>W137-LA CITY UNITED</v>
      </c>
      <c r="C241" s="91" t="s">
        <v>284</v>
      </c>
      <c r="D241" s="299" t="str">
        <f>IF(G226="","W136",IF(G226&gt;I226,_xlfn.CONCAT("W136-",RIGHT(F226,LEN(F226) - FIND("-",F226))), _xlfn.CONCAT("W136-",RIGHT(H226,LEN(H226) - FIND("-",H226)))))</f>
        <v>W136-AMERICAN RIVER B</v>
      </c>
    </row>
    <row r="242" spans="1:4" ht="14.1" customHeight="1">
      <c r="A242" s="102" t="s">
        <v>318</v>
      </c>
      <c r="B242" s="299" t="str">
        <f>IF(G211="","L137",IF(G211&lt;I211,_xlfn.CONCAT("L137-",RIGHT(F211,LEN(F211) - FIND("-",F211))), _xlfn.CONCAT("L137-",RIGHT(H211,LEN(H211) - FIND("-",H211)))))</f>
        <v>L137-CIU COAST</v>
      </c>
      <c r="C242" s="91" t="s">
        <v>318</v>
      </c>
      <c r="D242" s="299" t="str">
        <f>IF(G226="","L136",IF(G226&lt;I226,_xlfn.CONCAT("L136-",RIGHT(F226,LEN(F226) - FIND("-",F226))), _xlfn.CONCAT("L136-",RIGHT(H226,LEN(H226) - FIND("-",H226)))))</f>
        <v>L136-TRI VALLEY TRITONS</v>
      </c>
    </row>
    <row r="243" spans="1:4" ht="14.1" customHeight="1">
      <c r="A243" s="102" t="s">
        <v>287</v>
      </c>
      <c r="B243" s="299" t="str">
        <f>IF(G227="","W135",IF(G227&gt;I227,_xlfn.CONCAT("W135-",RIGHT(F227,LEN(F227) - FIND("-",F227))), _xlfn.CONCAT("W135-",RIGHT(H227,LEN(H227) - FIND("-",H227)))))</f>
        <v>W135-VNITED</v>
      </c>
      <c r="C243" s="300"/>
      <c r="D243" s="301"/>
    </row>
    <row r="244" spans="1:4" ht="14.1" customHeight="1">
      <c r="A244" s="102" t="s">
        <v>319</v>
      </c>
      <c r="B244" s="299" t="str">
        <f>IF(G227="","L135",IF(G227&lt;I227,_xlfn.CONCAT("L135-",RIGHT(F227,LEN(F227) - FIND("-",F227))), _xlfn.CONCAT("L135-",RIGHT(H227,LEN(H227) - FIND("-",H227)))))</f>
        <v>L135-908 BLUE</v>
      </c>
      <c r="C244" s="300"/>
      <c r="D244" s="301"/>
    </row>
    <row r="245" spans="1:4" ht="14.1" customHeight="1">
      <c r="A245" s="102" t="s">
        <v>290</v>
      </c>
      <c r="B245" s="299" t="str">
        <f>IF(G228="","W134",IF(G228&gt;I228,_xlfn.CONCAT("W134-",RIGHT(F228,LEN(F228) - FIND("-",F228))), _xlfn.CONCAT("W134-",RIGHT(H228,LEN(H228) - FIND("-",H228)))))</f>
        <v>W134-PAC</v>
      </c>
      <c r="C245" s="300"/>
      <c r="D245" s="301"/>
    </row>
    <row r="246" spans="1:4" ht="14.1" customHeight="1">
      <c r="A246" s="102" t="s">
        <v>320</v>
      </c>
      <c r="B246" s="299" t="str">
        <f>IF(G228="","L134",IF(G228&lt;I228,_xlfn.CONCAT("L134-",RIGHT(F228,LEN(F228) - FIND("-",F228))), _xlfn.CONCAT("L134-",RIGHT(H228,LEN(H228) - FIND("-",H228)))))</f>
        <v>L134-CDM WHITE</v>
      </c>
      <c r="C246" s="300"/>
      <c r="D246" s="301"/>
    </row>
    <row r="247" spans="1:4" ht="14.1" customHeight="1">
      <c r="A247" s="102" t="s">
        <v>293</v>
      </c>
      <c r="B247" s="299" t="str">
        <f>IF(G208="","W129",IF(G208&gt;I208,_xlfn.CONCAT("W129-",RIGHT(F208,LEN(F208) - FIND("-",F208))), _xlfn.CONCAT("W129-",RIGHT(H208,LEN(H208) - FIND("-",H208)))))</f>
        <v>W129-CAL REPUBLIC</v>
      </c>
      <c r="C247" s="300"/>
      <c r="D247" s="301"/>
    </row>
    <row r="248" spans="1:4" ht="14.1" customHeight="1">
      <c r="A248" s="102" t="s">
        <v>321</v>
      </c>
      <c r="B248" s="299" t="str">
        <f>IF(G208="","L129",IF(G208&lt;I208,_xlfn.CONCAT("L129-",RIGHT(F208,LEN(F208) - FIND("-",F208))), _xlfn.CONCAT("L129-",RIGHT(H208,LEN(H208) - FIND("-",H208)))))</f>
        <v>L129-SAND CANYON</v>
      </c>
      <c r="C248" s="300"/>
      <c r="D248" s="301"/>
    </row>
    <row r="249" spans="1:4" ht="14.1" customHeight="1">
      <c r="A249" s="302" t="s">
        <v>296</v>
      </c>
      <c r="B249" s="299" t="str">
        <f>IF(G209="","W128",IF(G209&gt;I209,_xlfn.CONCAT("W128-",RIGHT(F209,LEN(F209) - FIND("-",F209))), _xlfn.CONCAT("W128-",RIGHT(H209,LEN(H209) - FIND("-",H209)))))</f>
        <v>W128-PALOS VERDES BLUE</v>
      </c>
      <c r="C249" s="300"/>
      <c r="D249" s="301"/>
    </row>
    <row r="250" spans="1:4" ht="14.1" customHeight="1">
      <c r="A250" s="303" t="s">
        <v>322</v>
      </c>
      <c r="B250" s="304" t="str">
        <f>IF(G209="","L128",IF(G209&lt;I209,_xlfn.CONCAT("L128-",RIGHT(F209,LEN(F209) - FIND("-",F209))), _xlfn.CONCAT("L128-",RIGHT(H209,LEN(H209) - FIND("-",H209)))))</f>
        <v>L128-OCWPC RED</v>
      </c>
      <c r="C250" s="300"/>
      <c r="D250" s="301"/>
    </row>
    <row r="251" spans="1:4" ht="14.1" customHeight="1">
      <c r="A251" s="274" t="s">
        <v>323</v>
      </c>
      <c r="B251" s="299" t="s">
        <v>1735</v>
      </c>
      <c r="C251" s="300"/>
      <c r="D251" s="301"/>
    </row>
    <row r="252" spans="1:4" ht="14.1" customHeight="1">
      <c r="A252" s="274" t="s">
        <v>325</v>
      </c>
      <c r="B252" s="299" t="s">
        <v>1736</v>
      </c>
      <c r="C252" s="300"/>
      <c r="D252" s="301"/>
    </row>
    <row r="253" spans="1:4" ht="14.1" customHeight="1">
      <c r="A253" s="275" t="s">
        <v>327</v>
      </c>
      <c r="B253" s="299" t="s">
        <v>1737</v>
      </c>
      <c r="C253" s="300"/>
      <c r="D253" s="301"/>
    </row>
    <row r="254" spans="1:4" ht="14.1" customHeight="1">
      <c r="A254" s="102" t="s">
        <v>329</v>
      </c>
      <c r="B254" s="299" t="s">
        <v>1738</v>
      </c>
      <c r="C254" s="300"/>
      <c r="D254" s="301"/>
    </row>
  </sheetData>
  <hyperlinks>
    <hyperlink ref="B1" r:id="rId1" xr:uid="{C91D2811-A07C-4835-81E6-F0E60F3635F9}"/>
    <hyperlink ref="C1" r:id="rId2" xr:uid="{43E7B21E-BE41-4B31-853C-3C5004E014DA}"/>
    <hyperlink ref="E1" r:id="rId3" xr:uid="{AA677123-D09C-4687-8219-AF545A6CA473}"/>
  </hyperlinks>
  <pageMargins left="0.75" right="0.75" top="1" bottom="1" header="0.25" footer="0.5"/>
  <pageSetup orientation="portrait" horizontalDpi="4294967292" verticalDpi="4294967292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1B9B-8B73-4C83-8372-CDB0E75D5A16}">
  <sheetPr>
    <tabColor rgb="FFFFCC99"/>
    <pageSetUpPr fitToPage="1"/>
  </sheetPr>
  <dimension ref="A1:O328"/>
  <sheetViews>
    <sheetView topLeftCell="B147" zoomScale="120" zoomScaleNormal="120" workbookViewId="0">
      <selection activeCell="I180" sqref="I180"/>
    </sheetView>
  </sheetViews>
  <sheetFormatPr defaultColWidth="12.85546875" defaultRowHeight="14.1" customHeight="1"/>
  <cols>
    <col min="1" max="1" width="24.42578125" style="62" customWidth="1"/>
    <col min="2" max="2" width="36.28515625" style="62" bestFit="1" customWidth="1"/>
    <col min="3" max="3" width="28.140625" style="62" bestFit="1" customWidth="1"/>
    <col min="4" max="4" width="31" style="62" bestFit="1" customWidth="1"/>
    <col min="5" max="5" width="35.140625" style="62" bestFit="1" customWidth="1"/>
    <col min="6" max="6" width="37" style="62" customWidth="1"/>
    <col min="7" max="7" width="5.42578125" style="80" bestFit="1" customWidth="1"/>
    <col min="8" max="8" width="34.140625" style="62" bestFit="1" customWidth="1"/>
    <col min="9" max="9" width="5.140625" style="62" bestFit="1" customWidth="1"/>
    <col min="10" max="11" width="7.85546875" style="62" bestFit="1" customWidth="1"/>
    <col min="12" max="13" width="10.28515625" style="62" customWidth="1"/>
    <col min="14" max="14" width="10.28515625" style="62" bestFit="1" customWidth="1"/>
    <col min="15" max="15" width="11.42578125" style="62" bestFit="1" customWidth="1"/>
    <col min="16" max="16384" width="12.85546875" style="62"/>
  </cols>
  <sheetData>
    <row r="1" spans="1:12" s="60" customFormat="1" ht="14.1" customHeight="1" thickTop="1" thickBot="1">
      <c r="A1" s="57" t="s">
        <v>68</v>
      </c>
      <c r="B1" s="52" t="s">
        <v>69</v>
      </c>
      <c r="C1" s="53" t="s">
        <v>70</v>
      </c>
      <c r="D1" s="58" t="s">
        <v>71</v>
      </c>
      <c r="E1" s="54" t="s">
        <v>72</v>
      </c>
      <c r="F1" s="59"/>
      <c r="G1" s="59"/>
      <c r="H1" s="59"/>
      <c r="I1" s="59"/>
      <c r="J1" s="59"/>
      <c r="K1" s="59"/>
      <c r="L1" s="59"/>
    </row>
    <row r="2" spans="1:12" ht="14.1" customHeight="1" thickBot="1">
      <c r="A2" s="61">
        <v>46226</v>
      </c>
      <c r="B2" s="60"/>
      <c r="D2" s="63" t="s">
        <v>484</v>
      </c>
      <c r="F2" s="60"/>
      <c r="G2" s="64"/>
      <c r="H2" s="60"/>
      <c r="I2" s="60"/>
      <c r="J2" s="60"/>
      <c r="K2" s="60"/>
      <c r="L2" s="60"/>
    </row>
    <row r="3" spans="1:12" s="60" customFormat="1" ht="14.1" customHeight="1" thickBot="1">
      <c r="A3" s="62"/>
      <c r="D3" s="65" t="s">
        <v>74</v>
      </c>
    </row>
    <row r="4" spans="1:12" ht="14.1" customHeight="1">
      <c r="A4" s="305" t="s">
        <v>75</v>
      </c>
      <c r="B4" s="305" t="s">
        <v>76</v>
      </c>
      <c r="C4" s="305" t="s">
        <v>77</v>
      </c>
      <c r="D4" s="305" t="s">
        <v>78</v>
      </c>
      <c r="E4" s="305" t="s">
        <v>79</v>
      </c>
      <c r="F4" s="305" t="s">
        <v>80</v>
      </c>
      <c r="G4" s="64"/>
      <c r="H4" s="66" t="s">
        <v>81</v>
      </c>
    </row>
    <row r="5" spans="1:12" ht="14.1" customHeight="1">
      <c r="A5" s="118" t="s">
        <v>1739</v>
      </c>
      <c r="B5" s="118" t="s">
        <v>1740</v>
      </c>
      <c r="C5" s="118" t="s">
        <v>1741</v>
      </c>
      <c r="D5" s="118" t="s">
        <v>1742</v>
      </c>
      <c r="E5" s="118" t="s">
        <v>1743</v>
      </c>
      <c r="F5" s="118" t="s">
        <v>1744</v>
      </c>
      <c r="G5" s="64"/>
    </row>
    <row r="6" spans="1:12" ht="14.1" customHeight="1">
      <c r="A6" s="67" t="s">
        <v>1745</v>
      </c>
      <c r="B6" s="67" t="s">
        <v>1746</v>
      </c>
      <c r="C6" s="67" t="s">
        <v>1747</v>
      </c>
      <c r="D6" s="67" t="s">
        <v>1748</v>
      </c>
      <c r="E6" s="67" t="s">
        <v>1749</v>
      </c>
      <c r="F6" s="67" t="s">
        <v>1750</v>
      </c>
      <c r="G6" s="64"/>
    </row>
    <row r="7" spans="1:12" ht="14.1" customHeight="1">
      <c r="A7" s="67" t="s">
        <v>1751</v>
      </c>
      <c r="B7" s="67" t="s">
        <v>1752</v>
      </c>
      <c r="C7" s="67" t="s">
        <v>1753</v>
      </c>
      <c r="D7" s="67" t="s">
        <v>1754</v>
      </c>
      <c r="E7" s="67" t="s">
        <v>1755</v>
      </c>
      <c r="F7" s="67" t="s">
        <v>1756</v>
      </c>
      <c r="G7" s="64"/>
    </row>
    <row r="8" spans="1:12" ht="14.1" customHeight="1">
      <c r="A8" s="67" t="s">
        <v>1757</v>
      </c>
      <c r="B8" s="67" t="s">
        <v>1758</v>
      </c>
      <c r="C8" s="67" t="s">
        <v>1759</v>
      </c>
      <c r="D8" s="67" t="s">
        <v>1760</v>
      </c>
      <c r="E8" s="67" t="s">
        <v>1761</v>
      </c>
      <c r="F8" s="67" t="s">
        <v>1762</v>
      </c>
      <c r="G8" s="64"/>
    </row>
    <row r="9" spans="1:12" ht="14.1" customHeight="1">
      <c r="A9" s="60"/>
      <c r="B9" s="60"/>
      <c r="C9" s="60"/>
      <c r="D9" s="60"/>
      <c r="E9" s="60"/>
      <c r="F9" s="60"/>
      <c r="G9" s="64"/>
    </row>
    <row r="10" spans="1:12" ht="14.1" customHeight="1">
      <c r="A10" s="305" t="s">
        <v>100</v>
      </c>
      <c r="B10" s="305" t="s">
        <v>101</v>
      </c>
      <c r="C10" s="305" t="s">
        <v>102</v>
      </c>
      <c r="D10" s="305" t="s">
        <v>103</v>
      </c>
      <c r="E10" s="305" t="s">
        <v>104</v>
      </c>
      <c r="F10" s="305" t="s">
        <v>105</v>
      </c>
      <c r="G10" s="64"/>
      <c r="J10" s="60"/>
    </row>
    <row r="11" spans="1:12" ht="14.1" customHeight="1">
      <c r="A11" s="67" t="s">
        <v>1763</v>
      </c>
      <c r="B11" s="67" t="s">
        <v>1764</v>
      </c>
      <c r="C11" s="67" t="s">
        <v>1765</v>
      </c>
      <c r="D11" s="67" t="s">
        <v>1766</v>
      </c>
      <c r="E11" s="67" t="s">
        <v>1767</v>
      </c>
      <c r="F11" s="67" t="s">
        <v>1768</v>
      </c>
      <c r="G11" s="64"/>
      <c r="J11" s="60"/>
    </row>
    <row r="12" spans="1:12" ht="14.1" customHeight="1">
      <c r="A12" s="67" t="s">
        <v>1769</v>
      </c>
      <c r="B12" s="67" t="s">
        <v>1770</v>
      </c>
      <c r="C12" s="67" t="s">
        <v>1771</v>
      </c>
      <c r="D12" s="67" t="s">
        <v>1772</v>
      </c>
      <c r="E12" s="67" t="s">
        <v>1773</v>
      </c>
      <c r="F12" s="67" t="s">
        <v>1774</v>
      </c>
      <c r="G12" s="64"/>
      <c r="J12" s="60"/>
    </row>
    <row r="13" spans="1:12" ht="14.1" customHeight="1">
      <c r="A13" s="67" t="s">
        <v>1775</v>
      </c>
      <c r="B13" s="67" t="s">
        <v>1776</v>
      </c>
      <c r="C13" s="67" t="s">
        <v>1777</v>
      </c>
      <c r="D13" s="67" t="s">
        <v>1778</v>
      </c>
      <c r="E13" s="67" t="s">
        <v>1779</v>
      </c>
      <c r="F13" s="67" t="s">
        <v>1780</v>
      </c>
      <c r="G13" s="64"/>
      <c r="J13" s="60"/>
    </row>
    <row r="14" spans="1:12" ht="14.1" customHeight="1">
      <c r="A14" s="67" t="s">
        <v>1781</v>
      </c>
      <c r="B14" s="67" t="s">
        <v>1782</v>
      </c>
      <c r="C14" s="67" t="s">
        <v>1783</v>
      </c>
      <c r="D14" s="67" t="s">
        <v>1784</v>
      </c>
      <c r="E14" s="67" t="s">
        <v>1785</v>
      </c>
      <c r="F14" s="67" t="s">
        <v>1786</v>
      </c>
      <c r="G14" s="64"/>
      <c r="J14" s="60"/>
    </row>
    <row r="15" spans="1:12" ht="14.1" customHeight="1" thickBot="1">
      <c r="G15" s="62"/>
      <c r="L15" s="62" t="s">
        <v>1787</v>
      </c>
    </row>
    <row r="16" spans="1:12" ht="14.1" customHeight="1" thickBot="1">
      <c r="B16" s="60"/>
      <c r="C16" s="60"/>
      <c r="D16" s="68" t="str">
        <f>'CHICLETS MASTER S2'!$AF$3</f>
        <v>YORBA LINDA HS</v>
      </c>
      <c r="E16" s="60"/>
      <c r="F16" s="60"/>
      <c r="G16" s="64"/>
      <c r="H16" s="60"/>
      <c r="I16" s="60"/>
      <c r="J16" s="60"/>
      <c r="K16" s="60"/>
      <c r="L16" s="60"/>
    </row>
    <row r="17" spans="1:12" ht="14.1" customHeight="1">
      <c r="A17" s="306" t="s">
        <v>124</v>
      </c>
      <c r="B17" s="306" t="s">
        <v>125</v>
      </c>
      <c r="C17" s="306" t="s">
        <v>126</v>
      </c>
      <c r="D17" s="306" t="s">
        <v>127</v>
      </c>
      <c r="E17" s="306" t="s">
        <v>128</v>
      </c>
      <c r="F17" s="306" t="s">
        <v>129</v>
      </c>
      <c r="G17" s="306" t="s">
        <v>130</v>
      </c>
      <c r="H17" s="306" t="s">
        <v>131</v>
      </c>
      <c r="I17" s="306" t="s">
        <v>130</v>
      </c>
      <c r="J17" s="306" t="s">
        <v>132</v>
      </c>
      <c r="K17" s="306" t="s">
        <v>133</v>
      </c>
      <c r="L17" s="306" t="s">
        <v>134</v>
      </c>
    </row>
    <row r="18" spans="1:12" ht="14.1" customHeight="1">
      <c r="A18" s="69">
        <f t="shared" ref="A18:A37" si="0">$A$2</f>
        <v>46226</v>
      </c>
      <c r="B18" s="70">
        <f>'CHICLETS MASTER S2'!X4</f>
        <v>0.29166666666666669</v>
      </c>
      <c r="C18" s="71" t="s">
        <v>218</v>
      </c>
      <c r="D18" s="119" t="str">
        <f t="shared" ref="D18:D21" si="1">$D$16</f>
        <v>YORBA LINDA HS</v>
      </c>
      <c r="E18" s="71">
        <v>1</v>
      </c>
      <c r="F18" s="71" t="str">
        <f>C5</f>
        <v>3-CARMEL</v>
      </c>
      <c r="G18" s="73">
        <v>9</v>
      </c>
      <c r="H18" s="71" t="str">
        <f>C8</f>
        <v>46-SANTA CRUZ B</v>
      </c>
      <c r="I18" s="71">
        <v>7</v>
      </c>
      <c r="J18" s="71">
        <v>25</v>
      </c>
      <c r="K18" s="71">
        <v>29</v>
      </c>
      <c r="L18" s="71" t="str">
        <f t="shared" ref="L18:L37" si="2">IF(E18="","",$L$15&amp;"-"&amp;TEXT(E18,"000"))</f>
        <v>16BQ-001</v>
      </c>
    </row>
    <row r="19" spans="1:12" ht="14.1" customHeight="1">
      <c r="A19" s="69">
        <f t="shared" si="0"/>
        <v>46226</v>
      </c>
      <c r="B19" s="70">
        <f>'CHICLETS MASTER S2'!X5</f>
        <v>0.3263888888888889</v>
      </c>
      <c r="C19" s="71" t="s">
        <v>218</v>
      </c>
      <c r="D19" s="119" t="str">
        <f t="shared" si="1"/>
        <v>YORBA LINDA HS</v>
      </c>
      <c r="E19" s="71">
        <v>5</v>
      </c>
      <c r="F19" s="71" t="str">
        <f>C6</f>
        <v>22-DAVIS</v>
      </c>
      <c r="G19" s="73">
        <v>12</v>
      </c>
      <c r="H19" s="71" t="str">
        <f>C7</f>
        <v>27-ECA B</v>
      </c>
      <c r="I19" s="73">
        <v>5</v>
      </c>
      <c r="J19" s="71">
        <v>25</v>
      </c>
      <c r="K19" s="71">
        <v>29</v>
      </c>
      <c r="L19" s="71" t="str">
        <f t="shared" si="2"/>
        <v>16BQ-005</v>
      </c>
    </row>
    <row r="20" spans="1:12" ht="14.1" customHeight="1">
      <c r="A20" s="69">
        <f t="shared" si="0"/>
        <v>46226</v>
      </c>
      <c r="B20" s="70">
        <f>'CHICLETS MASTER S2'!X6</f>
        <v>0.36111111111111099</v>
      </c>
      <c r="C20" s="71" t="s">
        <v>218</v>
      </c>
      <c r="D20" s="119" t="str">
        <f t="shared" si="1"/>
        <v>YORBA LINDA HS</v>
      </c>
      <c r="E20" s="71">
        <v>9</v>
      </c>
      <c r="F20" s="71" t="str">
        <f>A5</f>
        <v>1-SOUTH COAST WHITE</v>
      </c>
      <c r="G20" s="73">
        <v>12</v>
      </c>
      <c r="H20" s="71" t="str">
        <f>A8</f>
        <v>48-BREA OLINDA</v>
      </c>
      <c r="I20" s="71">
        <v>5</v>
      </c>
      <c r="J20" s="71">
        <v>33</v>
      </c>
      <c r="K20" s="71">
        <v>37</v>
      </c>
      <c r="L20" s="71" t="str">
        <f t="shared" si="2"/>
        <v>16BQ-009</v>
      </c>
    </row>
    <row r="21" spans="1:12" ht="14.1" customHeight="1">
      <c r="A21" s="69">
        <f t="shared" si="0"/>
        <v>46226</v>
      </c>
      <c r="B21" s="70">
        <f>'CHICLETS MASTER S2'!X7</f>
        <v>0.39583333333333398</v>
      </c>
      <c r="C21" s="71" t="s">
        <v>218</v>
      </c>
      <c r="D21" s="119" t="str">
        <f t="shared" si="1"/>
        <v>YORBA LINDA HS</v>
      </c>
      <c r="E21" s="71">
        <v>13</v>
      </c>
      <c r="F21" s="71" t="str">
        <f>A6</f>
        <v>24-CCU WHITE</v>
      </c>
      <c r="G21" s="73">
        <v>8</v>
      </c>
      <c r="H21" s="71" t="str">
        <f>A7</f>
        <v>25-SANTA BARBARA WPC B</v>
      </c>
      <c r="I21" s="71">
        <v>12</v>
      </c>
      <c r="J21" s="71">
        <v>33</v>
      </c>
      <c r="K21" s="71">
        <v>37</v>
      </c>
      <c r="L21" s="71" t="str">
        <f t="shared" si="2"/>
        <v>16BQ-013</v>
      </c>
    </row>
    <row r="22" spans="1:12" ht="14.1" customHeight="1" thickBot="1">
      <c r="A22" s="78"/>
      <c r="B22" s="79"/>
      <c r="C22" s="60"/>
      <c r="D22" s="60"/>
      <c r="E22" s="60"/>
      <c r="I22" s="60"/>
      <c r="J22" s="60"/>
      <c r="K22" s="60"/>
      <c r="L22" s="60"/>
    </row>
    <row r="23" spans="1:12" ht="14.1" customHeight="1" thickBot="1">
      <c r="B23" s="79"/>
      <c r="C23" s="60"/>
      <c r="D23" s="68" t="str">
        <f>'CHICLETS MASTER S2'!$AD$3</f>
        <v>NEWPORT HARBOR HS</v>
      </c>
      <c r="E23" s="60"/>
      <c r="I23" s="60"/>
      <c r="J23" s="60"/>
      <c r="K23" s="60"/>
      <c r="L23" s="60"/>
    </row>
    <row r="24" spans="1:12" ht="14.1" customHeight="1">
      <c r="A24" s="306" t="s">
        <v>124</v>
      </c>
      <c r="B24" s="306" t="s">
        <v>125</v>
      </c>
      <c r="C24" s="306" t="s">
        <v>126</v>
      </c>
      <c r="D24" s="306" t="s">
        <v>127</v>
      </c>
      <c r="E24" s="306" t="s">
        <v>128</v>
      </c>
      <c r="F24" s="306" t="s">
        <v>129</v>
      </c>
      <c r="G24" s="306" t="s">
        <v>130</v>
      </c>
      <c r="H24" s="306" t="s">
        <v>131</v>
      </c>
      <c r="I24" s="306" t="s">
        <v>130</v>
      </c>
      <c r="J24" s="306" t="s">
        <v>132</v>
      </c>
      <c r="K24" s="306" t="s">
        <v>133</v>
      </c>
      <c r="L24" s="306" t="s">
        <v>134</v>
      </c>
    </row>
    <row r="25" spans="1:12" ht="14.1" customHeight="1">
      <c r="A25" s="69">
        <f t="shared" si="0"/>
        <v>46226</v>
      </c>
      <c r="B25" s="70">
        <f>'CHICLETS MASTER S2'!X16</f>
        <v>0.70833333333333404</v>
      </c>
      <c r="C25" s="71" t="s">
        <v>218</v>
      </c>
      <c r="D25" s="119" t="str">
        <f>$D$23</f>
        <v>NEWPORT HARBOR HS</v>
      </c>
      <c r="E25" s="71">
        <v>41</v>
      </c>
      <c r="F25" s="66" t="str">
        <f>IF(G31="","W17",IF(G31&gt;I31,_xlfn.CONCAT("W17-",RIGHT(F31,LEN(F31) - FIND("-",F31))), _xlfn.CONCAT("W17-",RIGHT(H31,LEN(H31) - FIND("-",H31)))))</f>
        <v>W17-NSD STARS</v>
      </c>
      <c r="G25" s="73">
        <v>14</v>
      </c>
      <c r="H25" s="66" t="str">
        <f>IF(G32="","W21",IF(G32&gt;I32,_xlfn.CONCAT("W21-",RIGHT(F32,LEN(F32) - FIND("-",F32))), _xlfn.CONCAT("W21-",RIGHT(H32,LEN(H32) - FIND("-",H32)))))</f>
        <v>W21-VNITED B</v>
      </c>
      <c r="I25" s="71">
        <v>4</v>
      </c>
      <c r="J25" s="71" t="s">
        <v>1788</v>
      </c>
      <c r="K25" s="71">
        <v>53</v>
      </c>
      <c r="L25" s="71" t="str">
        <f>IF(E25="","",$L$15&amp;"-"&amp;TEXT(E25,"000"))</f>
        <v>16BQ-041</v>
      </c>
    </row>
    <row r="26" spans="1:12" ht="14.1" customHeight="1">
      <c r="A26" s="78"/>
      <c r="B26" s="79"/>
      <c r="C26" s="60"/>
      <c r="D26" s="60"/>
      <c r="E26" s="60"/>
      <c r="I26" s="60"/>
      <c r="J26" s="60"/>
      <c r="K26" s="60"/>
      <c r="L26" s="60"/>
    </row>
    <row r="27" spans="1:12" ht="14.1" customHeight="1">
      <c r="A27" s="69">
        <f>$A$2</f>
        <v>46226</v>
      </c>
      <c r="B27" s="70">
        <f>'CHICLETS MASTER S2'!X20</f>
        <v>0.84722222222222199</v>
      </c>
      <c r="C27" s="71" t="s">
        <v>140</v>
      </c>
      <c r="D27" s="119" t="str">
        <f>$D$23</f>
        <v>NEWPORT HARBOR HS</v>
      </c>
      <c r="E27" s="71">
        <v>57</v>
      </c>
      <c r="F27" s="71" t="str">
        <f>IF(G35="","L33",IF(G35&lt;I35,_xlfn.CONCAT("L33-",RIGHT(F35,LEN(F35) - FIND("-",F35))), _xlfn.CONCAT("L33-",RIGHT(H35,LEN(H35) - FIND("-",H35)))))</f>
        <v>L33-SANTA BARBARA WPC B</v>
      </c>
      <c r="G27" s="81">
        <v>20</v>
      </c>
      <c r="H27" s="71" t="str">
        <f>IF(G37="","W45",IF(G37&gt;I37,_xlfn.CONCAT("W45-",RIGHT(F37,LEN(F37) - FIND("-",F37))), _xlfn.CONCAT("W45-",RIGHT(H37,LEN(H37) - FIND("-",H37)))))</f>
        <v>W45-PRAETORIAN WHITE</v>
      </c>
      <c r="I27" s="71">
        <v>13</v>
      </c>
      <c r="J27" s="71" t="s">
        <v>1591</v>
      </c>
      <c r="K27" s="71" t="s">
        <v>1592</v>
      </c>
      <c r="L27" s="71" t="str">
        <f>IF(E27="","",$L$15&amp;"-"&amp;TEXT(E27,"000"))</f>
        <v>16BQ-057</v>
      </c>
    </row>
    <row r="28" spans="1:12" ht="14.1" customHeight="1" thickBot="1">
      <c r="A28" s="78"/>
      <c r="B28" s="79"/>
      <c r="C28" s="60"/>
      <c r="D28" s="60"/>
      <c r="E28" s="60"/>
      <c r="I28" s="60"/>
      <c r="J28" s="60"/>
      <c r="K28" s="60"/>
      <c r="L28" s="60"/>
    </row>
    <row r="29" spans="1:12" ht="14.1" customHeight="1" thickBot="1">
      <c r="B29" s="79"/>
      <c r="C29" s="60"/>
      <c r="D29" s="68" t="str">
        <f>'CHICLETS MASTER S2'!$AE$3</f>
        <v>ORANGE COAST COLLEGE 1</v>
      </c>
      <c r="E29" s="60"/>
      <c r="I29" s="60"/>
      <c r="J29" s="60"/>
      <c r="K29" s="60"/>
      <c r="L29" s="60"/>
    </row>
    <row r="30" spans="1:12" ht="14.1" customHeight="1">
      <c r="A30" s="306" t="s">
        <v>124</v>
      </c>
      <c r="B30" s="306" t="s">
        <v>125</v>
      </c>
      <c r="C30" s="306" t="s">
        <v>126</v>
      </c>
      <c r="D30" s="306" t="s">
        <v>127</v>
      </c>
      <c r="E30" s="306" t="s">
        <v>128</v>
      </c>
      <c r="F30" s="306" t="s">
        <v>129</v>
      </c>
      <c r="G30" s="306" t="s">
        <v>130</v>
      </c>
      <c r="H30" s="306" t="s">
        <v>131</v>
      </c>
      <c r="I30" s="306" t="s">
        <v>130</v>
      </c>
      <c r="J30" s="306" t="s">
        <v>132</v>
      </c>
      <c r="K30" s="306" t="s">
        <v>133</v>
      </c>
      <c r="L30" s="306" t="s">
        <v>134</v>
      </c>
    </row>
    <row r="31" spans="1:12" ht="14.1" customHeight="1">
      <c r="A31" s="69">
        <f t="shared" si="0"/>
        <v>46226</v>
      </c>
      <c r="B31" s="162">
        <v>0.52083333333333337</v>
      </c>
      <c r="C31" s="71" t="s">
        <v>218</v>
      </c>
      <c r="D31" s="119" t="str">
        <f t="shared" ref="D31:D37" si="3">$D$29</f>
        <v>ORANGE COAST COLLEGE 1</v>
      </c>
      <c r="E31" s="71">
        <v>17</v>
      </c>
      <c r="F31" s="71" t="str">
        <f>B5</f>
        <v>2-NSD STARS</v>
      </c>
      <c r="G31" s="73">
        <v>23</v>
      </c>
      <c r="H31" s="71" t="str">
        <f>B8</f>
        <v>47-TRILOGY B</v>
      </c>
      <c r="I31" s="71">
        <v>7</v>
      </c>
      <c r="J31" s="71">
        <v>41</v>
      </c>
      <c r="K31" s="71">
        <v>45</v>
      </c>
      <c r="L31" s="71" t="str">
        <f t="shared" si="2"/>
        <v>16BQ-017</v>
      </c>
    </row>
    <row r="32" spans="1:12" ht="14.1" customHeight="1">
      <c r="A32" s="69">
        <f t="shared" si="0"/>
        <v>46226</v>
      </c>
      <c r="B32" s="162">
        <v>0.55555555555555558</v>
      </c>
      <c r="C32" s="71" t="s">
        <v>218</v>
      </c>
      <c r="D32" s="119" t="str">
        <f t="shared" si="3"/>
        <v>ORANGE COAST COLLEGE 1</v>
      </c>
      <c r="E32" s="71">
        <v>21</v>
      </c>
      <c r="F32" s="71" t="str">
        <f>B6</f>
        <v>23-VNITED B</v>
      </c>
      <c r="G32" s="73">
        <v>10</v>
      </c>
      <c r="H32" s="71" t="str">
        <f>B7</f>
        <v>26-PRAETORIAN WHITE</v>
      </c>
      <c r="I32" s="71">
        <v>8</v>
      </c>
      <c r="J32" s="71">
        <v>41</v>
      </c>
      <c r="K32" s="71">
        <v>45</v>
      </c>
      <c r="L32" s="71" t="str">
        <f t="shared" si="2"/>
        <v>16BQ-021</v>
      </c>
    </row>
    <row r="33" spans="1:12" ht="14.1" customHeight="1">
      <c r="A33" s="69">
        <f t="shared" si="0"/>
        <v>46226</v>
      </c>
      <c r="B33" s="162">
        <v>0.59027777777777801</v>
      </c>
      <c r="C33" s="71" t="s">
        <v>218</v>
      </c>
      <c r="D33" s="119" t="str">
        <f t="shared" si="3"/>
        <v>ORANGE COAST COLLEGE 1</v>
      </c>
      <c r="E33" s="71">
        <v>25</v>
      </c>
      <c r="F33" s="71" t="str">
        <f>IF(G18="","W1",IF(G18&gt;I18,_xlfn.CONCAT("W1-",RIGHT(F18,LEN(F18) - FIND("-",F18))), _xlfn.CONCAT("W1-",RIGHT(H18,LEN(H18) - FIND("-",H18)))))</f>
        <v>W1-CARMEL</v>
      </c>
      <c r="G33" s="81">
        <v>3</v>
      </c>
      <c r="H33" s="71" t="str">
        <f>IF(G19="","W5",IF(G19&gt;I19,_xlfn.CONCAT("W5-",RIGHT(F19,LEN(F19) - FIND("-",F19))), _xlfn.CONCAT("W5-",RIGHT(H19,LEN(H19) - FIND("-",H19)))))</f>
        <v>W5-DAVIS</v>
      </c>
      <c r="I33" s="71">
        <v>7</v>
      </c>
      <c r="J33" s="71" t="s">
        <v>1789</v>
      </c>
      <c r="K33" s="71">
        <v>50</v>
      </c>
      <c r="L33" s="71" t="str">
        <f t="shared" si="2"/>
        <v>16BQ-025</v>
      </c>
    </row>
    <row r="34" spans="1:12" ht="14.1" customHeight="1">
      <c r="A34" s="69">
        <f t="shared" si="0"/>
        <v>46226</v>
      </c>
      <c r="B34" s="162">
        <v>0.625</v>
      </c>
      <c r="C34" s="71" t="s">
        <v>218</v>
      </c>
      <c r="D34" s="119" t="str">
        <f t="shared" si="3"/>
        <v>ORANGE COAST COLLEGE 1</v>
      </c>
      <c r="E34" s="71">
        <v>29</v>
      </c>
      <c r="F34" s="71" t="str">
        <f>IF(G18="","L1",IF(G18&lt;I18,_xlfn.CONCAT("L1-",RIGHT(F18,LEN(F18) - FIND("-",F18))), _xlfn.CONCAT("L1-",RIGHT(H18,LEN(H18) - FIND("-",H18)))))</f>
        <v>L1-SANTA CRUZ B</v>
      </c>
      <c r="G34" s="81">
        <v>12</v>
      </c>
      <c r="H34" s="71" t="str">
        <f>IF(G19="","L5",IF(G19&lt;I19,_xlfn.CONCAT("L5-",RIGHT(F19,LEN(F19) - FIND("-",F19))), _xlfn.CONCAT("L5-",RIGHT(H19,LEN(H19) - FIND("-",H19)))))</f>
        <v>L5-ECA B</v>
      </c>
      <c r="I34" s="71">
        <v>7</v>
      </c>
      <c r="J34" s="71">
        <v>49</v>
      </c>
      <c r="K34" s="71" t="s">
        <v>1790</v>
      </c>
      <c r="L34" s="71" t="str">
        <f t="shared" si="2"/>
        <v>16BQ-029</v>
      </c>
    </row>
    <row r="35" spans="1:12" ht="14.1" customHeight="1">
      <c r="A35" s="69">
        <f t="shared" si="0"/>
        <v>46226</v>
      </c>
      <c r="B35" s="162">
        <v>0.65972222222222199</v>
      </c>
      <c r="C35" s="71" t="s">
        <v>218</v>
      </c>
      <c r="D35" s="119" t="str">
        <f t="shared" si="3"/>
        <v>ORANGE COAST COLLEGE 1</v>
      </c>
      <c r="E35" s="71">
        <v>33</v>
      </c>
      <c r="F35" s="71" t="str">
        <f>IF(G20="","W9",IF(G20&gt;I20,_xlfn.CONCAT("W9-",RIGHT(F20,LEN(F20) - FIND("-",F20))), _xlfn.CONCAT("W9-",RIGHT(H20,LEN(H20) - FIND("-",H20)))))</f>
        <v>W9-SOUTH COAST WHITE</v>
      </c>
      <c r="G35" s="81">
        <v>11</v>
      </c>
      <c r="H35" s="71" t="str">
        <f>IF(G21="","W13",IF(G21&gt;I21,_xlfn.CONCAT("W13-",RIGHT(F21,LEN(F21) - FIND("-",F21))), _xlfn.CONCAT("W13-",RIGHT(H21,LEN(H21) - FIND("-",H21)))))</f>
        <v>W13-SANTA BARBARA WPC B</v>
      </c>
      <c r="I35" s="71">
        <v>8</v>
      </c>
      <c r="J35" s="71" t="s">
        <v>1791</v>
      </c>
      <c r="K35" s="71">
        <v>57</v>
      </c>
      <c r="L35" s="71" t="str">
        <f t="shared" si="2"/>
        <v>16BQ-033</v>
      </c>
    </row>
    <row r="36" spans="1:12" ht="14.1" customHeight="1">
      <c r="A36" s="69">
        <f t="shared" si="0"/>
        <v>46226</v>
      </c>
      <c r="B36" s="162">
        <v>0.69444444444444398</v>
      </c>
      <c r="C36" s="71" t="s">
        <v>218</v>
      </c>
      <c r="D36" s="119" t="str">
        <f t="shared" si="3"/>
        <v>ORANGE COAST COLLEGE 1</v>
      </c>
      <c r="E36" s="71">
        <v>37</v>
      </c>
      <c r="F36" s="71" t="str">
        <f>IF(G20="","L9",IF(G20&lt;I20,_xlfn.CONCAT("L9-",RIGHT(F20,LEN(F20) - FIND("-",F20))), _xlfn.CONCAT("L9-",RIGHT(H20,LEN(H20) - FIND("-",H20)))))</f>
        <v>L9-BREA OLINDA</v>
      </c>
      <c r="G36" s="81">
        <v>7</v>
      </c>
      <c r="H36" s="71" t="str">
        <f>IF(G21="","L13",IF(G21&lt;I21,_xlfn.CONCAT("L13-",RIGHT(F21,LEN(F21) - FIND("-",F21))), _xlfn.CONCAT("L13-",RIGHT(H21,LEN(H21) - FIND("-",H21)))))</f>
        <v>L13-CCU WHITE</v>
      </c>
      <c r="I36" s="71">
        <v>8</v>
      </c>
      <c r="J36" s="71">
        <v>53</v>
      </c>
      <c r="K36" s="71" t="s">
        <v>1792</v>
      </c>
      <c r="L36" s="71" t="str">
        <f t="shared" si="2"/>
        <v>16BQ-037</v>
      </c>
    </row>
    <row r="37" spans="1:12" ht="14.1" customHeight="1">
      <c r="A37" s="69">
        <f t="shared" si="0"/>
        <v>46226</v>
      </c>
      <c r="B37" s="162">
        <v>0.72916666666666596</v>
      </c>
      <c r="C37" s="71" t="s">
        <v>218</v>
      </c>
      <c r="D37" s="119" t="str">
        <f t="shared" si="3"/>
        <v>ORANGE COAST COLLEGE 1</v>
      </c>
      <c r="E37" s="71">
        <v>45</v>
      </c>
      <c r="F37" s="71" t="str">
        <f>IF(G31="","L17",IF(G31&lt;I31,_xlfn.CONCAT("L17-",RIGHT(F31,LEN(F31) - FIND("-",F31))), _xlfn.CONCAT("L17-",RIGHT(H31,LEN(H31) - FIND("-",H31)))))</f>
        <v>L17-TRILOGY B</v>
      </c>
      <c r="G37" s="73">
        <v>7</v>
      </c>
      <c r="H37" s="71" t="str">
        <f>IF(G32="","L21",IF(G32&lt;I32,_xlfn.CONCAT("L21-",RIGHT(F32,LEN(F32) - FIND("-",F32))), _xlfn.CONCAT("L21-",RIGHT(H32,LEN(H32) - FIND("-",H32)))))</f>
        <v>L21-PRAETORIAN WHITE</v>
      </c>
      <c r="I37" s="71">
        <v>11</v>
      </c>
      <c r="J37" s="71">
        <v>57</v>
      </c>
      <c r="K37" s="71" t="s">
        <v>1793</v>
      </c>
      <c r="L37" s="71" t="str">
        <f t="shared" si="2"/>
        <v>16BQ-045</v>
      </c>
    </row>
    <row r="38" spans="1:12" ht="14.25" customHeight="1">
      <c r="A38" s="75"/>
      <c r="B38" s="60" t="s">
        <v>139</v>
      </c>
      <c r="C38" s="60"/>
      <c r="D38" s="60"/>
      <c r="E38" s="60"/>
      <c r="F38" s="60"/>
      <c r="G38" s="64"/>
      <c r="H38" s="60"/>
      <c r="I38" s="60"/>
      <c r="J38" s="60"/>
      <c r="K38" s="60"/>
      <c r="L38" s="60"/>
    </row>
    <row r="39" spans="1:12" ht="14.1" customHeight="1">
      <c r="A39" s="75"/>
      <c r="B39" s="60" t="s">
        <v>139</v>
      </c>
      <c r="C39" s="60"/>
      <c r="D39" s="60"/>
      <c r="E39" s="60"/>
      <c r="F39" s="60"/>
      <c r="G39" s="64"/>
      <c r="H39" s="60"/>
      <c r="I39" s="60"/>
      <c r="J39" s="60"/>
      <c r="K39" s="60"/>
      <c r="L39" s="60"/>
    </row>
    <row r="40" spans="1:12" ht="14.1" customHeight="1">
      <c r="A40" s="69">
        <f>$A$2</f>
        <v>46226</v>
      </c>
      <c r="B40" s="162">
        <v>0.80555555555555558</v>
      </c>
      <c r="C40" s="71" t="s">
        <v>140</v>
      </c>
      <c r="D40" s="119" t="str">
        <f>$D$29</f>
        <v>ORANGE COAST COLLEGE 1</v>
      </c>
      <c r="E40" s="71">
        <v>49</v>
      </c>
      <c r="F40" s="66" t="str">
        <f>IF(G51="","L26",IF(G51&lt;I51,_xlfn.CONCAT("L26-",RIGHT(F51,LEN(F51) - FIND("-",F51))), _xlfn.CONCAT("L26-",RIGHT(H51,LEN(H51) - FIND("-",H51)))))</f>
        <v>L26-PRINCETON</v>
      </c>
      <c r="G40" s="81">
        <v>11.4</v>
      </c>
      <c r="H40" s="71" t="str">
        <f>IF(G34="","W29",IF(G34&gt;I34,_xlfn.CONCAT("W29-",RIGHT(F34,LEN(F34) - FIND("-",F34))), _xlfn.CONCAT("W29-",RIGHT(H34,LEN(H34) - FIND("-",H34)))))</f>
        <v>W29-SANTA CRUZ B</v>
      </c>
      <c r="I40" s="71">
        <v>11.2</v>
      </c>
      <c r="J40" s="71" t="s">
        <v>1603</v>
      </c>
      <c r="K40" s="71" t="s">
        <v>1604</v>
      </c>
      <c r="L40" s="71" t="str">
        <f>IF(E40="","",$L$15&amp;"-"&amp;TEXT(E40,"000"))</f>
        <v>16BQ-049</v>
      </c>
    </row>
    <row r="41" spans="1:12" ht="14.1" customHeight="1">
      <c r="A41" s="69">
        <f>$A$2</f>
        <v>46226</v>
      </c>
      <c r="B41" s="162">
        <v>0.84027777777777779</v>
      </c>
      <c r="C41" s="71" t="s">
        <v>140</v>
      </c>
      <c r="D41" s="119" t="str">
        <f>$D$29</f>
        <v>ORANGE COAST COLLEGE 1</v>
      </c>
      <c r="E41" s="71">
        <v>53</v>
      </c>
      <c r="F41" s="71" t="str">
        <f>IF(G25="","L41",IF(G25&lt;I25,_xlfn.CONCAT("L41-",RIGHT(F25,LEN(F25) - FIND("-",F25))), _xlfn.CONCAT("L41-",RIGHT(H25,LEN(H25) - FIND("-",H25)))))</f>
        <v>L41-VNITED B</v>
      </c>
      <c r="G41" s="81">
        <v>9</v>
      </c>
      <c r="H41" s="71" t="str">
        <f>IF(G36="","W37",IF(G36&gt;I36,_xlfn.CONCAT("W37-",RIGHT(F36,LEN(F36) - FIND("-",F36))), _xlfn.CONCAT("W37-",RIGHT(H36,LEN(H36) - FIND("-",H36)))))</f>
        <v>W37-CCU WHITE</v>
      </c>
      <c r="I41" s="71">
        <v>8</v>
      </c>
      <c r="J41" s="71" t="s">
        <v>1595</v>
      </c>
      <c r="K41" s="71" t="s">
        <v>1596</v>
      </c>
      <c r="L41" s="71" t="str">
        <f>IF(E41="","",$L$15&amp;"-"&amp;TEXT(E41,"000"))</f>
        <v>16BQ-053</v>
      </c>
    </row>
    <row r="42" spans="1:12" ht="14.1" customHeight="1" thickBot="1">
      <c r="A42" s="78"/>
      <c r="B42" s="79"/>
      <c r="C42" s="60"/>
      <c r="D42" s="60"/>
      <c r="E42" s="60"/>
      <c r="I42" s="60"/>
      <c r="J42" s="60"/>
      <c r="K42" s="60"/>
      <c r="L42" s="60"/>
    </row>
    <row r="43" spans="1:12" ht="14.1" customHeight="1" thickBot="1">
      <c r="B43" s="79"/>
      <c r="C43" s="60"/>
      <c r="D43" s="68" t="str">
        <f>'CHICLETS MASTER S2'!$AK$3</f>
        <v>CAPISTRANO VALLEY HS 1</v>
      </c>
      <c r="E43" s="60"/>
      <c r="I43" s="60"/>
      <c r="J43" s="60"/>
      <c r="K43" s="60"/>
      <c r="L43" s="60"/>
    </row>
    <row r="44" spans="1:12" ht="14.1" customHeight="1">
      <c r="A44" s="306" t="s">
        <v>124</v>
      </c>
      <c r="B44" s="306" t="s">
        <v>125</v>
      </c>
      <c r="C44" s="306" t="s">
        <v>126</v>
      </c>
      <c r="D44" s="306" t="s">
        <v>127</v>
      </c>
      <c r="E44" s="306" t="s">
        <v>128</v>
      </c>
      <c r="F44" s="306" t="s">
        <v>129</v>
      </c>
      <c r="G44" s="306" t="s">
        <v>130</v>
      </c>
      <c r="H44" s="306" t="s">
        <v>131</v>
      </c>
      <c r="I44" s="306" t="s">
        <v>130</v>
      </c>
      <c r="J44" s="306" t="s">
        <v>132</v>
      </c>
      <c r="K44" s="306" t="s">
        <v>133</v>
      </c>
      <c r="L44" s="306" t="s">
        <v>134</v>
      </c>
    </row>
    <row r="45" spans="1:12" ht="14.1" customHeight="1">
      <c r="A45" s="69">
        <f t="shared" ref="A45:A56" si="4">$A$2</f>
        <v>46226</v>
      </c>
      <c r="B45" s="70">
        <f>'CHICLETS MASTER S2'!X4</f>
        <v>0.29166666666666669</v>
      </c>
      <c r="C45" s="71" t="s">
        <v>218</v>
      </c>
      <c r="D45" s="119" t="str">
        <f t="shared" ref="D45:D56" si="5">$D$43</f>
        <v>CAPISTRANO VALLEY HS 1</v>
      </c>
      <c r="E45" s="71">
        <v>2</v>
      </c>
      <c r="F45" s="71" t="str">
        <f>D5</f>
        <v>4-SUPREME</v>
      </c>
      <c r="G45" s="73">
        <v>11</v>
      </c>
      <c r="H45" s="71" t="str">
        <f>D8</f>
        <v>45-LOKAHI</v>
      </c>
      <c r="I45" s="71">
        <v>5</v>
      </c>
      <c r="J45" s="71">
        <v>26</v>
      </c>
      <c r="K45" s="71">
        <v>30</v>
      </c>
      <c r="L45" s="71" t="str">
        <f t="shared" ref="L45:L56" si="6">IF(E45="","",$L$15&amp;"-"&amp;TEXT(E45,"000"))</f>
        <v>16BQ-002</v>
      </c>
    </row>
    <row r="46" spans="1:12" ht="14.1" customHeight="1">
      <c r="A46" s="69">
        <f t="shared" si="4"/>
        <v>46226</v>
      </c>
      <c r="B46" s="70">
        <f>'CHICLETS MASTER S2'!X5</f>
        <v>0.3263888888888889</v>
      </c>
      <c r="C46" s="71" t="s">
        <v>218</v>
      </c>
      <c r="D46" s="119" t="str">
        <f t="shared" si="5"/>
        <v>CAPISTRANO VALLEY HS 1</v>
      </c>
      <c r="E46" s="71">
        <v>6</v>
      </c>
      <c r="F46" s="71" t="str">
        <f>D6</f>
        <v>21-PRINCETON</v>
      </c>
      <c r="G46" s="73">
        <v>10</v>
      </c>
      <c r="H46" s="71" t="str">
        <f>D7</f>
        <v>28-SAN JOSE EXPRESS GOLD</v>
      </c>
      <c r="I46" s="71">
        <v>2</v>
      </c>
      <c r="J46" s="71">
        <v>26</v>
      </c>
      <c r="K46" s="71">
        <v>30</v>
      </c>
      <c r="L46" s="71" t="str">
        <f t="shared" si="6"/>
        <v>16BQ-006</v>
      </c>
    </row>
    <row r="47" spans="1:12" ht="14.1" customHeight="1">
      <c r="A47" s="69">
        <f t="shared" si="4"/>
        <v>46226</v>
      </c>
      <c r="B47" s="70">
        <f>'CHICLETS MASTER S2'!X6</f>
        <v>0.36111111111111099</v>
      </c>
      <c r="C47" s="71" t="s">
        <v>218</v>
      </c>
      <c r="D47" s="119" t="str">
        <f t="shared" si="5"/>
        <v>CAPISTRANO VALLEY HS 1</v>
      </c>
      <c r="E47" s="71">
        <v>10</v>
      </c>
      <c r="F47" s="71" t="str">
        <f>E5</f>
        <v>5-TRILOGY</v>
      </c>
      <c r="G47" s="73">
        <v>11</v>
      </c>
      <c r="H47" s="71" t="str">
        <f>E8</f>
        <v>44-INNIS ARDEN</v>
      </c>
      <c r="I47" s="71">
        <v>7</v>
      </c>
      <c r="J47" s="71">
        <v>34</v>
      </c>
      <c r="K47" s="71">
        <v>38</v>
      </c>
      <c r="L47" s="71" t="str">
        <f t="shared" si="6"/>
        <v>16BQ-010</v>
      </c>
    </row>
    <row r="48" spans="1:12" ht="14.1" customHeight="1">
      <c r="A48" s="69">
        <f t="shared" si="4"/>
        <v>46226</v>
      </c>
      <c r="B48" s="70">
        <f>'CHICLETS MASTER S2'!X7</f>
        <v>0.39583333333333398</v>
      </c>
      <c r="C48" s="71" t="s">
        <v>218</v>
      </c>
      <c r="D48" s="119" t="str">
        <f t="shared" si="5"/>
        <v>CAPISTRANO VALLEY HS 1</v>
      </c>
      <c r="E48" s="71">
        <v>14</v>
      </c>
      <c r="F48" s="71" t="str">
        <f>E6</f>
        <v>20-NAVY</v>
      </c>
      <c r="G48" s="73">
        <v>9</v>
      </c>
      <c r="H48" s="71" t="str">
        <f>E7</f>
        <v>29-ELITE</v>
      </c>
      <c r="I48" s="71">
        <v>8</v>
      </c>
      <c r="J48" s="71">
        <v>34</v>
      </c>
      <c r="K48" s="71">
        <v>38</v>
      </c>
      <c r="L48" s="71" t="str">
        <f t="shared" si="6"/>
        <v>16BQ-014</v>
      </c>
    </row>
    <row r="49" spans="1:12" ht="14.1" customHeight="1">
      <c r="A49" s="69">
        <f t="shared" si="4"/>
        <v>46226</v>
      </c>
      <c r="B49" s="70">
        <f>'CHICLETS MASTER S2'!X8</f>
        <v>0.43055555555555602</v>
      </c>
      <c r="C49" s="71" t="s">
        <v>218</v>
      </c>
      <c r="D49" s="119" t="str">
        <f t="shared" si="5"/>
        <v>CAPISTRANO VALLEY HS 1</v>
      </c>
      <c r="E49" s="71">
        <v>18</v>
      </c>
      <c r="F49" s="71" t="str">
        <f>F5</f>
        <v>6-SAN JOSE FOUNDATION B</v>
      </c>
      <c r="G49" s="73">
        <v>15</v>
      </c>
      <c r="H49" s="71" t="str">
        <f>F8</f>
        <v>43-SOVA</v>
      </c>
      <c r="I49" s="71">
        <v>7</v>
      </c>
      <c r="J49" s="71">
        <v>42</v>
      </c>
      <c r="K49" s="71">
        <v>46</v>
      </c>
      <c r="L49" s="71" t="str">
        <f t="shared" si="6"/>
        <v>16BQ-018</v>
      </c>
    </row>
    <row r="50" spans="1:12" ht="14.1" customHeight="1">
      <c r="A50" s="69">
        <f t="shared" si="4"/>
        <v>46226</v>
      </c>
      <c r="B50" s="70">
        <f>'CHICLETS MASTER S2'!X9</f>
        <v>0.46527777777777801</v>
      </c>
      <c r="C50" s="71" t="s">
        <v>218</v>
      </c>
      <c r="D50" s="119" t="str">
        <f t="shared" si="5"/>
        <v>CAPISTRANO VALLEY HS 1</v>
      </c>
      <c r="E50" s="71">
        <v>22</v>
      </c>
      <c r="F50" s="71" t="str">
        <f>F6</f>
        <v>19-680 BLUE</v>
      </c>
      <c r="G50" s="73">
        <v>12</v>
      </c>
      <c r="H50" s="71" t="str">
        <f>F7</f>
        <v>30-WCAC UNITED B</v>
      </c>
      <c r="I50" s="71">
        <v>2</v>
      </c>
      <c r="J50" s="71">
        <v>42</v>
      </c>
      <c r="K50" s="71">
        <v>46</v>
      </c>
      <c r="L50" s="71" t="str">
        <f t="shared" si="6"/>
        <v>16BQ-022</v>
      </c>
    </row>
    <row r="51" spans="1:12" ht="14.1" customHeight="1">
      <c r="A51" s="69">
        <f t="shared" si="4"/>
        <v>46226</v>
      </c>
      <c r="B51" s="70">
        <f>'CHICLETS MASTER S2'!X10</f>
        <v>0.5</v>
      </c>
      <c r="C51" s="71" t="s">
        <v>218</v>
      </c>
      <c r="D51" s="119" t="str">
        <f t="shared" si="5"/>
        <v>CAPISTRANO VALLEY HS 1</v>
      </c>
      <c r="E51" s="71">
        <v>26</v>
      </c>
      <c r="F51" s="71" t="str">
        <f>IF(G45="","W2",IF(G45&gt;I45,_xlfn.CONCAT("W2-",RIGHT(F45,LEN(F45) - FIND("-",F45))), _xlfn.CONCAT("W2-",RIGHT(H45,LEN(H45) - FIND("-",H45)))))</f>
        <v>W2-SUPREME</v>
      </c>
      <c r="G51" s="81">
        <v>12</v>
      </c>
      <c r="H51" s="71" t="str">
        <f>IF(G46="","W6",IF(G46&gt;I46,_xlfn.CONCAT("W6-",RIGHT(F46,LEN(F46) - FIND("-",F46))), _xlfn.CONCAT("W6-",RIGHT(H46,LEN(H46) - FIND("-",H46)))))</f>
        <v>W6-PRINCETON</v>
      </c>
      <c r="I51" s="71">
        <v>11</v>
      </c>
      <c r="J51" s="71" t="s">
        <v>1794</v>
      </c>
      <c r="K51" s="71">
        <v>49</v>
      </c>
      <c r="L51" s="71" t="str">
        <f t="shared" si="6"/>
        <v>16BQ-026</v>
      </c>
    </row>
    <row r="52" spans="1:12" ht="14.1" customHeight="1">
      <c r="A52" s="69">
        <f t="shared" si="4"/>
        <v>46226</v>
      </c>
      <c r="B52" s="70">
        <f>'CHICLETS MASTER S2'!X11</f>
        <v>0.53472222222222199</v>
      </c>
      <c r="C52" s="71" t="s">
        <v>218</v>
      </c>
      <c r="D52" s="119" t="str">
        <f t="shared" si="5"/>
        <v>CAPISTRANO VALLEY HS 1</v>
      </c>
      <c r="E52" s="71">
        <v>30</v>
      </c>
      <c r="F52" s="71" t="str">
        <f>IF(G45="","L2",IF(G45&lt;I45,_xlfn.CONCAT("L2-",RIGHT(F45,LEN(F45) - FIND("-",F45))), _xlfn.CONCAT("L2-",RIGHT(H45,LEN(H45) - FIND("-",H45)))))</f>
        <v>L2-LOKAHI</v>
      </c>
      <c r="G52" s="81">
        <v>10</v>
      </c>
      <c r="H52" s="71" t="str">
        <f>IF(G46="","L6",IF(G46&lt;I46,_xlfn.CONCAT("L6-",RIGHT(F46,LEN(F46) - FIND("-",F46))), _xlfn.CONCAT("L6-",RIGHT(H46,LEN(H46) - FIND("-",H46)))))</f>
        <v>L6-SAN JOSE EXPRESS GOLD</v>
      </c>
      <c r="I52" s="71">
        <v>9</v>
      </c>
      <c r="J52" s="71">
        <v>50</v>
      </c>
      <c r="K52" s="71" t="s">
        <v>1795</v>
      </c>
      <c r="L52" s="71" t="str">
        <f t="shared" si="6"/>
        <v>16BQ-030</v>
      </c>
    </row>
    <row r="53" spans="1:12" ht="14.1" customHeight="1">
      <c r="A53" s="69">
        <f t="shared" si="4"/>
        <v>46226</v>
      </c>
      <c r="B53" s="70">
        <f>'CHICLETS MASTER S2'!X12</f>
        <v>0.56944444444444497</v>
      </c>
      <c r="C53" s="71" t="s">
        <v>218</v>
      </c>
      <c r="D53" s="119" t="str">
        <f t="shared" si="5"/>
        <v>CAPISTRANO VALLEY HS 1</v>
      </c>
      <c r="E53" s="71">
        <v>34</v>
      </c>
      <c r="F53" s="71" t="str">
        <f>IF(G47="","W10",IF(G47&gt;I47,_xlfn.CONCAT("W10-",RIGHT(F47,LEN(F47) - FIND("-",F47))), _xlfn.CONCAT("W10-",RIGHT(H47,LEN(H47) - FIND("-",H47)))))</f>
        <v>W10-TRILOGY</v>
      </c>
      <c r="G53" s="73">
        <v>14</v>
      </c>
      <c r="H53" s="71" t="str">
        <f>IF(G48="","W14",IF(G48&gt;I48,_xlfn.CONCAT("W14-",RIGHT(F48,LEN(F48) - FIND("-",F48))), _xlfn.CONCAT("W14-",RIGHT(H48,LEN(H48) - FIND("-",H48)))))</f>
        <v>W14-NAVY</v>
      </c>
      <c r="I53" s="71">
        <v>16</v>
      </c>
      <c r="J53" s="71" t="s">
        <v>1796</v>
      </c>
      <c r="K53" s="71">
        <v>58</v>
      </c>
      <c r="L53" s="71" t="str">
        <f t="shared" si="6"/>
        <v>16BQ-034</v>
      </c>
    </row>
    <row r="54" spans="1:12" ht="14.1" customHeight="1">
      <c r="A54" s="69">
        <f t="shared" si="4"/>
        <v>46226</v>
      </c>
      <c r="B54" s="70">
        <f>'CHICLETS MASTER S2'!X13</f>
        <v>0.60416666666666696</v>
      </c>
      <c r="C54" s="71" t="s">
        <v>218</v>
      </c>
      <c r="D54" s="119" t="str">
        <f t="shared" si="5"/>
        <v>CAPISTRANO VALLEY HS 1</v>
      </c>
      <c r="E54" s="71">
        <v>38</v>
      </c>
      <c r="F54" s="71" t="str">
        <f>IF(G47="","L10",IF(G47&lt;I47,_xlfn.CONCAT("L10-",RIGHT(F47,LEN(F47) - FIND("-",F47))), _xlfn.CONCAT("L10-",RIGHT(H47,LEN(H47) - FIND("-",H47)))))</f>
        <v>L10-INNIS ARDEN</v>
      </c>
      <c r="G54" s="73">
        <v>15</v>
      </c>
      <c r="H54" s="71" t="str">
        <f>IF(G48="","L14",IF(G48&lt;I48,_xlfn.CONCAT("L14-",RIGHT(F48,LEN(F48) - FIND("-",F48))), _xlfn.CONCAT("L14-",RIGHT(H48,LEN(H48) - FIND("-",H48)))))</f>
        <v>L14-ELITE</v>
      </c>
      <c r="I54" s="71">
        <v>6</v>
      </c>
      <c r="J54" s="71">
        <v>54</v>
      </c>
      <c r="K54" s="71" t="s">
        <v>1797</v>
      </c>
      <c r="L54" s="71" t="str">
        <f t="shared" si="6"/>
        <v>16BQ-038</v>
      </c>
    </row>
    <row r="55" spans="1:12" ht="14.1" customHeight="1">
      <c r="A55" s="69">
        <f t="shared" si="4"/>
        <v>46226</v>
      </c>
      <c r="B55" s="70">
        <f>'CHICLETS MASTER S2'!X14</f>
        <v>0.63888888888888895</v>
      </c>
      <c r="C55" s="71" t="s">
        <v>218</v>
      </c>
      <c r="D55" s="119" t="str">
        <f t="shared" si="5"/>
        <v>CAPISTRANO VALLEY HS 1</v>
      </c>
      <c r="E55" s="71">
        <v>42</v>
      </c>
      <c r="F55" s="71" t="str">
        <f>IF(G49="","W18",IF(G49&gt;I49,_xlfn.CONCAT("W18-",RIGHT(F49,LEN(F49) - FIND("-",F49))), _xlfn.CONCAT("W18-",RIGHT(H49,LEN(H49) - FIND("-",H49)))))</f>
        <v>W18-SAN JOSE FOUNDATION B</v>
      </c>
      <c r="G55" s="73">
        <v>3</v>
      </c>
      <c r="H55" s="71" t="str">
        <f>IF(G50="","W22",IF(G50&gt;I50,_xlfn.CONCAT("W22-",RIGHT(F50,LEN(F50) - FIND("-",F50))), _xlfn.CONCAT("W22-",RIGHT(H50,LEN(H50) - FIND("-",H50)))))</f>
        <v>W22-680 BLUE</v>
      </c>
      <c r="I55" s="71">
        <v>9</v>
      </c>
      <c r="J55" s="71" t="s">
        <v>1798</v>
      </c>
      <c r="K55" s="71">
        <v>54</v>
      </c>
      <c r="L55" s="71" t="str">
        <f t="shared" si="6"/>
        <v>16BQ-042</v>
      </c>
    </row>
    <row r="56" spans="1:12" ht="14.1" customHeight="1">
      <c r="A56" s="69">
        <f t="shared" si="4"/>
        <v>46226</v>
      </c>
      <c r="B56" s="70">
        <f>'CHICLETS MASTER S2'!X15</f>
        <v>0.67361111111111105</v>
      </c>
      <c r="C56" s="71" t="s">
        <v>218</v>
      </c>
      <c r="D56" s="119" t="str">
        <f t="shared" si="5"/>
        <v>CAPISTRANO VALLEY HS 1</v>
      </c>
      <c r="E56" s="71">
        <v>46</v>
      </c>
      <c r="F56" s="71" t="str">
        <f>IF(G49="","L18",IF(G49&lt;I49,_xlfn.CONCAT("L18-",RIGHT(F49,LEN(F49) - FIND("-",F49))), _xlfn.CONCAT("L18-",RIGHT(H49,LEN(H49) - FIND("-",H49)))))</f>
        <v>L18-SOVA</v>
      </c>
      <c r="G56" s="73">
        <v>15</v>
      </c>
      <c r="H56" s="71" t="str">
        <f>IF(G50="","L22",IF(G50&lt;I50,_xlfn.CONCAT("L22-",RIGHT(F50,LEN(F50) - FIND("-",F50))), _xlfn.CONCAT("L22-",RIGHT(H50,LEN(H50) - FIND("-",H50)))))</f>
        <v>L22-WCAC UNITED B</v>
      </c>
      <c r="I56" s="71">
        <v>10</v>
      </c>
      <c r="J56" s="71">
        <v>58</v>
      </c>
      <c r="K56" s="71" t="s">
        <v>1799</v>
      </c>
      <c r="L56" s="71" t="str">
        <f t="shared" si="6"/>
        <v>16BQ-046</v>
      </c>
    </row>
    <row r="57" spans="1:12" ht="14.1" customHeight="1">
      <c r="A57" s="75"/>
      <c r="B57" s="60" t="s">
        <v>139</v>
      </c>
      <c r="C57" s="60"/>
      <c r="D57" s="60"/>
      <c r="E57" s="60"/>
      <c r="F57" s="60"/>
      <c r="G57" s="64"/>
      <c r="H57" s="60"/>
      <c r="I57" s="60"/>
      <c r="J57" s="60"/>
      <c r="K57" s="60"/>
      <c r="L57" s="60"/>
    </row>
    <row r="58" spans="1:12" ht="14.1" customHeight="1">
      <c r="A58" s="69">
        <f>$A$2</f>
        <v>46226</v>
      </c>
      <c r="B58" s="70">
        <f>'CHICLETS MASTER S2'!X17</f>
        <v>0.74305555555555602</v>
      </c>
      <c r="C58" s="71" t="s">
        <v>140</v>
      </c>
      <c r="D58" s="119" t="str">
        <f>$D$43</f>
        <v>CAPISTRANO VALLEY HS 1</v>
      </c>
      <c r="E58" s="71">
        <v>50</v>
      </c>
      <c r="F58" s="76" t="str">
        <f>IF(G33="","L25",IF(G33&lt;I33,_xlfn.CONCAT("L25-",RIGHT(F33,LEN(F33) - FIND("-",F33))), _xlfn.CONCAT("L25-",RIGHT(H33,LEN(H33) - FIND("-",H33)))))</f>
        <v>L25-CARMEL</v>
      </c>
      <c r="G58" s="81">
        <v>15</v>
      </c>
      <c r="H58" s="71" t="str">
        <f>IF(G52="","W30",IF(G52&gt;I52,_xlfn.CONCAT("W30-",RIGHT(F52,LEN(F52) - FIND("-",F52))), _xlfn.CONCAT("W30-",RIGHT(H52,LEN(H52) - FIND("-",H52)))))</f>
        <v>W30-LOKAHI</v>
      </c>
      <c r="I58" s="71">
        <v>8</v>
      </c>
      <c r="J58" s="71" t="s">
        <v>1599</v>
      </c>
      <c r="K58" s="71" t="s">
        <v>1600</v>
      </c>
      <c r="L58" s="71" t="str">
        <f>IF(E58="","",$L$15&amp;"-"&amp;TEXT(E58,"000"))</f>
        <v>16BQ-050</v>
      </c>
    </row>
    <row r="59" spans="1:12" ht="14.1" customHeight="1">
      <c r="A59" s="69">
        <f>$A$2</f>
        <v>46226</v>
      </c>
      <c r="B59" s="70">
        <f>'CHICLETS MASTER S2'!X18</f>
        <v>0.77777777777777801</v>
      </c>
      <c r="C59" s="71" t="s">
        <v>140</v>
      </c>
      <c r="D59" s="119" t="str">
        <f>$D$43</f>
        <v>CAPISTRANO VALLEY HS 1</v>
      </c>
      <c r="E59" s="71">
        <v>54</v>
      </c>
      <c r="F59" s="71" t="str">
        <f>IF(G55="","L42",IF(G55&lt;I55,_xlfn.CONCAT("L42-",RIGHT(F55,LEN(F55) - FIND("-",F55))), _xlfn.CONCAT("L42-",RIGHT(H55,LEN(H55) - FIND("-",H55)))))</f>
        <v>L42-SAN JOSE FOUNDATION B</v>
      </c>
      <c r="G59" s="81">
        <v>5</v>
      </c>
      <c r="H59" s="71" t="str">
        <f>IF(G54="","W38",IF(G54&gt;I54,_xlfn.CONCAT("W38-",RIGHT(F54,LEN(F54) - FIND("-",F54))), _xlfn.CONCAT("W38-",RIGHT(H54,LEN(H54) - FIND("-",H54)))))</f>
        <v>W38-INNIS ARDEN</v>
      </c>
      <c r="I59" s="71">
        <v>9</v>
      </c>
      <c r="J59" s="71" t="s">
        <v>1615</v>
      </c>
      <c r="K59" s="71" t="s">
        <v>1616</v>
      </c>
      <c r="L59" s="71" t="str">
        <f>IF(E59="","",$L$15&amp;"-"&amp;TEXT(E59,"000"))</f>
        <v>16BQ-054</v>
      </c>
    </row>
    <row r="60" spans="1:12" ht="14.1" customHeight="1">
      <c r="A60" s="69">
        <f>$A$2</f>
        <v>46226</v>
      </c>
      <c r="B60" s="70">
        <f>'CHICLETS MASTER S2'!X19</f>
        <v>0.8125</v>
      </c>
      <c r="C60" s="71" t="s">
        <v>140</v>
      </c>
      <c r="D60" s="119" t="str">
        <f>$D$43</f>
        <v>CAPISTRANO VALLEY HS 1</v>
      </c>
      <c r="E60" s="71">
        <v>58</v>
      </c>
      <c r="F60" s="71" t="str">
        <f>IF(G53="","L34",IF(G53&lt;I53,_xlfn.CONCAT("L34-",RIGHT(F53,LEN(F53) - FIND("-",F53))), _xlfn.CONCAT("L34-",RIGHT(H53,LEN(H53) - FIND("-",H53)))))</f>
        <v>L34-TRILOGY</v>
      </c>
      <c r="G60" s="81">
        <v>13</v>
      </c>
      <c r="H60" s="71" t="str">
        <f>IF(G56="","W46",IF(G56&gt;I56,_xlfn.CONCAT("W46-",RIGHT(F56,LEN(F56) - FIND("-",F56))), _xlfn.CONCAT("W46-",RIGHT(H56,LEN(H56) - FIND("-",H56)))))</f>
        <v>W46-SOVA</v>
      </c>
      <c r="I60" s="71">
        <v>8</v>
      </c>
      <c r="J60" s="71" t="s">
        <v>1619</v>
      </c>
      <c r="K60" s="71" t="s">
        <v>1620</v>
      </c>
      <c r="L60" s="71" t="str">
        <f>IF(E60="","",$L$15&amp;"-"&amp;TEXT(E60,"000"))</f>
        <v>16BQ-058</v>
      </c>
    </row>
    <row r="61" spans="1:12" ht="14.1" customHeight="1" thickBot="1"/>
    <row r="62" spans="1:12" ht="14.1" customHeight="1" thickBot="1">
      <c r="B62" s="60"/>
      <c r="C62" s="60"/>
      <c r="D62" s="68" t="str">
        <f>'CHICLETS MASTER S2'!$AM$3</f>
        <v>TUSTIN HS 1</v>
      </c>
      <c r="I62" s="60"/>
      <c r="J62" s="60"/>
      <c r="K62" s="60"/>
      <c r="L62" s="60"/>
    </row>
    <row r="63" spans="1:12" ht="14.1" customHeight="1">
      <c r="A63" s="306" t="s">
        <v>124</v>
      </c>
      <c r="B63" s="306" t="s">
        <v>125</v>
      </c>
      <c r="C63" s="306" t="s">
        <v>126</v>
      </c>
      <c r="D63" s="306" t="s">
        <v>127</v>
      </c>
      <c r="E63" s="306" t="s">
        <v>128</v>
      </c>
      <c r="F63" s="306" t="s">
        <v>129</v>
      </c>
      <c r="G63" s="306" t="s">
        <v>130</v>
      </c>
      <c r="H63" s="306" t="s">
        <v>131</v>
      </c>
      <c r="I63" s="306" t="s">
        <v>130</v>
      </c>
      <c r="J63" s="306" t="s">
        <v>132</v>
      </c>
      <c r="K63" s="306" t="s">
        <v>133</v>
      </c>
      <c r="L63" s="306" t="s">
        <v>134</v>
      </c>
    </row>
    <row r="64" spans="1:12" ht="14.1" customHeight="1">
      <c r="A64" s="69">
        <f t="shared" ref="A64:A75" si="7">$A$2</f>
        <v>46226</v>
      </c>
      <c r="B64" s="70">
        <f>'CHICLETS MASTER S2'!X4</f>
        <v>0.29166666666666669</v>
      </c>
      <c r="C64" s="71" t="s">
        <v>218</v>
      </c>
      <c r="D64" s="119" t="str">
        <f t="shared" ref="D64:D75" si="8">$D$62</f>
        <v>TUSTIN HS 1</v>
      </c>
      <c r="E64" s="71">
        <v>3</v>
      </c>
      <c r="F64" s="71" t="str">
        <f>C11</f>
        <v>9-NORCAL TEAL</v>
      </c>
      <c r="G64" s="73">
        <v>7</v>
      </c>
      <c r="H64" s="71" t="str">
        <f>C14</f>
        <v>40-SAND CANYON RED</v>
      </c>
      <c r="I64" s="71">
        <v>4</v>
      </c>
      <c r="J64" s="71">
        <v>27</v>
      </c>
      <c r="K64" s="71">
        <v>31</v>
      </c>
      <c r="L64" s="71" t="str">
        <f t="shared" ref="L64:L75" si="9">IF(E64="","",$L$15&amp;"-"&amp;TEXT(E64,"000"))</f>
        <v>16BQ-003</v>
      </c>
    </row>
    <row r="65" spans="1:12" ht="14.1" customHeight="1">
      <c r="A65" s="69">
        <f t="shared" si="7"/>
        <v>46226</v>
      </c>
      <c r="B65" s="70">
        <f>'CHICLETS MASTER S2'!X5</f>
        <v>0.3263888888888889</v>
      </c>
      <c r="C65" s="71" t="s">
        <v>218</v>
      </c>
      <c r="D65" s="119" t="str">
        <f t="shared" si="8"/>
        <v>TUSTIN HS 1</v>
      </c>
      <c r="E65" s="71">
        <v>7</v>
      </c>
      <c r="F65" s="71" t="str">
        <f>C12</f>
        <v>16-CHAWP BLUE</v>
      </c>
      <c r="G65" s="73">
        <v>5</v>
      </c>
      <c r="H65" s="71" t="str">
        <f>C13</f>
        <v>33-BLUE CRUSH</v>
      </c>
      <c r="I65" s="71">
        <v>8</v>
      </c>
      <c r="J65" s="71">
        <v>27</v>
      </c>
      <c r="K65" s="71">
        <v>31</v>
      </c>
      <c r="L65" s="71" t="str">
        <f t="shared" si="9"/>
        <v>16BQ-007</v>
      </c>
    </row>
    <row r="66" spans="1:12" ht="14.1" customHeight="1">
      <c r="A66" s="69">
        <f t="shared" si="7"/>
        <v>46226</v>
      </c>
      <c r="B66" s="70">
        <f>'CHICLETS MASTER S2'!X6</f>
        <v>0.36111111111111099</v>
      </c>
      <c r="C66" s="71" t="s">
        <v>218</v>
      </c>
      <c r="D66" s="119" t="str">
        <f t="shared" si="8"/>
        <v>TUSTIN HS 1</v>
      </c>
      <c r="E66" s="71">
        <v>11</v>
      </c>
      <c r="F66" s="71" t="str">
        <f>A11</f>
        <v>7-CMAC</v>
      </c>
      <c r="G66" s="73">
        <v>9</v>
      </c>
      <c r="H66" s="71" t="str">
        <f>A14</f>
        <v>42-PALOS VERDES BLUE</v>
      </c>
      <c r="I66" s="71">
        <v>6</v>
      </c>
      <c r="J66" s="71">
        <v>35</v>
      </c>
      <c r="K66" s="71">
        <v>39</v>
      </c>
      <c r="L66" s="71" t="str">
        <f t="shared" si="9"/>
        <v>16BQ-011</v>
      </c>
    </row>
    <row r="67" spans="1:12" ht="14.1" customHeight="1">
      <c r="A67" s="69">
        <f t="shared" si="7"/>
        <v>46226</v>
      </c>
      <c r="B67" s="70">
        <f>'CHICLETS MASTER S2'!X7</f>
        <v>0.39583333333333398</v>
      </c>
      <c r="C67" s="71" t="s">
        <v>218</v>
      </c>
      <c r="D67" s="119" t="str">
        <f t="shared" si="8"/>
        <v>TUSTIN HS 1</v>
      </c>
      <c r="E67" s="71">
        <v>15</v>
      </c>
      <c r="F67" s="71" t="str">
        <f>A12</f>
        <v>18-DEVILS GATE</v>
      </c>
      <c r="G67" s="73">
        <v>8</v>
      </c>
      <c r="H67" s="71" t="str">
        <f>A13</f>
        <v>31-SD SHORES WHITE</v>
      </c>
      <c r="I67" s="71">
        <v>6</v>
      </c>
      <c r="J67" s="71">
        <v>35</v>
      </c>
      <c r="K67" s="71">
        <v>39</v>
      </c>
      <c r="L67" s="71" t="str">
        <f t="shared" si="9"/>
        <v>16BQ-015</v>
      </c>
    </row>
    <row r="68" spans="1:12" ht="14.1" customHeight="1">
      <c r="A68" s="69">
        <f t="shared" si="7"/>
        <v>46226</v>
      </c>
      <c r="B68" s="70">
        <f>'CHICLETS MASTER S2'!X8</f>
        <v>0.43055555555555602</v>
      </c>
      <c r="C68" s="71" t="s">
        <v>218</v>
      </c>
      <c r="D68" s="119" t="str">
        <f t="shared" si="8"/>
        <v>TUSTIN HS 1</v>
      </c>
      <c r="E68" s="71">
        <v>19</v>
      </c>
      <c r="F68" s="71" t="str">
        <f>B11</f>
        <v>8-SMAC</v>
      </c>
      <c r="G68" s="73">
        <v>11</v>
      </c>
      <c r="H68" s="71" t="str">
        <f>B14</f>
        <v>41-RAIN CITY</v>
      </c>
      <c r="I68" s="71">
        <v>8</v>
      </c>
      <c r="J68" s="71">
        <v>43</v>
      </c>
      <c r="K68" s="71">
        <v>47</v>
      </c>
      <c r="L68" s="71" t="str">
        <f t="shared" si="9"/>
        <v>16BQ-019</v>
      </c>
    </row>
    <row r="69" spans="1:12" ht="14.1" customHeight="1">
      <c r="A69" s="69">
        <f t="shared" si="7"/>
        <v>46226</v>
      </c>
      <c r="B69" s="70">
        <f>'CHICLETS MASTER S2'!X9</f>
        <v>0.46527777777777801</v>
      </c>
      <c r="C69" s="71" t="s">
        <v>218</v>
      </c>
      <c r="D69" s="119" t="str">
        <f t="shared" si="8"/>
        <v>TUSTIN HS 1</v>
      </c>
      <c r="E69" s="71">
        <v>23</v>
      </c>
      <c r="F69" s="71" t="str">
        <f>B12</f>
        <v>17-SACRAMENTO BLACK</v>
      </c>
      <c r="G69" s="73">
        <v>15</v>
      </c>
      <c r="H69" s="71" t="str">
        <f>B13</f>
        <v>32-NWC</v>
      </c>
      <c r="I69" s="71">
        <v>1</v>
      </c>
      <c r="J69" s="71">
        <v>43</v>
      </c>
      <c r="K69" s="71">
        <v>47</v>
      </c>
      <c r="L69" s="71" t="str">
        <f t="shared" si="9"/>
        <v>16BQ-023</v>
      </c>
    </row>
    <row r="70" spans="1:12" ht="14.1" customHeight="1">
      <c r="A70" s="69">
        <f t="shared" si="7"/>
        <v>46226</v>
      </c>
      <c r="B70" s="70">
        <f>'CHICLETS MASTER S2'!X10</f>
        <v>0.5</v>
      </c>
      <c r="C70" s="71" t="s">
        <v>218</v>
      </c>
      <c r="D70" s="119" t="str">
        <f t="shared" si="8"/>
        <v>TUSTIN HS 1</v>
      </c>
      <c r="E70" s="71">
        <v>27</v>
      </c>
      <c r="F70" s="71" t="str">
        <f>IF(G64="","W3",IF(G64&gt;I64,_xlfn.CONCAT("W3-",RIGHT(F64,LEN(F64) - FIND("-",F64))), _xlfn.CONCAT("W3-",RIGHT(H64,LEN(H64) - FIND("-",H64)))))</f>
        <v>W3-NORCAL TEAL</v>
      </c>
      <c r="G70" s="73">
        <v>2</v>
      </c>
      <c r="H70" s="71" t="str">
        <f>IF(G65="","W7",IF(G65&gt;I65,_xlfn.CONCAT("W7-",RIGHT(F65,LEN(F65) - FIND("-",F65))), _xlfn.CONCAT("W7-",RIGHT(H65,LEN(H65) - FIND("-",H65)))))</f>
        <v>W7-BLUE CRUSH</v>
      </c>
      <c r="I70" s="71">
        <v>9</v>
      </c>
      <c r="J70" s="71" t="s">
        <v>1800</v>
      </c>
      <c r="K70" s="71">
        <v>52</v>
      </c>
      <c r="L70" s="71" t="str">
        <f t="shared" si="9"/>
        <v>16BQ-027</v>
      </c>
    </row>
    <row r="71" spans="1:12" ht="14.1" customHeight="1">
      <c r="A71" s="69">
        <f t="shared" si="7"/>
        <v>46226</v>
      </c>
      <c r="B71" s="70">
        <f>'CHICLETS MASTER S2'!X11</f>
        <v>0.53472222222222199</v>
      </c>
      <c r="C71" s="71" t="s">
        <v>218</v>
      </c>
      <c r="D71" s="119" t="str">
        <f t="shared" si="8"/>
        <v>TUSTIN HS 1</v>
      </c>
      <c r="E71" s="71">
        <v>31</v>
      </c>
      <c r="F71" s="71" t="str">
        <f>IF(G64="","L3",IF(G64&lt;I64,_xlfn.CONCAT("L3-",RIGHT(F64,LEN(F64) - FIND("-",F64))), _xlfn.CONCAT("L3-",RIGHT(H64,LEN(H64) - FIND("-",H64)))))</f>
        <v>L3-SAND CANYON RED</v>
      </c>
      <c r="G71" s="73">
        <v>4</v>
      </c>
      <c r="H71" s="71" t="str">
        <f>IF(G65="","L7",IF(G65&lt;I65,_xlfn.CONCAT("L7-",RIGHT(F65,LEN(F65) - FIND("-",F65))), _xlfn.CONCAT("L7-",RIGHT(H65,LEN(H65) - FIND("-",H65)))))</f>
        <v>L7-CHAWP BLUE</v>
      </c>
      <c r="I71" s="71">
        <v>15</v>
      </c>
      <c r="J71" s="71">
        <v>51</v>
      </c>
      <c r="K71" s="71" t="s">
        <v>1801</v>
      </c>
      <c r="L71" s="71" t="str">
        <f t="shared" si="9"/>
        <v>16BQ-031</v>
      </c>
    </row>
    <row r="72" spans="1:12" ht="14.1" customHeight="1">
      <c r="A72" s="69">
        <f t="shared" si="7"/>
        <v>46226</v>
      </c>
      <c r="B72" s="70">
        <f>'CHICLETS MASTER S2'!X12</f>
        <v>0.56944444444444497</v>
      </c>
      <c r="C72" s="71" t="s">
        <v>218</v>
      </c>
      <c r="D72" s="119" t="str">
        <f t="shared" si="8"/>
        <v>TUSTIN HS 1</v>
      </c>
      <c r="E72" s="71">
        <v>35</v>
      </c>
      <c r="F72" s="71" t="str">
        <f>IF(G66="","W11",IF(G66&gt;I66,_xlfn.CONCAT("W11-",RIGHT(F66,LEN(F66) - FIND("-",F66))), _xlfn.CONCAT("W11-",RIGHT(H66,LEN(H66) - FIND("-",H66)))))</f>
        <v>W11-CMAC</v>
      </c>
      <c r="G72" s="73">
        <v>11</v>
      </c>
      <c r="H72" s="71" t="str">
        <f>IF(G67="","W15",IF(G67&gt;I67,_xlfn.CONCAT("W15-",RIGHT(F67,LEN(F67) - FIND("-",F67))), _xlfn.CONCAT("W15-",RIGHT(H67,LEN(H67) - FIND("-",H67)))))</f>
        <v>W15-DEVILS GATE</v>
      </c>
      <c r="I72" s="71">
        <v>8</v>
      </c>
      <c r="J72" s="71" t="s">
        <v>1802</v>
      </c>
      <c r="K72" s="71">
        <v>59</v>
      </c>
      <c r="L72" s="71" t="str">
        <f t="shared" si="9"/>
        <v>16BQ-035</v>
      </c>
    </row>
    <row r="73" spans="1:12" ht="14.1" customHeight="1">
      <c r="A73" s="69">
        <f t="shared" si="7"/>
        <v>46226</v>
      </c>
      <c r="B73" s="70">
        <f>'CHICLETS MASTER S2'!X13</f>
        <v>0.60416666666666696</v>
      </c>
      <c r="C73" s="71" t="s">
        <v>218</v>
      </c>
      <c r="D73" s="119" t="str">
        <f t="shared" si="8"/>
        <v>TUSTIN HS 1</v>
      </c>
      <c r="E73" s="71">
        <v>39</v>
      </c>
      <c r="F73" s="71" t="str">
        <f>IF(G66="","L11",IF(G66&lt;I66,_xlfn.CONCAT("L11-",RIGHT(F66,LEN(F66) - FIND("-",F66))), _xlfn.CONCAT("L11-",RIGHT(H66,LEN(H66) - FIND("-",H66)))))</f>
        <v>L11-PALOS VERDES BLUE</v>
      </c>
      <c r="G73" s="73">
        <v>8</v>
      </c>
      <c r="H73" s="71" t="str">
        <f>IF(G67="","L15",IF(G67&lt;I67,_xlfn.CONCAT("L15-",RIGHT(F67,LEN(F67) - FIND("-",F67))), _xlfn.CONCAT("L15-",RIGHT(H67,LEN(H67) - FIND("-",H67)))))</f>
        <v>L15-SD SHORES WHITE</v>
      </c>
      <c r="I73" s="71">
        <v>11</v>
      </c>
      <c r="J73" s="71">
        <v>55</v>
      </c>
      <c r="K73" s="71" t="s">
        <v>1803</v>
      </c>
      <c r="L73" s="71" t="str">
        <f t="shared" si="9"/>
        <v>16BQ-039</v>
      </c>
    </row>
    <row r="74" spans="1:12" ht="14.1" customHeight="1">
      <c r="A74" s="69">
        <f t="shared" si="7"/>
        <v>46226</v>
      </c>
      <c r="B74" s="70">
        <f>'CHICLETS MASTER S2'!X14</f>
        <v>0.63888888888888895</v>
      </c>
      <c r="C74" s="71" t="s">
        <v>218</v>
      </c>
      <c r="D74" s="119" t="str">
        <f t="shared" si="8"/>
        <v>TUSTIN HS 1</v>
      </c>
      <c r="E74" s="71">
        <v>43</v>
      </c>
      <c r="F74" s="71" t="str">
        <f>IF(G68="","W19",IF(G68&gt;I68,_xlfn.CONCAT("W19-",RIGHT(F68,LEN(F68) - FIND("-",F68))), _xlfn.CONCAT("W19-",RIGHT(H68,LEN(H68) - FIND("-",H68)))))</f>
        <v>W19-SMAC</v>
      </c>
      <c r="G74" s="73">
        <v>3</v>
      </c>
      <c r="H74" s="71" t="str">
        <f>IF(G69="","W23",IF(G69&gt;I69,_xlfn.CONCAT("W23-",RIGHT(F69,LEN(F69) - FIND("-",F69))), _xlfn.CONCAT("W23-",RIGHT(H69,LEN(H69) - FIND("-",H69)))))</f>
        <v>W23-SACRAMENTO BLACK</v>
      </c>
      <c r="I74" s="71">
        <v>13</v>
      </c>
      <c r="J74" s="71" t="s">
        <v>1804</v>
      </c>
      <c r="K74" s="71">
        <v>55</v>
      </c>
      <c r="L74" s="71" t="str">
        <f t="shared" si="9"/>
        <v>16BQ-043</v>
      </c>
    </row>
    <row r="75" spans="1:12" ht="14.1" customHeight="1">
      <c r="A75" s="69">
        <f t="shared" si="7"/>
        <v>46226</v>
      </c>
      <c r="B75" s="70">
        <f>'CHICLETS MASTER S2'!X15</f>
        <v>0.67361111111111105</v>
      </c>
      <c r="C75" s="71" t="s">
        <v>218</v>
      </c>
      <c r="D75" s="71" t="str">
        <f t="shared" si="8"/>
        <v>TUSTIN HS 1</v>
      </c>
      <c r="E75" s="71">
        <v>47</v>
      </c>
      <c r="F75" s="71" t="str">
        <f>IF(G68="","L19",IF(G68&lt;I68,_xlfn.CONCAT("L19-",RIGHT(F68,LEN(F68) - FIND("-",F68))), _xlfn.CONCAT("L19-",RIGHT(H68,LEN(H68) - FIND("-",H68)))))</f>
        <v>L19-RAIN CITY</v>
      </c>
      <c r="G75" s="73">
        <v>16</v>
      </c>
      <c r="H75" s="71" t="str">
        <f>IF(G69="","L23",IF(G69&lt;I69,_xlfn.CONCAT("L23-",RIGHT(F69,LEN(F69) - FIND("-",F69))), _xlfn.CONCAT("L23-",RIGHT(H69,LEN(H69) - FIND("-",H69)))))</f>
        <v>L23-NWC</v>
      </c>
      <c r="I75" s="71">
        <v>3</v>
      </c>
      <c r="J75" s="71">
        <v>59</v>
      </c>
      <c r="K75" s="71" t="s">
        <v>1805</v>
      </c>
      <c r="L75" s="71" t="str">
        <f t="shared" si="9"/>
        <v>16BQ-047</v>
      </c>
    </row>
    <row r="76" spans="1:12" ht="14.1" customHeight="1">
      <c r="A76" s="75"/>
      <c r="B76" s="60" t="s">
        <v>139</v>
      </c>
      <c r="C76" s="60"/>
      <c r="D76" s="60"/>
      <c r="E76" s="60"/>
      <c r="F76" s="60"/>
      <c r="G76" s="64"/>
      <c r="H76" s="60"/>
      <c r="I76" s="60"/>
      <c r="J76" s="60"/>
      <c r="K76" s="60"/>
      <c r="L76" s="60"/>
    </row>
    <row r="77" spans="1:12" ht="14.1" customHeight="1">
      <c r="A77" s="69">
        <f>$A$2</f>
        <v>46226</v>
      </c>
      <c r="B77" s="70">
        <f>'CHICLETS MASTER S2'!X17</f>
        <v>0.74305555555555602</v>
      </c>
      <c r="C77" s="71" t="s">
        <v>140</v>
      </c>
      <c r="D77" s="71" t="str">
        <f>$D$62</f>
        <v>TUSTIN HS 1</v>
      </c>
      <c r="E77" s="71">
        <v>51</v>
      </c>
      <c r="F77" s="76" t="str">
        <f>IF(G89="","L28",IF(G89&lt;I89,_xlfn.CONCAT("L28-",RIGHT(F89,LEN(F89) - FIND("-",F89))), _xlfn.CONCAT("L28-",RIGHT(H89,LEN(H89) - FIND("-",H89)))))</f>
        <v>L28-SOCAL</v>
      </c>
      <c r="G77" s="73">
        <v>10</v>
      </c>
      <c r="H77" s="77" t="str">
        <f>IF(G71="","W31",IF(G71&gt;I71,_xlfn.CONCAT("W31-",RIGHT(F71,LEN(F71) - FIND("-",F71))), _xlfn.CONCAT("W31-",RIGHT(H71,LEN(H71) - FIND("-",H71)))))</f>
        <v>W31-CHAWP BLUE</v>
      </c>
      <c r="I77" s="71">
        <v>6</v>
      </c>
      <c r="J77" s="71" t="s">
        <v>1627</v>
      </c>
      <c r="K77" s="71" t="s">
        <v>1628</v>
      </c>
      <c r="L77" s="71" t="str">
        <f>IF(E77="","",$L$15&amp;"-"&amp;TEXT(E77,"000"))</f>
        <v>16BQ-051</v>
      </c>
    </row>
    <row r="78" spans="1:12" ht="14.1" customHeight="1">
      <c r="A78" s="69">
        <f>$A$2</f>
        <v>46226</v>
      </c>
      <c r="B78" s="70">
        <f>'CHICLETS MASTER S2'!X18</f>
        <v>0.77777777777777801</v>
      </c>
      <c r="C78" s="71" t="s">
        <v>140</v>
      </c>
      <c r="D78" s="119" t="str">
        <f>$D$62</f>
        <v>TUSTIN HS 1</v>
      </c>
      <c r="E78" s="71">
        <v>55</v>
      </c>
      <c r="F78" s="71" t="str">
        <f>IF(G74="","L43",IF(G74&lt;I74,_xlfn.CONCAT("L43-",RIGHT(F74,LEN(F74) - FIND("-",F74))), _xlfn.CONCAT("L43-",RIGHT(H74,LEN(H74) - FIND("-",H74)))))</f>
        <v>L43-SMAC</v>
      </c>
      <c r="G78" s="73">
        <v>13</v>
      </c>
      <c r="H78" s="71" t="str">
        <f>IF(G73="","W39",IF(G73&gt;I73,_xlfn.CONCAT("W39-",RIGHT(F73,LEN(F73) - FIND("-",F73))), _xlfn.CONCAT("W39-",RIGHT(H73,LEN(H73) - FIND("-",H73)))))</f>
        <v>W39-SD SHORES WHITE</v>
      </c>
      <c r="I78" s="71">
        <v>6</v>
      </c>
      <c r="J78" s="71" t="s">
        <v>1607</v>
      </c>
      <c r="K78" s="71" t="s">
        <v>1608</v>
      </c>
      <c r="L78" s="71" t="str">
        <f>IF(E78="","",$L$15&amp;"-"&amp;TEXT(E78,"000"))</f>
        <v>16BQ-055</v>
      </c>
    </row>
    <row r="79" spans="1:12" ht="14.1" customHeight="1">
      <c r="A79" s="69">
        <f>$A$2</f>
        <v>46226</v>
      </c>
      <c r="B79" s="70">
        <f>'CHICLETS MASTER S2'!X19</f>
        <v>0.8125</v>
      </c>
      <c r="C79" s="71" t="s">
        <v>140</v>
      </c>
      <c r="D79" s="119" t="str">
        <f>$D$62</f>
        <v>TUSTIN HS 1</v>
      </c>
      <c r="E79" s="71">
        <v>59</v>
      </c>
      <c r="F79" s="71" t="str">
        <f>IF(G72="","L35",IF(G72&lt;I72,_xlfn.CONCAT("L35-",RIGHT(F72,LEN(F72) - FIND("-",F72))), _xlfn.CONCAT("L35-",RIGHT(H72,LEN(H72) - FIND("-",H72)))))</f>
        <v>L35-DEVILS GATE</v>
      </c>
      <c r="G79" s="73">
        <v>11</v>
      </c>
      <c r="H79" s="71" t="str">
        <f>IF(G75="","W47",IF(G75&gt;I75,_xlfn.CONCAT("W47-",RIGHT(F75,LEN(F75) - FIND("-",F75))), _xlfn.CONCAT("W47-",RIGHT(H75,LEN(H75) - FIND("-",H75)))))</f>
        <v>W47-RAIN CITY</v>
      </c>
      <c r="I79" s="71">
        <v>10</v>
      </c>
      <c r="J79" s="71" t="s">
        <v>1611</v>
      </c>
      <c r="K79" s="71" t="s">
        <v>1612</v>
      </c>
      <c r="L79" s="71" t="str">
        <f>IF(E79="","",$L$15&amp;"-"&amp;TEXT(E79,"000"))</f>
        <v>16BQ-059</v>
      </c>
    </row>
    <row r="80" spans="1:12" ht="14.1" customHeight="1" thickBot="1">
      <c r="A80" s="78"/>
      <c r="B80" s="79"/>
      <c r="C80" s="60"/>
      <c r="D80" s="60"/>
      <c r="E80" s="60"/>
      <c r="I80" s="60"/>
      <c r="J80" s="60"/>
      <c r="K80" s="60"/>
      <c r="L80" s="60"/>
    </row>
    <row r="81" spans="1:12" ht="14.1" customHeight="1" thickBot="1">
      <c r="A81" s="60"/>
      <c r="B81" s="60"/>
      <c r="C81" s="60"/>
      <c r="D81" s="68" t="str">
        <f>'CHICLETS MASTER S2'!$Z$3</f>
        <v>FULLERTON HS</v>
      </c>
      <c r="I81" s="60"/>
      <c r="J81" s="60"/>
      <c r="K81" s="60"/>
      <c r="L81" s="60"/>
    </row>
    <row r="82" spans="1:12" ht="14.1" customHeight="1">
      <c r="A82" s="306" t="s">
        <v>124</v>
      </c>
      <c r="B82" s="306" t="s">
        <v>125</v>
      </c>
      <c r="C82" s="306" t="s">
        <v>126</v>
      </c>
      <c r="D82" s="306" t="s">
        <v>127</v>
      </c>
      <c r="E82" s="306" t="s">
        <v>128</v>
      </c>
      <c r="F82" s="306" t="s">
        <v>129</v>
      </c>
      <c r="G82" s="306" t="s">
        <v>130</v>
      </c>
      <c r="H82" s="306" t="s">
        <v>131</v>
      </c>
      <c r="I82" s="306" t="s">
        <v>130</v>
      </c>
      <c r="J82" s="306" t="s">
        <v>132</v>
      </c>
      <c r="K82" s="306" t="s">
        <v>133</v>
      </c>
      <c r="L82" s="306" t="s">
        <v>134</v>
      </c>
    </row>
    <row r="83" spans="1:12" ht="14.1" customHeight="1">
      <c r="A83" s="69">
        <f t="shared" ref="A83:A89" si="10">$A$2</f>
        <v>46226</v>
      </c>
      <c r="B83" s="70">
        <f>'CHICLETS MASTER S2'!X4</f>
        <v>0.29166666666666669</v>
      </c>
      <c r="C83" s="71" t="s">
        <v>218</v>
      </c>
      <c r="D83" s="72" t="str">
        <f t="shared" ref="D83:D98" si="11">$D$81</f>
        <v>FULLERTON HS</v>
      </c>
      <c r="E83" s="71">
        <v>4</v>
      </c>
      <c r="F83" s="71" t="str">
        <f>D11</f>
        <v>10-SOCAL</v>
      </c>
      <c r="G83" s="73">
        <v>9</v>
      </c>
      <c r="H83" s="71" t="str">
        <f>D14</f>
        <v>39-CHULA VISTA PREMIER</v>
      </c>
      <c r="I83" s="71">
        <v>5</v>
      </c>
      <c r="J83" s="71">
        <v>28</v>
      </c>
      <c r="K83" s="71">
        <v>32</v>
      </c>
      <c r="L83" s="71" t="str">
        <f t="shared" ref="L83:L89" si="12">IF(E83="","",$L$15&amp;"-"&amp;TEXT(E83,"000"))</f>
        <v>16BQ-004</v>
      </c>
    </row>
    <row r="84" spans="1:12" ht="14.1" customHeight="1">
      <c r="A84" s="69">
        <f t="shared" si="10"/>
        <v>46226</v>
      </c>
      <c r="B84" s="70">
        <f>'CHICLETS MASTER S2'!X5</f>
        <v>0.3263888888888889</v>
      </c>
      <c r="C84" s="71" t="s">
        <v>218</v>
      </c>
      <c r="D84" s="72" t="str">
        <f t="shared" si="11"/>
        <v>FULLERTON HS</v>
      </c>
      <c r="E84" s="71">
        <v>8</v>
      </c>
      <c r="F84" s="71" t="str">
        <f>D12</f>
        <v>15-TEMPLE CITY YELLOW</v>
      </c>
      <c r="G84" s="73">
        <v>16</v>
      </c>
      <c r="H84" s="71" t="str">
        <f>D13</f>
        <v>34-CC UNITED RED</v>
      </c>
      <c r="I84" s="71">
        <v>0</v>
      </c>
      <c r="J84" s="71">
        <v>28</v>
      </c>
      <c r="K84" s="71">
        <v>32</v>
      </c>
      <c r="L84" s="71" t="str">
        <f t="shared" si="12"/>
        <v>16BQ-008</v>
      </c>
    </row>
    <row r="85" spans="1:12" ht="14.1" customHeight="1">
      <c r="A85" s="69">
        <f t="shared" si="10"/>
        <v>46226</v>
      </c>
      <c r="B85" s="70">
        <f>'CHICLETS MASTER S2'!X6</f>
        <v>0.36111111111111099</v>
      </c>
      <c r="C85" s="71" t="s">
        <v>218</v>
      </c>
      <c r="D85" s="72" t="str">
        <f t="shared" si="11"/>
        <v>FULLERTON HS</v>
      </c>
      <c r="E85" s="71">
        <v>12</v>
      </c>
      <c r="F85" s="71" t="str">
        <f>E11</f>
        <v>11-AMERICAN RIVER GOLD</v>
      </c>
      <c r="G85" s="73">
        <v>10</v>
      </c>
      <c r="H85" s="71" t="str">
        <f>E14</f>
        <v>38-NEWBERG</v>
      </c>
      <c r="I85" s="71">
        <v>1</v>
      </c>
      <c r="J85" s="71">
        <v>36</v>
      </c>
      <c r="K85" s="71">
        <v>40</v>
      </c>
      <c r="L85" s="71" t="str">
        <f t="shared" si="12"/>
        <v>16BQ-012</v>
      </c>
    </row>
    <row r="86" spans="1:12" ht="14.1" customHeight="1">
      <c r="A86" s="69">
        <f t="shared" si="10"/>
        <v>46226</v>
      </c>
      <c r="B86" s="70">
        <f>'CHICLETS MASTER S2'!X7</f>
        <v>0.39583333333333398</v>
      </c>
      <c r="C86" s="71" t="s">
        <v>218</v>
      </c>
      <c r="D86" s="72" t="str">
        <f t="shared" si="11"/>
        <v>FULLERTON HS</v>
      </c>
      <c r="E86" s="71">
        <v>16</v>
      </c>
      <c r="F86" s="71" t="str">
        <f>E12</f>
        <v>14-HIELAND</v>
      </c>
      <c r="G86" s="73">
        <v>5</v>
      </c>
      <c r="H86" s="71" t="str">
        <f>E13</f>
        <v>35-CLOVIS B</v>
      </c>
      <c r="I86" s="71">
        <v>7</v>
      </c>
      <c r="J86" s="71">
        <v>36</v>
      </c>
      <c r="K86" s="71">
        <v>40</v>
      </c>
      <c r="L86" s="71" t="str">
        <f t="shared" si="12"/>
        <v>16BQ-016</v>
      </c>
    </row>
    <row r="87" spans="1:12" ht="14.1" customHeight="1">
      <c r="A87" s="69">
        <f t="shared" si="10"/>
        <v>46226</v>
      </c>
      <c r="B87" s="70">
        <f>'CHICLETS MASTER S2'!X8</f>
        <v>0.43055555555555602</v>
      </c>
      <c r="C87" s="71" t="s">
        <v>218</v>
      </c>
      <c r="D87" s="72" t="str">
        <f t="shared" si="11"/>
        <v>FULLERTON HS</v>
      </c>
      <c r="E87" s="71">
        <v>20</v>
      </c>
      <c r="F87" s="71" t="str">
        <f>F11</f>
        <v>12-VANGUARD WHITE</v>
      </c>
      <c r="G87" s="73">
        <v>18</v>
      </c>
      <c r="H87" s="71" t="str">
        <f>F14</f>
        <v>37-BROOKLYN HUSTLE</v>
      </c>
      <c r="I87" s="71">
        <v>3</v>
      </c>
      <c r="J87" s="71">
        <v>44</v>
      </c>
      <c r="K87" s="71">
        <v>48</v>
      </c>
      <c r="L87" s="71" t="str">
        <f t="shared" si="12"/>
        <v>16BQ-020</v>
      </c>
    </row>
    <row r="88" spans="1:12" ht="14.1" customHeight="1">
      <c r="A88" s="69">
        <f t="shared" si="10"/>
        <v>46226</v>
      </c>
      <c r="B88" s="70">
        <f>'CHICLETS MASTER S2'!X9</f>
        <v>0.46527777777777801</v>
      </c>
      <c r="C88" s="71" t="s">
        <v>218</v>
      </c>
      <c r="D88" s="72" t="str">
        <f t="shared" si="11"/>
        <v>FULLERTON HS</v>
      </c>
      <c r="E88" s="71">
        <v>24</v>
      </c>
      <c r="F88" s="71" t="str">
        <f>F12</f>
        <v>13-LB SHORE BLACK</v>
      </c>
      <c r="G88" s="73">
        <v>10</v>
      </c>
      <c r="H88" s="71" t="str">
        <f>F13</f>
        <v>36-LOYOLA</v>
      </c>
      <c r="I88" s="71">
        <v>3</v>
      </c>
      <c r="J88" s="71">
        <v>44</v>
      </c>
      <c r="K88" s="71">
        <v>48</v>
      </c>
      <c r="L88" s="71" t="str">
        <f t="shared" si="12"/>
        <v>16BQ-024</v>
      </c>
    </row>
    <row r="89" spans="1:12" ht="14.1" customHeight="1">
      <c r="A89" s="69">
        <f t="shared" si="10"/>
        <v>46226</v>
      </c>
      <c r="B89" s="70">
        <f>'CHICLETS MASTER S2'!X10</f>
        <v>0.5</v>
      </c>
      <c r="C89" s="71" t="s">
        <v>218</v>
      </c>
      <c r="D89" s="72" t="str">
        <f t="shared" si="11"/>
        <v>FULLERTON HS</v>
      </c>
      <c r="E89" s="71">
        <v>28</v>
      </c>
      <c r="F89" s="71" t="str">
        <f>IF(G83="","W4",IF(G83&gt;I83,_xlfn.CONCAT("W4-",RIGHT(F83,LEN(F83) - FIND("-",F83))), _xlfn.CONCAT("W4-",RIGHT(H83,LEN(H83) - FIND("-",H83)))))</f>
        <v>W4-SOCAL</v>
      </c>
      <c r="G89" s="73">
        <v>8</v>
      </c>
      <c r="H89" s="71" t="str">
        <f>IF(G84="","W8",IF(G84&gt;I84,_xlfn.CONCAT("W8-",RIGHT(F84,LEN(F84) - FIND("-",F84))), _xlfn.CONCAT("W8-",RIGHT(H84,LEN(H84) - FIND("-",H84)))))</f>
        <v>W8-TEMPLE CITY YELLOW</v>
      </c>
      <c r="I89" s="71">
        <v>11</v>
      </c>
      <c r="J89" s="71" t="s">
        <v>1806</v>
      </c>
      <c r="K89" s="71">
        <v>51</v>
      </c>
      <c r="L89" s="71" t="str">
        <f t="shared" si="12"/>
        <v>16BQ-028</v>
      </c>
    </row>
    <row r="90" spans="1:12" ht="14.1" customHeight="1">
      <c r="A90" s="69">
        <f>$A$2</f>
        <v>46226</v>
      </c>
      <c r="B90" s="70">
        <f>'CHICLETS MASTER S2'!X11</f>
        <v>0.53472222222222199</v>
      </c>
      <c r="C90" s="71" t="s">
        <v>218</v>
      </c>
      <c r="D90" s="72" t="str">
        <f t="shared" si="11"/>
        <v>FULLERTON HS</v>
      </c>
      <c r="E90" s="71">
        <v>32</v>
      </c>
      <c r="F90" s="71" t="str">
        <f>IF(G83="","L4",IF(G83&lt;I83,_xlfn.CONCAT("L4-",RIGHT(F83,LEN(F83) - FIND("-",F83))), _xlfn.CONCAT("L4-",RIGHT(H83,LEN(H83) - FIND("-",H83)))))</f>
        <v>L4-CHULA VISTA PREMIER</v>
      </c>
      <c r="G90" s="73">
        <v>15</v>
      </c>
      <c r="H90" s="71" t="str">
        <f>IF(G84="","L8",IF(G84&lt;I84,_xlfn.CONCAT("L8-",RIGHT(F84,LEN(F84) - FIND("-",F84))), _xlfn.CONCAT("L8-",RIGHT(H84,LEN(H84) - FIND("-",H84)))))</f>
        <v>L8-CC UNITED RED</v>
      </c>
      <c r="I90" s="71">
        <v>5</v>
      </c>
      <c r="J90" s="71">
        <v>52</v>
      </c>
      <c r="K90" s="71" t="s">
        <v>1807</v>
      </c>
      <c r="L90" s="71" t="str">
        <f>IF(E90="","",$L$15&amp;"-"&amp;TEXT(E90,"000"))</f>
        <v>16BQ-032</v>
      </c>
    </row>
    <row r="91" spans="1:12" ht="14.1" customHeight="1">
      <c r="A91" s="69">
        <f>$A$2</f>
        <v>46226</v>
      </c>
      <c r="B91" s="70">
        <f>'CHICLETS MASTER S2'!X12</f>
        <v>0.56944444444444497</v>
      </c>
      <c r="C91" s="71" t="s">
        <v>218</v>
      </c>
      <c r="D91" s="72" t="str">
        <f t="shared" si="11"/>
        <v>FULLERTON HS</v>
      </c>
      <c r="E91" s="71">
        <v>36</v>
      </c>
      <c r="F91" s="71" t="str">
        <f>IF(G85="","W12",IF(G85&gt;I85,_xlfn.CONCAT("W12-",RIGHT(F85,LEN(F85) - FIND("-",F85))), _xlfn.CONCAT("W12-",RIGHT(H85,LEN(H85) - FIND("-",H85)))))</f>
        <v>W12-AMERICAN RIVER GOLD</v>
      </c>
      <c r="G91" s="73">
        <v>7</v>
      </c>
      <c r="H91" s="71" t="str">
        <f>IF(G86="","W16",IF(G86&gt;I86,_xlfn.CONCAT("W16-",RIGHT(F86,LEN(F86) - FIND("-",F86))), _xlfn.CONCAT("W16-",RIGHT(H86,LEN(H86) - FIND("-",H86)))))</f>
        <v>W16-CLOVIS B</v>
      </c>
      <c r="I91" s="71">
        <v>5</v>
      </c>
      <c r="J91" s="71" t="s">
        <v>1808</v>
      </c>
      <c r="K91" s="71">
        <v>60</v>
      </c>
      <c r="L91" s="71" t="str">
        <f>IF(E91="","",$L$15&amp;"-"&amp;TEXT(E91,"000"))</f>
        <v>16BQ-036</v>
      </c>
    </row>
    <row r="92" spans="1:12" ht="14.1" customHeight="1">
      <c r="A92" s="69">
        <f>$A$2</f>
        <v>46226</v>
      </c>
      <c r="B92" s="70">
        <f>'CHICLETS MASTER S2'!X13</f>
        <v>0.60416666666666696</v>
      </c>
      <c r="C92" s="71" t="s">
        <v>218</v>
      </c>
      <c r="D92" s="72" t="str">
        <f t="shared" si="11"/>
        <v>FULLERTON HS</v>
      </c>
      <c r="E92" s="71">
        <v>40</v>
      </c>
      <c r="F92" s="71" t="str">
        <f>IF(G85="","L12",IF(G85&lt;I85,_xlfn.CONCAT("L12-",RIGHT(F85,LEN(F85) - FIND("-",F85))), _xlfn.CONCAT("L12-",RIGHT(H85,LEN(H85) - FIND("-",H85)))))</f>
        <v>L12-NEWBERG</v>
      </c>
      <c r="G92" s="73">
        <v>5</v>
      </c>
      <c r="H92" s="71" t="str">
        <f>IF(G86="","L16",IF(G86&lt;I86,_xlfn.CONCAT("L16-",RIGHT(F86,LEN(F86) - FIND("-",F86))), _xlfn.CONCAT("L16-",RIGHT(H86,LEN(H86) - FIND("-",H86)))))</f>
        <v>L16-HIELAND</v>
      </c>
      <c r="I92" s="71">
        <v>8</v>
      </c>
      <c r="J92" s="71">
        <v>56</v>
      </c>
      <c r="K92" s="71" t="s">
        <v>1809</v>
      </c>
      <c r="L92" s="71" t="str">
        <f>IF(E92="","",$L$15&amp;"-"&amp;TEXT(E92,"000"))</f>
        <v>16BQ-040</v>
      </c>
    </row>
    <row r="93" spans="1:12" ht="14.1" customHeight="1">
      <c r="A93" s="69">
        <f>$A$2</f>
        <v>46226</v>
      </c>
      <c r="B93" s="70">
        <f>'CHICLETS MASTER S2'!X14</f>
        <v>0.63888888888888895</v>
      </c>
      <c r="C93" s="71" t="s">
        <v>218</v>
      </c>
      <c r="D93" s="72" t="str">
        <f t="shared" si="11"/>
        <v>FULLERTON HS</v>
      </c>
      <c r="E93" s="71">
        <v>44</v>
      </c>
      <c r="F93" s="71" t="str">
        <f>IF(G87="","W20",IF(G87&gt;I87,_xlfn.CONCAT("W20-",RIGHT(F87,LEN(F87) - FIND("-",F87))), _xlfn.CONCAT("W20-",RIGHT(H87,LEN(H87) - FIND("-",H87)))))</f>
        <v>W20-VANGUARD WHITE</v>
      </c>
      <c r="G93" s="73">
        <v>9</v>
      </c>
      <c r="H93" s="71" t="str">
        <f>IF(G88="","W24",IF(G88&gt;I88,_xlfn.CONCAT("W24-",RIGHT(F88,LEN(F88) - FIND("-",F88))), _xlfn.CONCAT("W24-",RIGHT(H88,LEN(H88) - FIND("-",H88)))))</f>
        <v>W24-LB SHORE BLACK</v>
      </c>
      <c r="I93" s="71">
        <v>12</v>
      </c>
      <c r="J93" s="71" t="s">
        <v>1810</v>
      </c>
      <c r="K93" s="71">
        <v>56</v>
      </c>
      <c r="L93" s="71" t="str">
        <f>IF(E93="","",$L$15&amp;"-"&amp;TEXT(E93,"000"))</f>
        <v>16BQ-044</v>
      </c>
    </row>
    <row r="94" spans="1:12" ht="14.1" customHeight="1">
      <c r="A94" s="69">
        <f>$A$2</f>
        <v>46226</v>
      </c>
      <c r="B94" s="70">
        <f>'CHICLETS MASTER S2'!X15</f>
        <v>0.67361111111111105</v>
      </c>
      <c r="C94" s="71" t="s">
        <v>218</v>
      </c>
      <c r="D94" s="72" t="str">
        <f t="shared" si="11"/>
        <v>FULLERTON HS</v>
      </c>
      <c r="E94" s="71">
        <v>48</v>
      </c>
      <c r="F94" s="71" t="str">
        <f>IF(G87="","L20",IF(G87&lt;I87,_xlfn.CONCAT("L20-",RIGHT(F87,LEN(F87) - FIND("-",F87))), _xlfn.CONCAT("L20-",RIGHT(H87,LEN(H87) - FIND("-",H87)))))</f>
        <v>L20-BROOKLYN HUSTLE</v>
      </c>
      <c r="G94" s="73">
        <v>8</v>
      </c>
      <c r="H94" s="71" t="str">
        <f>IF(G88="","L24",IF(G88&lt;I88,_xlfn.CONCAT("L24-",RIGHT(F88,LEN(F88) - FIND("-",F88))), _xlfn.CONCAT("L24-",RIGHT(H88,LEN(H88) - FIND("-",H88)))))</f>
        <v>L24-LOYOLA</v>
      </c>
      <c r="I94" s="71">
        <v>14</v>
      </c>
      <c r="J94" s="71">
        <v>60</v>
      </c>
      <c r="K94" s="71" t="s">
        <v>1811</v>
      </c>
      <c r="L94" s="71" t="str">
        <f>IF(E94="","",$L$15&amp;"-"&amp;TEXT(E94,"000"))</f>
        <v>16BQ-048</v>
      </c>
    </row>
    <row r="95" spans="1:12" ht="14.1" customHeight="1">
      <c r="A95" s="75"/>
      <c r="B95" s="75"/>
      <c r="C95" s="60"/>
      <c r="D95" s="60"/>
      <c r="E95" s="60"/>
      <c r="F95" s="60"/>
      <c r="G95" s="64"/>
      <c r="H95" s="60"/>
      <c r="I95" s="60"/>
      <c r="J95" s="60"/>
      <c r="K95" s="60"/>
      <c r="L95" s="60"/>
    </row>
    <row r="96" spans="1:12" ht="14.1" customHeight="1">
      <c r="A96" s="69">
        <f>$A$2</f>
        <v>46226</v>
      </c>
      <c r="B96" s="70">
        <f>'CHICLETS MASTER S2'!X17</f>
        <v>0.74305555555555602</v>
      </c>
      <c r="C96" s="71" t="s">
        <v>140</v>
      </c>
      <c r="D96" s="72" t="str">
        <f t="shared" si="11"/>
        <v>FULLERTON HS</v>
      </c>
      <c r="E96" s="71">
        <v>52</v>
      </c>
      <c r="F96" s="76" t="str">
        <f>IF(G70="","L27",IF(G70&lt;I70,_xlfn.CONCAT("L27-",RIGHT(F70,LEN(F70) - FIND("-",F70))), _xlfn.CONCAT("L27-",RIGHT(H70,LEN(H70) - FIND("-",H70)))))</f>
        <v>L27-NORCAL TEAL</v>
      </c>
      <c r="G96" s="81">
        <v>7</v>
      </c>
      <c r="H96" s="77" t="str">
        <f>IF(G90="","W32",IF(G90&gt;I90,_xlfn.CONCAT("W32-",RIGHT(F90,LEN(F90) - FIND("-",F90))), _xlfn.CONCAT("W32-",RIGHT(H90,LEN(H90) - FIND("-",H90)))))</f>
        <v>W32-CHULA VISTA PREMIER</v>
      </c>
      <c r="I96" s="71">
        <v>11</v>
      </c>
      <c r="J96" s="71" t="s">
        <v>1623</v>
      </c>
      <c r="K96" s="71" t="s">
        <v>1624</v>
      </c>
      <c r="L96" s="71" t="str">
        <f>IF(E96="","",$L$15&amp;"-"&amp;TEXT(E96,"000"))</f>
        <v>16BQ-052</v>
      </c>
    </row>
    <row r="97" spans="1:12" ht="14.1" customHeight="1">
      <c r="A97" s="69">
        <f>$A$2</f>
        <v>46226</v>
      </c>
      <c r="B97" s="70">
        <f>'CHICLETS MASTER S2'!X18</f>
        <v>0.77777777777777801</v>
      </c>
      <c r="C97" s="71" t="s">
        <v>140</v>
      </c>
      <c r="D97" s="72" t="str">
        <f t="shared" si="11"/>
        <v>FULLERTON HS</v>
      </c>
      <c r="E97" s="71">
        <v>56</v>
      </c>
      <c r="F97" s="71" t="str">
        <f>IF(G93="","L44",IF(G93&lt;I93,_xlfn.CONCAT("L44-",RIGHT(F93,LEN(F93) - FIND("-",F93))), _xlfn.CONCAT("L44-",RIGHT(H93,LEN(H93) - FIND("-",H93)))))</f>
        <v>L44-VANGUARD WHITE</v>
      </c>
      <c r="G97" s="73">
        <v>9</v>
      </c>
      <c r="H97" s="71" t="str">
        <f>IF(G92="","W40",IF(G92&gt;I92,_xlfn.CONCAT("W40-",RIGHT(F92,LEN(F92) - FIND("-",F92))), _xlfn.CONCAT("W40-",RIGHT(H92,LEN(H92) - FIND("-",H92)))))</f>
        <v>W40-HIELAND</v>
      </c>
      <c r="I97" s="71">
        <v>6</v>
      </c>
      <c r="J97" s="71" t="s">
        <v>1635</v>
      </c>
      <c r="K97" s="71" t="s">
        <v>1636</v>
      </c>
      <c r="L97" s="71" t="str">
        <f>IF(E97="","",$L$15&amp;"-"&amp;TEXT(E97,"000"))</f>
        <v>16BQ-056</v>
      </c>
    </row>
    <row r="98" spans="1:12" ht="14.1" customHeight="1">
      <c r="A98" s="69">
        <f>$A$2</f>
        <v>46226</v>
      </c>
      <c r="B98" s="70">
        <f>'CHICLETS MASTER S2'!X19</f>
        <v>0.8125</v>
      </c>
      <c r="C98" s="71" t="s">
        <v>140</v>
      </c>
      <c r="D98" s="72" t="str">
        <f t="shared" si="11"/>
        <v>FULLERTON HS</v>
      </c>
      <c r="E98" s="71">
        <v>60</v>
      </c>
      <c r="F98" s="71" t="str">
        <f>IF(G91="","L36",IF(G91&lt;I91,_xlfn.CONCAT("L36-",RIGHT(F91,LEN(F91) - FIND("-",F91))), _xlfn.CONCAT("L36-",RIGHT(H91,LEN(H91) - FIND("-",H91)))))</f>
        <v>L36-CLOVIS B</v>
      </c>
      <c r="G98" s="73">
        <v>11</v>
      </c>
      <c r="H98" s="71" t="str">
        <f>IF(G94="","W48",IF(G94&gt;I94,_xlfn.CONCAT("W48-",RIGHT(F94,LEN(F94) - FIND("-",F94))), _xlfn.CONCAT("W48-",RIGHT(H94,LEN(H94) - FIND("-",H94)))))</f>
        <v>W48-LOYOLA</v>
      </c>
      <c r="I98" s="71">
        <v>8</v>
      </c>
      <c r="J98" s="71" t="s">
        <v>1631</v>
      </c>
      <c r="K98" s="71" t="s">
        <v>1632</v>
      </c>
      <c r="L98" s="71" t="str">
        <f>IF(E98="","",$L$15&amp;"-"&amp;TEXT(E98,"000"))</f>
        <v>16BQ-060</v>
      </c>
    </row>
    <row r="99" spans="1:12" ht="14.1" customHeight="1" thickBot="1"/>
    <row r="100" spans="1:12" ht="14.1" customHeight="1" thickTop="1" thickBot="1">
      <c r="A100" s="68" t="s">
        <v>196</v>
      </c>
      <c r="B100" s="82"/>
      <c r="C100" s="82"/>
      <c r="D100" s="82"/>
      <c r="E100" s="82"/>
      <c r="F100" s="82"/>
      <c r="G100" s="83"/>
      <c r="H100" s="82"/>
      <c r="I100" s="82"/>
      <c r="J100" s="82"/>
      <c r="K100" s="82"/>
      <c r="L100" s="82"/>
    </row>
    <row r="101" spans="1:12" s="60" customFormat="1" ht="14.1" customHeight="1">
      <c r="A101" s="61">
        <v>46227</v>
      </c>
    </row>
    <row r="102" spans="1:12" ht="14.1" customHeight="1">
      <c r="B102" s="84" t="s">
        <v>1637</v>
      </c>
      <c r="C102" s="60"/>
      <c r="D102" s="60"/>
      <c r="E102" s="60"/>
    </row>
    <row r="103" spans="1:12" ht="14.1" customHeight="1">
      <c r="A103" s="60"/>
      <c r="B103" s="85" t="s">
        <v>1638</v>
      </c>
      <c r="C103" s="85" t="s">
        <v>1639</v>
      </c>
      <c r="D103" s="85" t="s">
        <v>1640</v>
      </c>
      <c r="E103" s="85" t="s">
        <v>1641</v>
      </c>
    </row>
    <row r="104" spans="1:12" ht="14.1" customHeight="1">
      <c r="A104" s="60">
        <v>1</v>
      </c>
      <c r="B104" s="86" t="str">
        <f>IF(G35="","ni_M1(W33)",IF(G35&gt;I35,_xlfn.CONCAT("ni_M1(W33)-",RIGHT(F35,LEN(F35) - FIND("-",F35))), _xlfn.CONCAT("ni_M1(W33)-",RIGHT(H35,LEN(H35) - FIND("-",H35)))))</f>
        <v>ni_M1(W33)-SOUTH COAST WHITE</v>
      </c>
      <c r="C104" s="87" t="str">
        <f>IF(G25="","ni_N1(W41)",IF(G25&gt;I25,_xlfn.CONCAT("ni_N1(W41)-",RIGHT(F25,LEN(F25) - FIND("-",F25))), _xlfn.CONCAT("ni_N1(W41)-",RIGHT(H25,LEN(H25) - FIND("-",H25)))))</f>
        <v>ni_N1(W41)-NSD STARS</v>
      </c>
      <c r="D104" s="87" t="str">
        <f>IF(G33="","ni_O1(W25)",IF(G33&gt;I33,_xlfn.CONCAT("ni_O1(W25)-",RIGHT(F33,LEN(F33) - FIND("-",F33))), _xlfn.CONCAT("ni_O1(W25)-",RIGHT(H33,LEN(H33) - FIND("-",H33)))))</f>
        <v>ni_O1(W25)-DAVIS</v>
      </c>
      <c r="E104" s="86" t="str">
        <f>IF(G51="","ni_P1(W26)",IF(G51&gt;I51,_xlfn.CONCAT("ni_P1(W26)-",RIGHT(F51,LEN(F51) - FIND("-",F51))), _xlfn.CONCAT("ni_P1(W26)-",RIGHT(H51,LEN(H51) - FIND("-",H51)))))</f>
        <v>ni_P1(W26)-SUPREME</v>
      </c>
    </row>
    <row r="105" spans="1:12" ht="14.1" customHeight="1">
      <c r="A105" s="60">
        <v>2</v>
      </c>
      <c r="B105" s="87" t="str">
        <f>IF(G74="","ni_M2(W43)",IF(G74&gt;I74,_xlfn.CONCAT("ni_M2(W43)-",RIGHT(F74,LEN(F74) - FIND("-",F74))), _xlfn.CONCAT("ni_M2(W43)-",RIGHT(H74,LEN(H74) - FIND("-",H74)))))</f>
        <v>ni_M2(W43)-SACRAMENTO BLACK</v>
      </c>
      <c r="C105" s="86" t="str">
        <f>IF(G72="","ni_N2(W35)",IF(G72&gt;I72,_xlfn.CONCAT("ni_N2(W35)-",RIGHT(F72,LEN(F72) - FIND("-",F72))), _xlfn.CONCAT("ni_N2(W35)-",RIGHT(H72,LEN(H72) - FIND("-",H72)))))</f>
        <v>ni_N2(W35)-CMAC</v>
      </c>
      <c r="D105" s="87" t="str">
        <f>IF(G55="","ni_O2(W42)",IF(G55&gt;I55,_xlfn.CONCAT("ni_O2(W42)-",RIGHT(F55,LEN(F55) - FIND("-",F55))), _xlfn.CONCAT("ni_O2(W42)-",RIGHT(H55,LEN(H55) - FIND("-",H55)))))</f>
        <v>ni_O2(W42)-680 BLUE</v>
      </c>
      <c r="E105" s="87" t="str">
        <f>IF(G53="","ni_P2(W34)",IF(G53&gt;I53,_xlfn.CONCAT("ni_P2(W34)-",RIGHT(F53,LEN(F53) - FIND("-",F53))), _xlfn.CONCAT("ni_P2(W34)-",RIGHT(H53,LEN(H53) - FIND("-",H53)))))</f>
        <v>ni_P2(W34)-NAVY</v>
      </c>
    </row>
    <row r="106" spans="1:12" ht="14.1" customHeight="1">
      <c r="A106" s="60">
        <v>3</v>
      </c>
      <c r="B106" s="87" t="str">
        <f>IF(G70="","ni_M3(W27)",IF(G70&gt;I70,_xlfn.CONCAT("ni_M3(W27)-",RIGHT(F70,LEN(F70) - FIND("-",F70))), _xlfn.CONCAT("ni_M3(W27)-",RIGHT(H70,LEN(H70) - FIND("-",H70)))))</f>
        <v>ni_M3(W27)-BLUE CRUSH</v>
      </c>
      <c r="C106" s="87" t="str">
        <f>IF(G89="","ni_N3(W28)",IF(G89&gt;I89,_xlfn.CONCAT("ni_N3(W28)-",RIGHT(F89,LEN(F89) - FIND("-",F89))), _xlfn.CONCAT("ni_N3(W28)-",RIGHT(H89,LEN(H89) - FIND("-",H89)))))</f>
        <v>ni_N3(W28)-TEMPLE CITY YELLOW</v>
      </c>
      <c r="D106" s="87" t="str">
        <f>IF(G91="","ni_O3(W36)",IF(G91&gt;I91,_xlfn.CONCAT("ni_O3(W36)-",RIGHT(F91,LEN(F91) - FIND("-",F91))), _xlfn.CONCAT("ni_O3(W36)-",RIGHT(H91,LEN(H91) - FIND("-",H91)))))</f>
        <v>ni_O3(W36)-AMERICAN RIVER GOLD</v>
      </c>
      <c r="E106" s="87" t="str">
        <f>IF(G93="","ni_P3(W44)",IF(G93&gt;I93,_xlfn.CONCAT("ni_P3(W44)-",RIGHT(F93,LEN(F93) - FIND("-",F93))), _xlfn.CONCAT("ni_P3(W44)-",RIGHT(H93,LEN(H93) - FIND("-",H93)))))</f>
        <v>ni_P3(W44)-LB SHORE BLACK</v>
      </c>
    </row>
    <row r="108" spans="1:12" ht="14.1" customHeight="1">
      <c r="B108" s="85" t="s">
        <v>1654</v>
      </c>
      <c r="C108" s="85" t="s">
        <v>1655</v>
      </c>
      <c r="D108" s="85" t="s">
        <v>1656</v>
      </c>
      <c r="E108" s="85" t="s">
        <v>1657</v>
      </c>
    </row>
    <row r="109" spans="1:12" ht="14.1" customHeight="1">
      <c r="A109" s="60">
        <v>1</v>
      </c>
      <c r="B109" s="87" t="str">
        <f>IF(G97="","ni_R1(W56)",IF(G97&gt;I97,_xlfn.CONCAT("ni_R1(W56)-",RIGHT(F97,LEN(F97) - FIND("-",F97))), _xlfn.CONCAT("ni_R1(W56)-",RIGHT(H97,LEN(H97) - FIND("-",H97)))))</f>
        <v>ni_R1(W56)-VANGUARD WHITE</v>
      </c>
      <c r="C109" s="87" t="str">
        <f>IF(G98="","ni_S1(W60)",IF(G98&gt;I98,_xlfn.CONCAT("ni_S1(W60)-",RIGHT(F98,LEN(F98) - FIND("-",F98))), _xlfn.CONCAT("ni_S1(W60)-",RIGHT(H98,LEN(H98) - FIND("-",H98)))))</f>
        <v>ni_S1(W60)-CLOVIS B</v>
      </c>
      <c r="D109" s="87" t="str">
        <f>IF(G77="","ni_T1(W51)",IF(G77&gt;I77,_xlfn.CONCAT("ni_T1(W51)-",RIGHT(F77,LEN(F77) - FIND("-",F77))), _xlfn.CONCAT("ni_T1(W51)-",RIGHT(H77,LEN(H77) - FIND("-",H77)))))</f>
        <v>ni_T1(W51)-SOCAL</v>
      </c>
      <c r="E109" s="86" t="str">
        <f>IF(G96="","ni_U1(W52)",IF(G96&gt;I96,_xlfn.CONCAT("ni_U1(W52)-",RIGHT(F96,LEN(F96) - FIND("-",F96))), _xlfn.CONCAT("ni_U1(W52)-",RIGHT(H96,LEN(H96) - FIND("-",H96)))))</f>
        <v>ni_U1(W52)-CHULA VISTA PREMIER</v>
      </c>
    </row>
    <row r="110" spans="1:12" ht="14.1" customHeight="1">
      <c r="A110" s="60">
        <v>2</v>
      </c>
      <c r="B110" s="87" t="str">
        <f>IF(G60="","ni_R2(W58)",IF(G60&gt;I60,_xlfn.CONCAT("ni_R2(W58)-",RIGHT(F60,LEN(F60) - FIND("-",F60))), _xlfn.CONCAT("ni_R2(W58)-",RIGHT(H60,LEN(H60) - FIND("-",H60)))))</f>
        <v>ni_R2(W58)-TRILOGY</v>
      </c>
      <c r="C110" s="87" t="str">
        <f>IF(G59="","ni_S2(W54)",IF(G59&gt;I59,_xlfn.CONCAT("ni_S2(W54)-",RIGHT(F59,LEN(F59) - FIND("-",F59))), _xlfn.CONCAT("ni_S2(W54)-",RIGHT(H59,LEN(H59) - FIND("-",H59)))))</f>
        <v>ni_S2(W54)-INNIS ARDEN</v>
      </c>
      <c r="D110" s="86" t="str">
        <f>IF(G79="","ni_T2(W59)",IF(G79&gt;I79,_xlfn.CONCAT("ni_T2(W59)-",RIGHT(F79,LEN(F79) - FIND("-",F79))), _xlfn.CONCAT("ni_T2(W59)-",RIGHT(H79,LEN(H79) - FIND("-",H79)))))</f>
        <v>ni_T2(W59)-DEVILS GATE</v>
      </c>
      <c r="E110" s="86" t="str">
        <f>IF(G78="","ni_U2(W55)",IF(G78&gt;I78,_xlfn.CONCAT("ni_U2(W55)-",RIGHT(F78,LEN(F78) - FIND("-",F78))), _xlfn.CONCAT("ni_U2(W55)-",RIGHT(H78,LEN(H78) - FIND("-",H78)))))</f>
        <v>ni_U2(W55)-SMAC</v>
      </c>
    </row>
    <row r="111" spans="1:12" ht="14.1" customHeight="1">
      <c r="A111" s="60">
        <v>3</v>
      </c>
      <c r="B111" s="87" t="str">
        <f>IF(G40="","ni_R3(W49)",IF(G40&gt;I40,_xlfn.CONCAT("ni_R3(W49)-",RIGHT(F40,LEN(F40) - FIND("-",F40))), _xlfn.CONCAT("ni_R3(W49)-",RIGHT(H40,LEN(H40) - FIND("-",H40)))))</f>
        <v>ni_R3(W49)-PRINCETON</v>
      </c>
      <c r="C111" s="87" t="str">
        <f>IF(G58="","ni_S3(W50)",IF(G58&gt;I58,_xlfn.CONCAT("ni_S3(W50)-",RIGHT(F58,LEN(F58) - FIND("-",F58))), _xlfn.CONCAT("ni_S3(W50)-",RIGHT(H58,LEN(H58) - FIND("-",H58)))))</f>
        <v>ni_S3(W50)-CARMEL</v>
      </c>
      <c r="D111" s="87" t="str">
        <f>IF(G41="","ni_T3(W53)",IF(G41&gt;I41,_xlfn.CONCAT("ni_T3(W53)-",RIGHT(F41,LEN(F41) - FIND("-",F41))), _xlfn.CONCAT("ni_T3(W53)-",RIGHT(H41,LEN(H41) - FIND("-",H41)))))</f>
        <v>ni_T3(W53)-VNITED B</v>
      </c>
      <c r="E111" s="87" t="str">
        <f>IF(G27="","ni_U3(W57)",IF(G27&gt;I27,_xlfn.CONCAT("ni_U3(W57)-",RIGHT(F27,LEN(F27) - FIND("-",F27))), _xlfn.CONCAT("ni_U3(W57)-",RIGHT(H27,LEN(H27) - FIND("-",H27)))))</f>
        <v>ni_U3(W57)-SANTA BARBARA WPC B</v>
      </c>
    </row>
    <row r="113" spans="1:15" ht="14.1" customHeight="1">
      <c r="A113" s="60"/>
      <c r="B113" s="84" t="s">
        <v>1666</v>
      </c>
      <c r="C113" s="60"/>
      <c r="D113" s="60"/>
      <c r="E113" s="60"/>
    </row>
    <row r="114" spans="1:15" ht="14.1" customHeight="1">
      <c r="A114" s="60"/>
      <c r="B114" s="88" t="s">
        <v>1667</v>
      </c>
      <c r="C114" s="88" t="s">
        <v>1668</v>
      </c>
      <c r="D114" s="88" t="s">
        <v>1669</v>
      </c>
      <c r="E114" s="88" t="s">
        <v>1670</v>
      </c>
    </row>
    <row r="115" spans="1:15" ht="14.1" customHeight="1">
      <c r="A115" s="60">
        <v>1</v>
      </c>
      <c r="B115" s="87" t="str">
        <f>IF(G41="","cu_M1(L53)",IF(G41&lt;I41,_xlfn.CONCAT("cu_M1(L53)-",RIGHT(F41,LEN(F41) - FIND("-",F41))), _xlfn.CONCAT("cu_M1(L53)-",RIGHT(H41,LEN(H41) - FIND("-",H41)))))</f>
        <v>cu_M1(L53)-CCU WHITE</v>
      </c>
      <c r="C115" s="87" t="str">
        <f>IF(G27="","cu_N1(L57)",IF(G27&lt;I27,_xlfn.CONCAT("cu_N1(L57)-",RIGHT(F27,LEN(F27) - FIND("-",F27))), _xlfn.CONCAT("cu_N1(L57)-",RIGHT(H27,LEN(H27) - FIND("-",H27)))))</f>
        <v>cu_N1(L57)-PRAETORIAN WHITE</v>
      </c>
      <c r="D115" s="87" t="str">
        <f>IF(G40="","cu_O1(L49)",IF(G40&lt;I40,_xlfn.CONCAT("cu_O1(L49)-",RIGHT(F40,LEN(F40) - FIND("-",F40))), _xlfn.CONCAT("cu_O1(L49)-",RIGHT(H40,LEN(H40) - FIND("-",H40)))))</f>
        <v>cu_O1(L49)-SANTA CRUZ B</v>
      </c>
      <c r="E115" s="87" t="str">
        <f>IF(G58="","cu_P1(L50)",IF(G58&lt;I58,_xlfn.CONCAT("cu_P1(L50)-",RIGHT(F58,LEN(F58) - FIND("-",F58))), _xlfn.CONCAT("cu_P1(L50)-",RIGHT(H58,LEN(H58) - FIND("-",H58)))))</f>
        <v>cu_P1(L50)-LOKAHI</v>
      </c>
    </row>
    <row r="116" spans="1:15" ht="14.1" customHeight="1">
      <c r="A116" s="60">
        <v>2</v>
      </c>
      <c r="B116" s="86" t="str">
        <f>IF(G79="","cu_M2(L59)",IF(G79&lt;I79,_xlfn.CONCAT("cu_M2(L59)-",RIGHT(F79,LEN(F79) - FIND("-",F79))), _xlfn.CONCAT("cu_M2(L59)-",RIGHT(H79,LEN(H79) - FIND("-",H79)))))</f>
        <v>cu_M2(L59)-RAIN CITY</v>
      </c>
      <c r="C116" s="86" t="str">
        <f>IF(G78="","cu_N2(L55)",IF(G78&lt;I78,_xlfn.CONCAT("cu_N2(L55)-",RIGHT(F78,LEN(F78) - FIND("-",F78))), _xlfn.CONCAT("cu_N2(L55)-",RIGHT(H78,LEN(H78) - FIND("-",H78)))))</f>
        <v>cu_N2(L55)-SD SHORES WHITE</v>
      </c>
      <c r="D116" s="87" t="str">
        <f>IF(G60="","cu_O2(L58)",IF(G60&lt;I60,_xlfn.CONCAT("cu_O2(L58)-",RIGHT(F60,LEN(F60) - FIND("-",F60))), _xlfn.CONCAT("cu_O2(L58)-",RIGHT(H60,LEN(H60) - FIND("-",H60)))))</f>
        <v>cu_O2(L58)-SOVA</v>
      </c>
      <c r="E116" s="87" t="str">
        <f>IF(G59="","cu_P2(L54)",IF(G59&lt;I59,_xlfn.CONCAT("cu_P2(L54)-",RIGHT(F59,LEN(F59) - FIND("-",F59))), _xlfn.CONCAT("cu_P2(L54)-",RIGHT(H59,LEN(H59) - FIND("-",H59)))))</f>
        <v>cu_P2(L54)-SAN JOSE FOUNDATION B</v>
      </c>
    </row>
    <row r="117" spans="1:15" ht="14.1" customHeight="1">
      <c r="A117" s="60">
        <v>3</v>
      </c>
      <c r="B117" s="86" t="str">
        <f>IF(G77="","cu_M3(L51)",IF(G77&lt;I77,_xlfn.CONCAT("cu_M3(L51)-",RIGHT(F77,LEN(F77) - FIND("-",F77))), _xlfn.CONCAT("cu_M3(L51)-",RIGHT(H77,LEN(H77) - FIND("-",H77)))))</f>
        <v>cu_M3(L51)-CHAWP BLUE</v>
      </c>
      <c r="C117" s="86" t="str">
        <f>IF(G96="","cu_N3(L52)",IF(G96&lt;I96,_xlfn.CONCAT("cu_N3(L52)-",RIGHT(F96,LEN(F96) - FIND("-",F96))), _xlfn.CONCAT("cu_N3(L52)-",RIGHT(H96,LEN(H96) - FIND("-",H96)))))</f>
        <v>cu_N3(L52)-NORCAL TEAL</v>
      </c>
      <c r="D117" s="87" t="str">
        <f>IF(G97="","cu_O3(L56)",IF(G97&lt;I97,_xlfn.CONCAT("cu_O3(L56)-",RIGHT(F97,LEN(F97) - FIND("-",F97))), _xlfn.CONCAT("cu_O3(L56)-",RIGHT(H97,LEN(H97) - FIND("-",H97)))))</f>
        <v>cu_O3(L56)-HIELAND</v>
      </c>
      <c r="E117" s="87" t="str">
        <f>IF(G98="","cu_P3(L60)",IF(G98&lt;I98,_xlfn.CONCAT("cu_P3(L60)-",RIGHT(F98,LEN(F98) - FIND("-",F98))), _xlfn.CONCAT("cu_P3(L60)-",RIGHT(H98,LEN(H98) - FIND("-",H98)))))</f>
        <v>cu_P3(L60)-LOYOLA</v>
      </c>
    </row>
    <row r="118" spans="1:15" ht="14.1" customHeight="1">
      <c r="B118" s="60"/>
      <c r="C118" s="60"/>
      <c r="D118" s="60"/>
      <c r="E118" s="60"/>
    </row>
    <row r="119" spans="1:15" ht="14.1" customHeight="1">
      <c r="B119" s="88" t="s">
        <v>1812</v>
      </c>
      <c r="C119" s="88" t="s">
        <v>1813</v>
      </c>
      <c r="D119" s="88" t="s">
        <v>1814</v>
      </c>
      <c r="E119" s="88" t="s">
        <v>1815</v>
      </c>
    </row>
    <row r="120" spans="1:15" ht="14.1" customHeight="1">
      <c r="A120" s="60">
        <v>1</v>
      </c>
      <c r="B120" s="87" t="str">
        <f>IF(G94="","cu_R1(L48)",IF(G94&lt;I94,_xlfn.CONCAT("cu_R1(L48)-",RIGHT(F94,LEN(F94) - FIND("-",F94))), _xlfn.CONCAT("cu_R1(L48)-",RIGHT(H94,LEN(H94) - FIND("-",H94)))))</f>
        <v>cu_R1(L48)-BROOKLYN HUSTLE</v>
      </c>
      <c r="C120" s="87" t="str">
        <f>IF(G92="","cu_S1(L40)",IF(G92&lt;I92,_xlfn.CONCAT("cu_S1(L40)-",RIGHT(F92,LEN(F92) - FIND("-",F92))), _xlfn.CONCAT("cu_S1(L40)-",RIGHT(H92,LEN(H92) - FIND("-",H92)))))</f>
        <v>cu_S1(L40)-NEWBERG</v>
      </c>
      <c r="D120" s="87" t="str">
        <f>IF(G90="","cu_T1(L32)",IF(G90&lt;I90,_xlfn.CONCAT("cu_T1(L32)-",RIGHT(F90,LEN(F90) - FIND("-",F90))), _xlfn.CONCAT("cu_T1(L32)-",RIGHT(H90,LEN(H90) - FIND("-",H90)))))</f>
        <v>cu_T1(L32)-CC UNITED RED</v>
      </c>
      <c r="E120" s="86" t="str">
        <f>IF(G71="","cu_U1(L31)",IF(G71&lt;I71,_xlfn.CONCAT("cu_U1(L31)-",RIGHT(F71,LEN(F71) - FIND("-",F71))), _xlfn.CONCAT("cu_U1(L31)-",RIGHT(H71,LEN(H71) - FIND("-",H71)))))</f>
        <v>cu_U1(L31)-SAND CANYON RED</v>
      </c>
    </row>
    <row r="121" spans="1:15" ht="14.1" customHeight="1">
      <c r="A121" s="60">
        <v>2</v>
      </c>
      <c r="B121" s="87" t="str">
        <f>IF(G54="","cu_R2(L38)",IF(G54&lt;I54,_xlfn.CONCAT("cu_R2(L38)-",RIGHT(F54,LEN(F54) - FIND("-",F54))), _xlfn.CONCAT("cu_R2(L38)-",RIGHT(H54,LEN(H54) - FIND("-",H54)))))</f>
        <v>cu_R2(L38)-ELITE</v>
      </c>
      <c r="C121" s="87" t="str">
        <f>IF(G56="","cu_S2(L46)",IF(G56&lt;I56,_xlfn.CONCAT("cu_S2(L46)-",RIGHT(F56,LEN(F56) - FIND("-",F56))), _xlfn.CONCAT("cu_S2(L46)-",RIGHT(H56,LEN(H56) - FIND("-",H56)))))</f>
        <v>cu_S2(L46)-WCAC UNITED B</v>
      </c>
      <c r="D121" s="86" t="str">
        <f>IF(G73="","cu_T2(L39)",IF(G73&lt;I73,_xlfn.CONCAT("cu_T2(L39)-",RIGHT(F73,LEN(F73) - FIND("-",F73))), _xlfn.CONCAT("cu_T2(L39)-",RIGHT(H73,LEN(H73) - FIND("-",H73)))))</f>
        <v>cu_T2(L39)-PALOS VERDES BLUE</v>
      </c>
      <c r="E121" s="86" t="str">
        <f>IF(G75="","cu_U2(L47)",IF(G75&lt;I75,_xlfn.CONCAT("cu_U2(L47)-",RIGHT(F75,LEN(F75) - FIND("-",F75))), _xlfn.CONCAT("cu_U2(L47)-",RIGHT(H75,LEN(H75) - FIND("-",H75)))))</f>
        <v>cu_U2(L47)-NWC</v>
      </c>
    </row>
    <row r="122" spans="1:15" ht="14.1" customHeight="1">
      <c r="A122" s="60">
        <v>3</v>
      </c>
      <c r="B122" s="86" t="str">
        <f>IF(G52="","cu_R3(L30)",IF(G52&lt;I52,_xlfn.CONCAT("cu_R3(L30)-",RIGHT(F52,LEN(F52) - FIND("-",F52))), _xlfn.CONCAT("cu_R3(L30)-",RIGHT(H52,LEN(H52) - FIND("-",H52)))))</f>
        <v>cu_R3(L30)-SAN JOSE EXPRESS GOLD</v>
      </c>
      <c r="C122" s="87" t="str">
        <f>IF(G34="","cu_S3(L29)",IF(G34&lt;I34,_xlfn.CONCAT("cu_S3(L29)-",RIGHT(F34,LEN(F34) - FIND("-",F34))), _xlfn.CONCAT("cu_S3(L29)-",RIGHT(H34,LEN(H34) - FIND("-",H34)))))</f>
        <v>cu_S3(L29)-ECA B</v>
      </c>
      <c r="D122" s="87" t="str">
        <f>IF(G37="","cu_T3(L45)",IF(G37&lt;I37,_xlfn.CONCAT("cu_T3(L45)-",RIGHT(F37,LEN(F37) - FIND("-",F37))), _xlfn.CONCAT("cu_T3(L45)-",RIGHT(H37,LEN(H37) - FIND("-",H37)))))</f>
        <v>cu_T3(L45)-TRILOGY B</v>
      </c>
      <c r="E122" s="86" t="str">
        <f>IF(G36="","cu_U3(L37)",IF(G36&lt;I36,_xlfn.CONCAT("cu_U3(L37)-",RIGHT(F36,LEN(F36) - FIND("-",F36))), _xlfn.CONCAT("cu_U3(L37)-",RIGHT(H36,LEN(H36) - FIND("-",H36)))))</f>
        <v>cu_U3(L37)-BREA OLINDA</v>
      </c>
    </row>
    <row r="123" spans="1:15" ht="14.1" customHeight="1" thickBot="1">
      <c r="B123" s="60"/>
      <c r="C123" s="60"/>
      <c r="D123" s="60"/>
      <c r="E123" s="60"/>
      <c r="F123" s="60"/>
      <c r="G123" s="64"/>
      <c r="H123" s="60"/>
      <c r="I123" s="60"/>
      <c r="J123" s="60"/>
      <c r="K123" s="60"/>
      <c r="L123" s="60"/>
    </row>
    <row r="124" spans="1:15" ht="14.1" customHeight="1" thickBot="1">
      <c r="B124" s="60"/>
      <c r="C124" s="60"/>
      <c r="D124" s="68" t="str">
        <f>'CHICLETS MASTER S2'!$AG$27</f>
        <v>GOLDEN WEST COLLEGE 1</v>
      </c>
      <c r="E124" s="60"/>
      <c r="F124" s="60"/>
      <c r="G124" s="64"/>
      <c r="H124" s="60"/>
      <c r="I124" s="60"/>
      <c r="J124" s="60"/>
      <c r="K124" s="60"/>
      <c r="L124" s="60"/>
    </row>
    <row r="125" spans="1:15" ht="14.1" customHeight="1">
      <c r="A125" s="306" t="s">
        <v>124</v>
      </c>
      <c r="B125" s="306" t="s">
        <v>125</v>
      </c>
      <c r="C125" s="306" t="s">
        <v>126</v>
      </c>
      <c r="D125" s="306" t="s">
        <v>127</v>
      </c>
      <c r="E125" s="306" t="s">
        <v>128</v>
      </c>
      <c r="F125" s="306" t="s">
        <v>129</v>
      </c>
      <c r="G125" s="306" t="s">
        <v>130</v>
      </c>
      <c r="H125" s="306" t="s">
        <v>131</v>
      </c>
      <c r="I125" s="306" t="s">
        <v>130</v>
      </c>
      <c r="J125" s="306" t="s">
        <v>132</v>
      </c>
      <c r="K125" s="306" t="s">
        <v>133</v>
      </c>
      <c r="L125" s="306" t="s">
        <v>134</v>
      </c>
    </row>
    <row r="126" spans="1:15" ht="14.1" customHeight="1">
      <c r="A126" s="89">
        <f t="shared" ref="A126:A137" si="13">$A$101</f>
        <v>46227</v>
      </c>
      <c r="B126" s="70">
        <f>'CHICLETS MASTER S2'!X28</f>
        <v>0.29166666666666669</v>
      </c>
      <c r="C126" s="71" t="s">
        <v>218</v>
      </c>
      <c r="D126" s="119" t="str">
        <f t="shared" ref="D126:D137" si="14">$D$124</f>
        <v>GOLDEN WEST COLLEGE 1</v>
      </c>
      <c r="E126" s="71">
        <v>61</v>
      </c>
      <c r="F126" s="90" t="str">
        <f>B105</f>
        <v>ni_M2(W43)-SACRAMENTO BLACK</v>
      </c>
      <c r="G126" s="90">
        <v>6</v>
      </c>
      <c r="H126" s="90" t="str">
        <f>B106</f>
        <v>ni_M3(W27)-BLUE CRUSH</v>
      </c>
      <c r="I126" s="90">
        <v>8</v>
      </c>
      <c r="J126" s="90"/>
      <c r="K126" s="90"/>
      <c r="L126" s="90" t="str">
        <f t="shared" ref="L126:L137" si="15">IF(E126="","",$L$15&amp;"-"&amp;TEXT(E126,"000"))</f>
        <v>16BQ-061</v>
      </c>
      <c r="O126" s="62" t="str">
        <f t="shared" ref="O126:O137" si="16">$K$263&amp;C126</f>
        <v>ni_Group</v>
      </c>
    </row>
    <row r="127" spans="1:15" ht="14.1" customHeight="1">
      <c r="A127" s="89">
        <f t="shared" si="13"/>
        <v>46227</v>
      </c>
      <c r="B127" s="70">
        <f>'CHICLETS MASTER S2'!X29</f>
        <v>0.3263888888888889</v>
      </c>
      <c r="C127" s="71" t="s">
        <v>218</v>
      </c>
      <c r="D127" s="119" t="str">
        <f t="shared" si="14"/>
        <v>GOLDEN WEST COLLEGE 1</v>
      </c>
      <c r="E127" s="71">
        <v>65</v>
      </c>
      <c r="F127" s="90" t="str">
        <f>C105</f>
        <v>ni_N2(W35)-CMAC</v>
      </c>
      <c r="G127" s="90">
        <v>4</v>
      </c>
      <c r="H127" s="90" t="str">
        <f>C106</f>
        <v>ni_N3(W28)-TEMPLE CITY YELLOW</v>
      </c>
      <c r="I127" s="90">
        <v>9</v>
      </c>
      <c r="J127" s="90"/>
      <c r="K127" s="90"/>
      <c r="L127" s="90" t="str">
        <f t="shared" si="15"/>
        <v>16BQ-065</v>
      </c>
      <c r="O127" s="62" t="str">
        <f t="shared" si="16"/>
        <v>ni_Group</v>
      </c>
    </row>
    <row r="128" spans="1:15" ht="14.1" customHeight="1">
      <c r="A128" s="89">
        <f t="shared" si="13"/>
        <v>46227</v>
      </c>
      <c r="B128" s="70">
        <f>'CHICLETS MASTER S2'!X30</f>
        <v>0.36111111111111099</v>
      </c>
      <c r="C128" s="71" t="s">
        <v>218</v>
      </c>
      <c r="D128" s="119" t="str">
        <f t="shared" si="14"/>
        <v>GOLDEN WEST COLLEGE 1</v>
      </c>
      <c r="E128" s="71">
        <v>69</v>
      </c>
      <c r="F128" s="90" t="str">
        <f>C109</f>
        <v>ni_S1(W60)-CLOVIS B</v>
      </c>
      <c r="G128" s="90">
        <v>8</v>
      </c>
      <c r="H128" s="90" t="str">
        <f>C110</f>
        <v>ni_S2(W54)-INNIS ARDEN</v>
      </c>
      <c r="I128" s="90">
        <v>4</v>
      </c>
      <c r="J128" s="90"/>
      <c r="K128" s="90"/>
      <c r="L128" s="90" t="str">
        <f t="shared" si="15"/>
        <v>16BQ-069</v>
      </c>
      <c r="O128" s="62" t="str">
        <f t="shared" si="16"/>
        <v>ni_Group</v>
      </c>
    </row>
    <row r="129" spans="1:15" ht="14.1" customHeight="1">
      <c r="A129" s="89">
        <f t="shared" si="13"/>
        <v>46227</v>
      </c>
      <c r="B129" s="70">
        <f>'CHICLETS MASTER S2'!X31</f>
        <v>0.39583333333333398</v>
      </c>
      <c r="C129" s="71" t="s">
        <v>218</v>
      </c>
      <c r="D129" s="119" t="str">
        <f t="shared" si="14"/>
        <v>GOLDEN WEST COLLEGE 1</v>
      </c>
      <c r="E129" s="71">
        <v>73</v>
      </c>
      <c r="F129" s="90" t="str">
        <f>B109</f>
        <v>ni_R1(W56)-VANGUARD WHITE</v>
      </c>
      <c r="G129" s="90">
        <v>7</v>
      </c>
      <c r="H129" s="90" t="str">
        <f>B110</f>
        <v>ni_R2(W58)-TRILOGY</v>
      </c>
      <c r="I129" s="90">
        <v>8</v>
      </c>
      <c r="J129" s="90"/>
      <c r="K129" s="90"/>
      <c r="L129" s="90" t="str">
        <f t="shared" si="15"/>
        <v>16BQ-073</v>
      </c>
      <c r="O129" s="62" t="str">
        <f t="shared" si="16"/>
        <v>ni_Group</v>
      </c>
    </row>
    <row r="130" spans="1:15" ht="14.1" customHeight="1">
      <c r="A130" s="89">
        <f t="shared" si="13"/>
        <v>46227</v>
      </c>
      <c r="B130" s="70">
        <f>'CHICLETS MASTER S2'!X32</f>
        <v>0.43055555555555602</v>
      </c>
      <c r="C130" s="71" t="s">
        <v>218</v>
      </c>
      <c r="D130" s="119" t="str">
        <f t="shared" si="14"/>
        <v>GOLDEN WEST COLLEGE 1</v>
      </c>
      <c r="E130" s="71">
        <v>77</v>
      </c>
      <c r="F130" s="90" t="str">
        <f>B104</f>
        <v>ni_M1(W33)-SOUTH COAST WHITE</v>
      </c>
      <c r="G130" s="90">
        <v>13</v>
      </c>
      <c r="H130" s="90" t="str">
        <f>B106</f>
        <v>ni_M3(W27)-BLUE CRUSH</v>
      </c>
      <c r="I130" s="90">
        <v>5</v>
      </c>
      <c r="J130" s="90"/>
      <c r="K130" s="90"/>
      <c r="L130" s="90" t="str">
        <f t="shared" si="15"/>
        <v>16BQ-077</v>
      </c>
      <c r="O130" s="62" t="str">
        <f t="shared" si="16"/>
        <v>ni_Group</v>
      </c>
    </row>
    <row r="131" spans="1:15" ht="14.1" customHeight="1">
      <c r="A131" s="89">
        <f t="shared" si="13"/>
        <v>46227</v>
      </c>
      <c r="B131" s="70">
        <f>'CHICLETS MASTER S2'!X33</f>
        <v>0.46527777777777801</v>
      </c>
      <c r="C131" s="71" t="s">
        <v>218</v>
      </c>
      <c r="D131" s="119" t="str">
        <f t="shared" si="14"/>
        <v>GOLDEN WEST COLLEGE 1</v>
      </c>
      <c r="E131" s="71">
        <v>81</v>
      </c>
      <c r="F131" s="90" t="str">
        <f>C104</f>
        <v>ni_N1(W41)-NSD STARS</v>
      </c>
      <c r="G131" s="90">
        <v>11</v>
      </c>
      <c r="H131" s="90" t="str">
        <f>C106</f>
        <v>ni_N3(W28)-TEMPLE CITY YELLOW</v>
      </c>
      <c r="I131" s="90">
        <v>10</v>
      </c>
      <c r="J131" s="90"/>
      <c r="K131" s="90"/>
      <c r="L131" s="90" t="str">
        <f t="shared" si="15"/>
        <v>16BQ-081</v>
      </c>
      <c r="O131" s="62" t="str">
        <f t="shared" si="16"/>
        <v>ni_Group</v>
      </c>
    </row>
    <row r="132" spans="1:15" ht="14.1" customHeight="1">
      <c r="A132" s="89">
        <f t="shared" si="13"/>
        <v>46227</v>
      </c>
      <c r="B132" s="70">
        <f>'CHICLETS MASTER S2'!X34</f>
        <v>0.5</v>
      </c>
      <c r="C132" s="71" t="s">
        <v>218</v>
      </c>
      <c r="D132" s="119" t="str">
        <f t="shared" si="14"/>
        <v>GOLDEN WEST COLLEGE 1</v>
      </c>
      <c r="E132" s="71">
        <v>85</v>
      </c>
      <c r="F132" s="90" t="str">
        <f>C109</f>
        <v>ni_S1(W60)-CLOVIS B</v>
      </c>
      <c r="G132" s="90">
        <v>8</v>
      </c>
      <c r="H132" s="90" t="str">
        <f>C111</f>
        <v>ni_S3(W50)-CARMEL</v>
      </c>
      <c r="I132" s="90">
        <v>7</v>
      </c>
      <c r="J132" s="90"/>
      <c r="K132" s="90"/>
      <c r="L132" s="90" t="str">
        <f t="shared" si="15"/>
        <v>16BQ-085</v>
      </c>
      <c r="O132" s="62" t="str">
        <f t="shared" si="16"/>
        <v>ni_Group</v>
      </c>
    </row>
    <row r="133" spans="1:15" ht="14.1" customHeight="1">
      <c r="A133" s="89">
        <f t="shared" si="13"/>
        <v>46227</v>
      </c>
      <c r="B133" s="70">
        <f>'CHICLETS MASTER S2'!X35</f>
        <v>0.53472222222222199</v>
      </c>
      <c r="C133" s="71" t="s">
        <v>218</v>
      </c>
      <c r="D133" s="119" t="str">
        <f t="shared" si="14"/>
        <v>GOLDEN WEST COLLEGE 1</v>
      </c>
      <c r="E133" s="71">
        <v>89</v>
      </c>
      <c r="F133" s="90" t="str">
        <f>B109</f>
        <v>ni_R1(W56)-VANGUARD WHITE</v>
      </c>
      <c r="G133" s="90">
        <v>13</v>
      </c>
      <c r="H133" s="90" t="str">
        <f>B111</f>
        <v>ni_R3(W49)-PRINCETON</v>
      </c>
      <c r="I133" s="90">
        <v>11</v>
      </c>
      <c r="J133" s="90"/>
      <c r="K133" s="90"/>
      <c r="L133" s="90" t="str">
        <f t="shared" si="15"/>
        <v>16BQ-089</v>
      </c>
      <c r="O133" s="62" t="str">
        <f t="shared" si="16"/>
        <v>ni_Group</v>
      </c>
    </row>
    <row r="134" spans="1:15" ht="14.1" customHeight="1">
      <c r="A134" s="89">
        <f t="shared" si="13"/>
        <v>46227</v>
      </c>
      <c r="B134" s="70">
        <f>'CHICLETS MASTER S2'!X36</f>
        <v>0.56944444444444497</v>
      </c>
      <c r="C134" s="71" t="s">
        <v>218</v>
      </c>
      <c r="D134" s="119" t="str">
        <f t="shared" si="14"/>
        <v>GOLDEN WEST COLLEGE 1</v>
      </c>
      <c r="E134" s="71">
        <v>93</v>
      </c>
      <c r="F134" s="90" t="str">
        <f>B104</f>
        <v>ni_M1(W33)-SOUTH COAST WHITE</v>
      </c>
      <c r="G134" s="93">
        <v>11</v>
      </c>
      <c r="H134" s="90" t="str">
        <f>B105</f>
        <v>ni_M2(W43)-SACRAMENTO BLACK</v>
      </c>
      <c r="I134" s="90">
        <v>9</v>
      </c>
      <c r="J134" s="90"/>
      <c r="K134" s="90"/>
      <c r="L134" s="90" t="str">
        <f t="shared" si="15"/>
        <v>16BQ-093</v>
      </c>
      <c r="O134" s="62" t="str">
        <f t="shared" si="16"/>
        <v>ni_Group</v>
      </c>
    </row>
    <row r="135" spans="1:15" ht="14.1" customHeight="1">
      <c r="A135" s="89">
        <f t="shared" si="13"/>
        <v>46227</v>
      </c>
      <c r="B135" s="70">
        <f>'CHICLETS MASTER S2'!X37</f>
        <v>0.60416666666666696</v>
      </c>
      <c r="C135" s="71" t="s">
        <v>218</v>
      </c>
      <c r="D135" s="119" t="str">
        <f t="shared" si="14"/>
        <v>GOLDEN WEST COLLEGE 1</v>
      </c>
      <c r="E135" s="71">
        <v>97</v>
      </c>
      <c r="F135" s="90" t="str">
        <f>C104</f>
        <v>ni_N1(W41)-NSD STARS</v>
      </c>
      <c r="G135" s="90">
        <v>10</v>
      </c>
      <c r="H135" s="90" t="str">
        <f>C105</f>
        <v>ni_N2(W35)-CMAC</v>
      </c>
      <c r="I135" s="90">
        <v>6</v>
      </c>
      <c r="J135" s="90"/>
      <c r="K135" s="90"/>
      <c r="L135" s="90" t="str">
        <f t="shared" si="15"/>
        <v>16BQ-097</v>
      </c>
      <c r="O135" s="62" t="str">
        <f t="shared" si="16"/>
        <v>ni_Group</v>
      </c>
    </row>
    <row r="136" spans="1:15" ht="14.1" customHeight="1">
      <c r="A136" s="89">
        <f t="shared" si="13"/>
        <v>46227</v>
      </c>
      <c r="B136" s="70">
        <f>'CHICLETS MASTER S2'!X38</f>
        <v>0.63888888888888895</v>
      </c>
      <c r="C136" s="71" t="s">
        <v>218</v>
      </c>
      <c r="D136" s="119" t="str">
        <f t="shared" si="14"/>
        <v>GOLDEN WEST COLLEGE 1</v>
      </c>
      <c r="E136" s="71">
        <v>101</v>
      </c>
      <c r="F136" s="90" t="str">
        <f>C110</f>
        <v>ni_S2(W54)-INNIS ARDEN</v>
      </c>
      <c r="G136" s="90">
        <v>7</v>
      </c>
      <c r="H136" s="90" t="str">
        <f>C111</f>
        <v>ni_S3(W50)-CARMEL</v>
      </c>
      <c r="I136" s="90">
        <v>10</v>
      </c>
      <c r="J136" s="90"/>
      <c r="K136" s="90"/>
      <c r="L136" s="90" t="str">
        <f t="shared" si="15"/>
        <v>16BQ-101</v>
      </c>
      <c r="O136" s="62" t="str">
        <f t="shared" si="16"/>
        <v>ni_Group</v>
      </c>
    </row>
    <row r="137" spans="1:15" ht="14.1" customHeight="1">
      <c r="A137" s="89">
        <f t="shared" si="13"/>
        <v>46227</v>
      </c>
      <c r="B137" s="70">
        <f>'CHICLETS MASTER S2'!X39</f>
        <v>0.67361111111111105</v>
      </c>
      <c r="C137" s="71" t="s">
        <v>218</v>
      </c>
      <c r="D137" s="119" t="str">
        <f t="shared" si="14"/>
        <v>GOLDEN WEST COLLEGE 1</v>
      </c>
      <c r="E137" s="71">
        <v>105</v>
      </c>
      <c r="F137" s="90" t="str">
        <f>B110</f>
        <v>ni_R2(W58)-TRILOGY</v>
      </c>
      <c r="G137" s="90">
        <v>10</v>
      </c>
      <c r="H137" s="90" t="str">
        <f>B111</f>
        <v>ni_R3(W49)-PRINCETON</v>
      </c>
      <c r="I137" s="90">
        <v>11</v>
      </c>
      <c r="J137" s="90"/>
      <c r="K137" s="90"/>
      <c r="L137" s="90" t="str">
        <f t="shared" si="15"/>
        <v>16BQ-105</v>
      </c>
      <c r="O137" s="62" t="str">
        <f t="shared" si="16"/>
        <v>ni_Group</v>
      </c>
    </row>
    <row r="138" spans="1:15" ht="14.1" customHeight="1">
      <c r="A138" s="75"/>
      <c r="B138" s="60" t="s">
        <v>139</v>
      </c>
      <c r="C138" s="60"/>
      <c r="D138" s="60"/>
      <c r="E138" s="60"/>
      <c r="F138" s="60"/>
      <c r="G138" s="64"/>
      <c r="H138" s="60"/>
      <c r="I138" s="60"/>
      <c r="J138" s="60"/>
      <c r="K138" s="60"/>
      <c r="L138" s="60"/>
    </row>
    <row r="139" spans="1:15" ht="14.1" customHeight="1">
      <c r="A139" s="120" t="s">
        <v>633</v>
      </c>
      <c r="B139" s="60" t="s">
        <v>139</v>
      </c>
      <c r="C139" s="60"/>
      <c r="D139" s="60"/>
      <c r="E139" s="60"/>
      <c r="F139" s="60"/>
      <c r="G139" s="64"/>
      <c r="H139" s="60"/>
      <c r="I139" s="60"/>
      <c r="J139" s="60"/>
      <c r="K139" s="60"/>
      <c r="L139" s="60"/>
    </row>
    <row r="140" spans="1:15" ht="14.1" customHeight="1">
      <c r="A140" s="89">
        <f>$A$101</f>
        <v>46227</v>
      </c>
      <c r="B140" s="70">
        <f>'CHICLETS MASTER S2'!X42</f>
        <v>0.77777777777777801</v>
      </c>
      <c r="C140" s="71" t="s">
        <v>219</v>
      </c>
      <c r="D140" s="119" t="str">
        <f>$D$124</f>
        <v>GOLDEN WEST COLLEGE 1</v>
      </c>
      <c r="E140" s="71">
        <v>109</v>
      </c>
      <c r="F140" s="90" t="s">
        <v>1816</v>
      </c>
      <c r="G140" s="90">
        <v>11</v>
      </c>
      <c r="H140" s="90" t="s">
        <v>1817</v>
      </c>
      <c r="I140" s="90">
        <v>7</v>
      </c>
      <c r="J140" s="90">
        <v>129</v>
      </c>
      <c r="K140" s="90">
        <v>134</v>
      </c>
      <c r="L140" s="90" t="str">
        <f>IF(E140="","",$L$15&amp;"-"&amp;TEXT(E140,"000"))</f>
        <v>16BQ-109</v>
      </c>
      <c r="O140" s="62" t="str">
        <f>$K$263&amp;C140</f>
        <v>ni_Play-in</v>
      </c>
    </row>
    <row r="141" spans="1:15" ht="14.1" customHeight="1">
      <c r="A141" s="89">
        <f>$A$101</f>
        <v>46227</v>
      </c>
      <c r="B141" s="70">
        <f>'CHICLETS MASTER S2'!X43</f>
        <v>0.8125</v>
      </c>
      <c r="C141" s="71" t="s">
        <v>219</v>
      </c>
      <c r="D141" s="119" t="str">
        <f>$D$124</f>
        <v>GOLDEN WEST COLLEGE 1</v>
      </c>
      <c r="E141" s="71">
        <v>113</v>
      </c>
      <c r="F141" s="90" t="s">
        <v>1818</v>
      </c>
      <c r="G141" s="90">
        <v>9</v>
      </c>
      <c r="H141" s="90" t="s">
        <v>1819</v>
      </c>
      <c r="I141" s="90">
        <v>4</v>
      </c>
      <c r="J141" s="90">
        <v>121</v>
      </c>
      <c r="K141" s="90">
        <v>126</v>
      </c>
      <c r="L141" s="90" t="str">
        <f>IF(E141="","",$L$15&amp;"-"&amp;TEXT(E141,"000"))</f>
        <v>16BQ-113</v>
      </c>
      <c r="O141" s="62" t="str">
        <f>$K$263&amp;C141</f>
        <v>ni_Play-in</v>
      </c>
    </row>
    <row r="142" spans="1:15" ht="14.1" customHeight="1" thickBot="1">
      <c r="A142" s="78"/>
      <c r="B142" s="79"/>
      <c r="C142" s="60"/>
      <c r="D142" s="60"/>
      <c r="E142" s="60"/>
      <c r="F142" s="60" t="s">
        <v>418</v>
      </c>
      <c r="G142" s="64" t="s">
        <v>418</v>
      </c>
      <c r="H142" s="60" t="s">
        <v>418</v>
      </c>
      <c r="I142" s="60"/>
      <c r="J142" s="60"/>
      <c r="K142" s="60"/>
      <c r="L142" s="60"/>
    </row>
    <row r="143" spans="1:15" ht="14.1" customHeight="1" thickBot="1">
      <c r="A143" s="78"/>
      <c r="B143" s="79"/>
      <c r="C143" s="60"/>
      <c r="D143" s="68" t="str">
        <f>'CHICLETS MASTER S2'!$AO$27</f>
        <v>PORTOLA HS 1</v>
      </c>
      <c r="E143" s="60"/>
      <c r="F143" s="60"/>
      <c r="G143" s="64"/>
      <c r="H143" s="60"/>
      <c r="I143" s="60"/>
      <c r="J143" s="60"/>
      <c r="K143" s="60"/>
      <c r="L143" s="60"/>
    </row>
    <row r="144" spans="1:15" ht="14.1" customHeight="1">
      <c r="A144" s="306" t="s">
        <v>124</v>
      </c>
      <c r="B144" s="306" t="s">
        <v>125</v>
      </c>
      <c r="C144" s="306" t="s">
        <v>126</v>
      </c>
      <c r="D144" s="306" t="s">
        <v>127</v>
      </c>
      <c r="E144" s="306" t="s">
        <v>128</v>
      </c>
      <c r="F144" s="306" t="s">
        <v>129</v>
      </c>
      <c r="G144" s="306" t="s">
        <v>130</v>
      </c>
      <c r="H144" s="306" t="s">
        <v>131</v>
      </c>
      <c r="I144" s="306" t="s">
        <v>130</v>
      </c>
      <c r="J144" s="306" t="s">
        <v>132</v>
      </c>
      <c r="K144" s="306" t="s">
        <v>133</v>
      </c>
      <c r="L144" s="306" t="s">
        <v>134</v>
      </c>
    </row>
    <row r="145" spans="1:15" ht="14.1" customHeight="1">
      <c r="A145" s="89">
        <f t="shared" ref="A145:A156" si="17">$A$101</f>
        <v>46227</v>
      </c>
      <c r="B145" s="70">
        <f>'CHICLETS MASTER S2'!X28</f>
        <v>0.29166666666666669</v>
      </c>
      <c r="C145" s="71" t="s">
        <v>218</v>
      </c>
      <c r="D145" s="119" t="str">
        <f t="shared" ref="D145:D156" si="18">$D$143</f>
        <v>PORTOLA HS 1</v>
      </c>
      <c r="E145" s="71">
        <v>62</v>
      </c>
      <c r="F145" s="90" t="str">
        <f>D105</f>
        <v>ni_O2(W42)-680 BLUE</v>
      </c>
      <c r="G145" s="90">
        <v>9</v>
      </c>
      <c r="H145" s="90" t="str">
        <f>D106</f>
        <v>ni_O3(W36)-AMERICAN RIVER GOLD</v>
      </c>
      <c r="I145" s="93">
        <v>8</v>
      </c>
      <c r="J145" s="90"/>
      <c r="K145" s="90"/>
      <c r="L145" s="90" t="str">
        <f t="shared" ref="L145:L156" si="19">IF(E145="","",$L$15&amp;"-"&amp;TEXT(E145,"000"))</f>
        <v>16BQ-062</v>
      </c>
      <c r="O145" s="62" t="str">
        <f t="shared" ref="O145:O156" si="20">$K$263&amp;C145</f>
        <v>ni_Group</v>
      </c>
    </row>
    <row r="146" spans="1:15" ht="14.1" customHeight="1">
      <c r="A146" s="89">
        <f t="shared" si="17"/>
        <v>46227</v>
      </c>
      <c r="B146" s="70">
        <f>'CHICLETS MASTER S2'!X29</f>
        <v>0.3263888888888889</v>
      </c>
      <c r="C146" s="71" t="s">
        <v>218</v>
      </c>
      <c r="D146" s="119" t="str">
        <f t="shared" si="18"/>
        <v>PORTOLA HS 1</v>
      </c>
      <c r="E146" s="71">
        <v>66</v>
      </c>
      <c r="F146" s="90" t="str">
        <f>E105</f>
        <v>ni_P2(W34)-NAVY</v>
      </c>
      <c r="G146" s="90">
        <v>7</v>
      </c>
      <c r="H146" s="90" t="str">
        <f>E106</f>
        <v>ni_P3(W44)-LB SHORE BLACK</v>
      </c>
      <c r="I146" s="90">
        <v>10</v>
      </c>
      <c r="J146" s="90"/>
      <c r="K146" s="90"/>
      <c r="L146" s="90" t="str">
        <f t="shared" si="19"/>
        <v>16BQ-066</v>
      </c>
      <c r="O146" s="62" t="str">
        <f t="shared" si="20"/>
        <v>ni_Group</v>
      </c>
    </row>
    <row r="147" spans="1:15" ht="14.1" customHeight="1">
      <c r="A147" s="89">
        <f t="shared" si="17"/>
        <v>46227</v>
      </c>
      <c r="B147" s="70">
        <f>'CHICLETS MASTER S2'!X30</f>
        <v>0.36111111111111099</v>
      </c>
      <c r="C147" s="71" t="s">
        <v>218</v>
      </c>
      <c r="D147" s="119" t="str">
        <f t="shared" si="18"/>
        <v>PORTOLA HS 1</v>
      </c>
      <c r="E147" s="71">
        <v>70</v>
      </c>
      <c r="F147" s="90" t="str">
        <f>E109</f>
        <v>ni_U1(W52)-CHULA VISTA PREMIER</v>
      </c>
      <c r="G147" s="90">
        <v>7</v>
      </c>
      <c r="H147" s="90" t="str">
        <f>E110</f>
        <v>ni_U2(W55)-SMAC</v>
      </c>
      <c r="I147" s="90">
        <v>10</v>
      </c>
      <c r="J147" s="90"/>
      <c r="K147" s="90"/>
      <c r="L147" s="90" t="str">
        <f t="shared" si="19"/>
        <v>16BQ-070</v>
      </c>
      <c r="O147" s="62" t="str">
        <f t="shared" si="20"/>
        <v>ni_Group</v>
      </c>
    </row>
    <row r="148" spans="1:15" ht="14.1" customHeight="1">
      <c r="A148" s="89">
        <f t="shared" si="17"/>
        <v>46227</v>
      </c>
      <c r="B148" s="70">
        <f>'CHICLETS MASTER S2'!X31</f>
        <v>0.39583333333333398</v>
      </c>
      <c r="C148" s="71" t="s">
        <v>218</v>
      </c>
      <c r="D148" s="119" t="str">
        <f t="shared" si="18"/>
        <v>PORTOLA HS 1</v>
      </c>
      <c r="E148" s="71">
        <v>74</v>
      </c>
      <c r="F148" s="90" t="str">
        <f>D109</f>
        <v>ni_T1(W51)-SOCAL</v>
      </c>
      <c r="G148" s="90">
        <v>16</v>
      </c>
      <c r="H148" s="90" t="str">
        <f>D110</f>
        <v>ni_T2(W59)-DEVILS GATE</v>
      </c>
      <c r="I148" s="90">
        <v>15</v>
      </c>
      <c r="J148" s="90"/>
      <c r="K148" s="90"/>
      <c r="L148" s="90" t="str">
        <f t="shared" si="19"/>
        <v>16BQ-074</v>
      </c>
      <c r="O148" s="62" t="str">
        <f t="shared" si="20"/>
        <v>ni_Group</v>
      </c>
    </row>
    <row r="149" spans="1:15" ht="14.1" customHeight="1">
      <c r="A149" s="89">
        <f t="shared" si="17"/>
        <v>46227</v>
      </c>
      <c r="B149" s="70">
        <f>'CHICLETS MASTER S2'!X32</f>
        <v>0.43055555555555602</v>
      </c>
      <c r="C149" s="71" t="s">
        <v>218</v>
      </c>
      <c r="D149" s="119" t="str">
        <f t="shared" si="18"/>
        <v>PORTOLA HS 1</v>
      </c>
      <c r="E149" s="71">
        <v>78</v>
      </c>
      <c r="F149" s="90" t="str">
        <f>D104</f>
        <v>ni_O1(W25)-DAVIS</v>
      </c>
      <c r="G149" s="90">
        <v>14</v>
      </c>
      <c r="H149" s="90" t="str">
        <f>D106</f>
        <v>ni_O3(W36)-AMERICAN RIVER GOLD</v>
      </c>
      <c r="I149" s="97">
        <v>8</v>
      </c>
      <c r="J149" s="90"/>
      <c r="K149" s="90"/>
      <c r="L149" s="90" t="str">
        <f t="shared" si="19"/>
        <v>16BQ-078</v>
      </c>
      <c r="O149" s="62" t="str">
        <f t="shared" si="20"/>
        <v>ni_Group</v>
      </c>
    </row>
    <row r="150" spans="1:15" ht="14.1" customHeight="1">
      <c r="A150" s="89">
        <f t="shared" si="17"/>
        <v>46227</v>
      </c>
      <c r="B150" s="70">
        <f>'CHICLETS MASTER S2'!X33</f>
        <v>0.46527777777777801</v>
      </c>
      <c r="C150" s="71" t="s">
        <v>218</v>
      </c>
      <c r="D150" s="119" t="str">
        <f t="shared" si="18"/>
        <v>PORTOLA HS 1</v>
      </c>
      <c r="E150" s="71">
        <v>82</v>
      </c>
      <c r="F150" s="90" t="str">
        <f>E104</f>
        <v>ni_P1(W26)-SUPREME</v>
      </c>
      <c r="G150" s="90">
        <v>8</v>
      </c>
      <c r="H150" s="90" t="str">
        <f>E106</f>
        <v>ni_P3(W44)-LB SHORE BLACK</v>
      </c>
      <c r="I150" s="90">
        <v>9</v>
      </c>
      <c r="J150" s="90"/>
      <c r="K150" s="90"/>
      <c r="L150" s="90" t="str">
        <f t="shared" si="19"/>
        <v>16BQ-082</v>
      </c>
      <c r="O150" s="62" t="str">
        <f t="shared" si="20"/>
        <v>ni_Group</v>
      </c>
    </row>
    <row r="151" spans="1:15" ht="14.1" customHeight="1">
      <c r="A151" s="89">
        <f t="shared" si="17"/>
        <v>46227</v>
      </c>
      <c r="B151" s="70">
        <f>'CHICLETS MASTER S2'!X34</f>
        <v>0.5</v>
      </c>
      <c r="C151" s="71" t="s">
        <v>218</v>
      </c>
      <c r="D151" s="119" t="str">
        <f t="shared" si="18"/>
        <v>PORTOLA HS 1</v>
      </c>
      <c r="E151" s="71">
        <v>86</v>
      </c>
      <c r="F151" s="90" t="str">
        <f>E109</f>
        <v>ni_U1(W52)-CHULA VISTA PREMIER</v>
      </c>
      <c r="G151" s="90">
        <v>9</v>
      </c>
      <c r="H151" s="90" t="str">
        <f>E111</f>
        <v>ni_U3(W57)-SANTA BARBARA WPC B</v>
      </c>
      <c r="I151" s="90">
        <v>10</v>
      </c>
      <c r="J151" s="90"/>
      <c r="K151" s="90"/>
      <c r="L151" s="90" t="str">
        <f t="shared" si="19"/>
        <v>16BQ-086</v>
      </c>
      <c r="O151" s="62" t="str">
        <f t="shared" si="20"/>
        <v>ni_Group</v>
      </c>
    </row>
    <row r="152" spans="1:15" ht="14.1" customHeight="1">
      <c r="A152" s="89">
        <f t="shared" si="17"/>
        <v>46227</v>
      </c>
      <c r="B152" s="70">
        <f>'CHICLETS MASTER S2'!X35</f>
        <v>0.53472222222222199</v>
      </c>
      <c r="C152" s="71" t="s">
        <v>218</v>
      </c>
      <c r="D152" s="119" t="str">
        <f t="shared" si="18"/>
        <v>PORTOLA HS 1</v>
      </c>
      <c r="E152" s="71">
        <v>90</v>
      </c>
      <c r="F152" s="90" t="str">
        <f>D109</f>
        <v>ni_T1(W51)-SOCAL</v>
      </c>
      <c r="G152" s="90">
        <v>10</v>
      </c>
      <c r="H152" s="90" t="str">
        <f>D111</f>
        <v>ni_T3(W53)-VNITED B</v>
      </c>
      <c r="I152" s="90">
        <v>6</v>
      </c>
      <c r="J152" s="90"/>
      <c r="K152" s="90"/>
      <c r="L152" s="90" t="str">
        <f t="shared" si="19"/>
        <v>16BQ-090</v>
      </c>
      <c r="O152" s="62" t="str">
        <f t="shared" si="20"/>
        <v>ni_Group</v>
      </c>
    </row>
    <row r="153" spans="1:15" ht="14.1" customHeight="1">
      <c r="A153" s="89">
        <f t="shared" si="17"/>
        <v>46227</v>
      </c>
      <c r="B153" s="70">
        <f>'CHICLETS MASTER S2'!X36</f>
        <v>0.56944444444444497</v>
      </c>
      <c r="C153" s="71" t="s">
        <v>218</v>
      </c>
      <c r="D153" s="119" t="str">
        <f t="shared" si="18"/>
        <v>PORTOLA HS 1</v>
      </c>
      <c r="E153" s="71">
        <v>94</v>
      </c>
      <c r="F153" s="90" t="str">
        <f>D104</f>
        <v>ni_O1(W25)-DAVIS</v>
      </c>
      <c r="G153" s="90">
        <v>15</v>
      </c>
      <c r="H153" s="90" t="str">
        <f>D105</f>
        <v>ni_O2(W42)-680 BLUE</v>
      </c>
      <c r="I153" s="90">
        <v>7</v>
      </c>
      <c r="J153" s="90"/>
      <c r="K153" s="90"/>
      <c r="L153" s="90" t="str">
        <f t="shared" si="19"/>
        <v>16BQ-094</v>
      </c>
      <c r="O153" s="62" t="str">
        <f t="shared" si="20"/>
        <v>ni_Group</v>
      </c>
    </row>
    <row r="154" spans="1:15" ht="14.1" customHeight="1">
      <c r="A154" s="89">
        <f t="shared" si="17"/>
        <v>46227</v>
      </c>
      <c r="B154" s="70">
        <f>'CHICLETS MASTER S2'!X37</f>
        <v>0.60416666666666696</v>
      </c>
      <c r="C154" s="71" t="s">
        <v>218</v>
      </c>
      <c r="D154" s="119" t="str">
        <f t="shared" si="18"/>
        <v>PORTOLA HS 1</v>
      </c>
      <c r="E154" s="71">
        <v>98</v>
      </c>
      <c r="F154" s="90" t="str">
        <f>E104</f>
        <v>ni_P1(W26)-SUPREME</v>
      </c>
      <c r="G154" s="90">
        <v>9</v>
      </c>
      <c r="H154" s="90" t="str">
        <f>E105</f>
        <v>ni_P2(W34)-NAVY</v>
      </c>
      <c r="I154" s="90">
        <v>8</v>
      </c>
      <c r="J154" s="90"/>
      <c r="K154" s="90"/>
      <c r="L154" s="90" t="str">
        <f t="shared" si="19"/>
        <v>16BQ-098</v>
      </c>
      <c r="O154" s="62" t="str">
        <f t="shared" si="20"/>
        <v>ni_Group</v>
      </c>
    </row>
    <row r="155" spans="1:15" ht="14.1" customHeight="1">
      <c r="A155" s="89">
        <f t="shared" si="17"/>
        <v>46227</v>
      </c>
      <c r="B155" s="70">
        <f>'CHICLETS MASTER S2'!X38</f>
        <v>0.63888888888888895</v>
      </c>
      <c r="C155" s="71" t="s">
        <v>218</v>
      </c>
      <c r="D155" s="119" t="str">
        <f t="shared" si="18"/>
        <v>PORTOLA HS 1</v>
      </c>
      <c r="E155" s="71">
        <v>102</v>
      </c>
      <c r="F155" s="90" t="str">
        <f>E110</f>
        <v>ni_U2(W55)-SMAC</v>
      </c>
      <c r="G155" s="90">
        <v>9</v>
      </c>
      <c r="H155" s="90" t="str">
        <f>E111</f>
        <v>ni_U3(W57)-SANTA BARBARA WPC B</v>
      </c>
      <c r="I155" s="90">
        <v>12</v>
      </c>
      <c r="J155" s="90"/>
      <c r="K155" s="90"/>
      <c r="L155" s="90" t="str">
        <f t="shared" si="19"/>
        <v>16BQ-102</v>
      </c>
      <c r="O155" s="62" t="str">
        <f t="shared" si="20"/>
        <v>ni_Group</v>
      </c>
    </row>
    <row r="156" spans="1:15" ht="14.1" customHeight="1">
      <c r="A156" s="89">
        <f t="shared" si="17"/>
        <v>46227</v>
      </c>
      <c r="B156" s="70">
        <f>'CHICLETS MASTER S2'!X39</f>
        <v>0.67361111111111105</v>
      </c>
      <c r="C156" s="71" t="s">
        <v>218</v>
      </c>
      <c r="D156" s="119" t="str">
        <f t="shared" si="18"/>
        <v>PORTOLA HS 1</v>
      </c>
      <c r="E156" s="71">
        <v>106</v>
      </c>
      <c r="F156" s="90" t="str">
        <f>D110</f>
        <v>ni_T2(W59)-DEVILS GATE</v>
      </c>
      <c r="G156" s="90">
        <v>13</v>
      </c>
      <c r="H156" s="90" t="str">
        <f>D111</f>
        <v>ni_T3(W53)-VNITED B</v>
      </c>
      <c r="I156" s="90">
        <v>7</v>
      </c>
      <c r="J156" s="90"/>
      <c r="K156" s="90"/>
      <c r="L156" s="90" t="str">
        <f t="shared" si="19"/>
        <v>16BQ-106</v>
      </c>
      <c r="O156" s="62" t="str">
        <f t="shared" si="20"/>
        <v>ni_Group</v>
      </c>
    </row>
    <row r="157" spans="1:15" ht="14.1" customHeight="1">
      <c r="A157" s="75"/>
      <c r="B157" s="60" t="s">
        <v>139</v>
      </c>
      <c r="C157" s="60"/>
      <c r="D157" s="60"/>
      <c r="E157" s="60"/>
      <c r="F157" s="60"/>
      <c r="G157" s="64"/>
      <c r="H157" s="60"/>
      <c r="I157" s="60"/>
      <c r="J157" s="60"/>
      <c r="K157" s="60"/>
      <c r="L157" s="60"/>
    </row>
    <row r="158" spans="1:15" ht="14.1" customHeight="1">
      <c r="A158" s="120" t="s">
        <v>633</v>
      </c>
      <c r="B158" s="60" t="s">
        <v>139</v>
      </c>
      <c r="C158" s="60"/>
      <c r="D158" s="60"/>
      <c r="E158" s="60"/>
      <c r="F158" s="60"/>
      <c r="G158" s="64"/>
      <c r="H158" s="60"/>
      <c r="I158" s="60"/>
      <c r="J158" s="60"/>
      <c r="K158" s="60"/>
      <c r="L158" s="60"/>
    </row>
    <row r="159" spans="1:15" ht="14.1" customHeight="1">
      <c r="A159" s="89">
        <f>$A$101</f>
        <v>46227</v>
      </c>
      <c r="B159" s="70">
        <f>'CHICLETS MASTER S2'!X42</f>
        <v>0.77777777777777801</v>
      </c>
      <c r="C159" s="71" t="s">
        <v>219</v>
      </c>
      <c r="D159" s="119" t="str">
        <f>$D$143</f>
        <v>PORTOLA HS 1</v>
      </c>
      <c r="E159" s="71">
        <v>110</v>
      </c>
      <c r="F159" s="90" t="s">
        <v>1820</v>
      </c>
      <c r="G159" s="90">
        <v>6</v>
      </c>
      <c r="H159" s="90" t="s">
        <v>1821</v>
      </c>
      <c r="I159" s="90">
        <v>10</v>
      </c>
      <c r="J159" s="90">
        <v>117</v>
      </c>
      <c r="K159" s="90">
        <v>138</v>
      </c>
      <c r="L159" s="90" t="str">
        <f>IF(E159="","",$L$15&amp;"-"&amp;TEXT(E159,"000"))</f>
        <v>16BQ-110</v>
      </c>
      <c r="O159" s="62" t="str">
        <f>$K$263&amp;C159</f>
        <v>ni_Play-in</v>
      </c>
    </row>
    <row r="160" spans="1:15" ht="14.1" customHeight="1">
      <c r="A160" s="89">
        <f>$A$101</f>
        <v>46227</v>
      </c>
      <c r="B160" s="70">
        <f>'CHICLETS MASTER S2'!X43</f>
        <v>0.8125</v>
      </c>
      <c r="C160" s="71" t="s">
        <v>219</v>
      </c>
      <c r="D160" s="119" t="str">
        <f>$D$143</f>
        <v>PORTOLA HS 1</v>
      </c>
      <c r="E160" s="71">
        <v>114</v>
      </c>
      <c r="F160" s="90" t="s">
        <v>1822</v>
      </c>
      <c r="G160" s="90">
        <v>5</v>
      </c>
      <c r="H160" s="90" t="s">
        <v>1823</v>
      </c>
      <c r="I160" s="90">
        <v>7</v>
      </c>
      <c r="J160" s="90">
        <v>125</v>
      </c>
      <c r="K160" s="90">
        <v>130</v>
      </c>
      <c r="L160" s="90" t="str">
        <f>IF(E160="","",$L$15&amp;"-"&amp;TEXT(E160,"000"))</f>
        <v>16BQ-114</v>
      </c>
      <c r="O160" s="62" t="str">
        <f>$K$263&amp;C160</f>
        <v>ni_Play-in</v>
      </c>
    </row>
    <row r="161" spans="1:15" ht="14.1" customHeight="1" thickBot="1">
      <c r="A161" s="78"/>
      <c r="B161" s="79"/>
      <c r="C161" s="60"/>
      <c r="D161" s="60"/>
      <c r="E161" s="60"/>
      <c r="F161" s="60" t="s">
        <v>418</v>
      </c>
      <c r="G161" s="64"/>
      <c r="H161" s="60" t="s">
        <v>418</v>
      </c>
      <c r="I161" s="60"/>
      <c r="J161" s="60"/>
      <c r="K161" s="60"/>
      <c r="L161" s="60"/>
    </row>
    <row r="162" spans="1:15" ht="14.1" customHeight="1" thickBot="1">
      <c r="B162" s="60"/>
      <c r="C162" s="60"/>
      <c r="D162" s="68" t="str">
        <f>'CHICLETS MASTER S2'!$AK$27</f>
        <v>CAPISTRANO VALLEY HS 1</v>
      </c>
      <c r="F162" s="60"/>
      <c r="G162" s="64"/>
      <c r="H162" s="60"/>
      <c r="I162" s="60"/>
      <c r="J162" s="60"/>
      <c r="K162" s="60"/>
      <c r="L162" s="60"/>
    </row>
    <row r="163" spans="1:15" ht="14.1" customHeight="1">
      <c r="A163" s="306" t="s">
        <v>124</v>
      </c>
      <c r="B163" s="306" t="s">
        <v>125</v>
      </c>
      <c r="C163" s="306" t="s">
        <v>126</v>
      </c>
      <c r="D163" s="306" t="s">
        <v>127</v>
      </c>
      <c r="E163" s="306" t="s">
        <v>128</v>
      </c>
      <c r="F163" s="306" t="s">
        <v>129</v>
      </c>
      <c r="G163" s="306" t="s">
        <v>130</v>
      </c>
      <c r="H163" s="306" t="s">
        <v>131</v>
      </c>
      <c r="I163" s="306" t="s">
        <v>130</v>
      </c>
      <c r="J163" s="306" t="s">
        <v>132</v>
      </c>
      <c r="K163" s="306" t="s">
        <v>133</v>
      </c>
      <c r="L163" s="306" t="s">
        <v>134</v>
      </c>
    </row>
    <row r="164" spans="1:15" ht="14.1" customHeight="1">
      <c r="A164" s="89">
        <f t="shared" ref="A164:A175" si="21">$A$101</f>
        <v>46227</v>
      </c>
      <c r="B164" s="70">
        <f>'CHICLETS MASTER S2'!X28</f>
        <v>0.29166666666666669</v>
      </c>
      <c r="C164" s="71" t="s">
        <v>218</v>
      </c>
      <c r="D164" s="119" t="str">
        <f t="shared" ref="D164:D175" si="22">$D$162</f>
        <v>CAPISTRANO VALLEY HS 1</v>
      </c>
      <c r="E164" s="71">
        <v>63</v>
      </c>
      <c r="F164" s="91" t="str">
        <f>C120</f>
        <v>cu_S1(L40)-NEWBERG</v>
      </c>
      <c r="G164" s="92">
        <v>13</v>
      </c>
      <c r="H164" s="91" t="str">
        <f>C121</f>
        <v>cu_S2(L46)-WCAC UNITED B</v>
      </c>
      <c r="I164" s="92">
        <v>4</v>
      </c>
      <c r="J164" s="91"/>
      <c r="K164" s="91"/>
      <c r="L164" s="91" t="str">
        <f t="shared" ref="L164:L175" si="23">IF(E164="","",$L$15&amp;"-"&amp;TEXT(E164,"000"))</f>
        <v>16BQ-063</v>
      </c>
      <c r="O164" s="62" t="str">
        <f t="shared" ref="O164:O175" si="24">$L$263&amp;C164</f>
        <v>cu_Group</v>
      </c>
    </row>
    <row r="165" spans="1:15" ht="14.1" customHeight="1">
      <c r="A165" s="89">
        <f t="shared" si="21"/>
        <v>46227</v>
      </c>
      <c r="B165" s="70">
        <f>'CHICLETS MASTER S2'!X29</f>
        <v>0.3263888888888889</v>
      </c>
      <c r="C165" s="71" t="s">
        <v>218</v>
      </c>
      <c r="D165" s="119" t="str">
        <f t="shared" si="22"/>
        <v>CAPISTRANO VALLEY HS 1</v>
      </c>
      <c r="E165" s="71">
        <v>67</v>
      </c>
      <c r="F165" s="91" t="str">
        <f>B120</f>
        <v>cu_R1(L48)-BROOKLYN HUSTLE</v>
      </c>
      <c r="G165" s="92">
        <v>4</v>
      </c>
      <c r="H165" s="91" t="str">
        <f>B121</f>
        <v>cu_R2(L38)-ELITE</v>
      </c>
      <c r="I165" s="92">
        <v>12</v>
      </c>
      <c r="J165" s="91"/>
      <c r="K165" s="91"/>
      <c r="L165" s="91" t="str">
        <f t="shared" si="23"/>
        <v>16BQ-067</v>
      </c>
      <c r="O165" s="62" t="str">
        <f t="shared" si="24"/>
        <v>cu_Group</v>
      </c>
    </row>
    <row r="166" spans="1:15" ht="14.1" customHeight="1">
      <c r="A166" s="89">
        <f t="shared" si="21"/>
        <v>46227</v>
      </c>
      <c r="B166" s="70">
        <f>'CHICLETS MASTER S2'!X30</f>
        <v>0.36111111111111099</v>
      </c>
      <c r="C166" s="71" t="s">
        <v>218</v>
      </c>
      <c r="D166" s="119" t="str">
        <f t="shared" si="22"/>
        <v>CAPISTRANO VALLEY HS 1</v>
      </c>
      <c r="E166" s="71">
        <v>71</v>
      </c>
      <c r="F166" s="91" t="str">
        <f>B116</f>
        <v>cu_M2(L59)-RAIN CITY</v>
      </c>
      <c r="G166" s="121">
        <v>7.8</v>
      </c>
      <c r="H166" s="91" t="str">
        <f>B117</f>
        <v>cu_M3(L51)-CHAWP BLUE</v>
      </c>
      <c r="I166" s="121">
        <v>7.9</v>
      </c>
      <c r="J166" s="91"/>
      <c r="K166" s="91"/>
      <c r="L166" s="91" t="str">
        <f t="shared" si="23"/>
        <v>16BQ-071</v>
      </c>
      <c r="O166" s="62" t="str">
        <f t="shared" si="24"/>
        <v>cu_Group</v>
      </c>
    </row>
    <row r="167" spans="1:15" ht="14.1" customHeight="1">
      <c r="A167" s="89">
        <f t="shared" si="21"/>
        <v>46227</v>
      </c>
      <c r="B167" s="70">
        <f>'CHICLETS MASTER S2'!X31</f>
        <v>0.39583333333333398</v>
      </c>
      <c r="C167" s="71" t="s">
        <v>218</v>
      </c>
      <c r="D167" s="119" t="str">
        <f t="shared" si="22"/>
        <v>CAPISTRANO VALLEY HS 1</v>
      </c>
      <c r="E167" s="71">
        <v>75</v>
      </c>
      <c r="F167" s="91" t="str">
        <f>C116</f>
        <v>cu_N2(L55)-SD SHORES WHITE</v>
      </c>
      <c r="G167" s="121">
        <v>6.2</v>
      </c>
      <c r="H167" s="91" t="str">
        <f>C117</f>
        <v>cu_N3(L52)-NORCAL TEAL</v>
      </c>
      <c r="I167" s="121">
        <v>6.1</v>
      </c>
      <c r="J167" s="91"/>
      <c r="K167" s="91"/>
      <c r="L167" s="91" t="str">
        <f t="shared" si="23"/>
        <v>16BQ-075</v>
      </c>
      <c r="O167" s="62" t="str">
        <f t="shared" si="24"/>
        <v>cu_Group</v>
      </c>
    </row>
    <row r="168" spans="1:15" ht="14.1" customHeight="1">
      <c r="A168" s="89">
        <f t="shared" si="21"/>
        <v>46227</v>
      </c>
      <c r="B168" s="70">
        <f>'CHICLETS MASTER S2'!X32</f>
        <v>0.43055555555555602</v>
      </c>
      <c r="C168" s="71" t="s">
        <v>218</v>
      </c>
      <c r="D168" s="119" t="str">
        <f t="shared" si="22"/>
        <v>CAPISTRANO VALLEY HS 1</v>
      </c>
      <c r="E168" s="71">
        <v>79</v>
      </c>
      <c r="F168" s="91" t="str">
        <f>C120</f>
        <v>cu_S1(L40)-NEWBERG</v>
      </c>
      <c r="G168" s="92">
        <v>3</v>
      </c>
      <c r="H168" s="91" t="str">
        <f>C122</f>
        <v>cu_S3(L29)-ECA B</v>
      </c>
      <c r="I168" s="92">
        <v>5</v>
      </c>
      <c r="J168" s="91"/>
      <c r="K168" s="91"/>
      <c r="L168" s="91" t="str">
        <f t="shared" si="23"/>
        <v>16BQ-079</v>
      </c>
      <c r="O168" s="62" t="str">
        <f t="shared" si="24"/>
        <v>cu_Group</v>
      </c>
    </row>
    <row r="169" spans="1:15" ht="14.1" customHeight="1">
      <c r="A169" s="89">
        <f t="shared" si="21"/>
        <v>46227</v>
      </c>
      <c r="B169" s="70">
        <f>'CHICLETS MASTER S2'!X33</f>
        <v>0.46527777777777801</v>
      </c>
      <c r="C169" s="71" t="s">
        <v>218</v>
      </c>
      <c r="D169" s="119" t="str">
        <f t="shared" si="22"/>
        <v>CAPISTRANO VALLEY HS 1</v>
      </c>
      <c r="E169" s="71">
        <v>83</v>
      </c>
      <c r="F169" s="91" t="str">
        <f>B120</f>
        <v>cu_R1(L48)-BROOKLYN HUSTLE</v>
      </c>
      <c r="G169" s="92">
        <v>5</v>
      </c>
      <c r="H169" s="91" t="str">
        <f>B122</f>
        <v>cu_R3(L30)-SAN JOSE EXPRESS GOLD</v>
      </c>
      <c r="I169" s="92">
        <v>4</v>
      </c>
      <c r="J169" s="91"/>
      <c r="K169" s="91"/>
      <c r="L169" s="91" t="str">
        <f t="shared" si="23"/>
        <v>16BQ-083</v>
      </c>
      <c r="O169" s="62" t="str">
        <f t="shared" si="24"/>
        <v>cu_Group</v>
      </c>
    </row>
    <row r="170" spans="1:15" ht="14.1" customHeight="1">
      <c r="A170" s="89">
        <f t="shared" si="21"/>
        <v>46227</v>
      </c>
      <c r="B170" s="70">
        <f>'CHICLETS MASTER S2'!X34</f>
        <v>0.5</v>
      </c>
      <c r="C170" s="71" t="s">
        <v>218</v>
      </c>
      <c r="D170" s="119" t="str">
        <f t="shared" si="22"/>
        <v>CAPISTRANO VALLEY HS 1</v>
      </c>
      <c r="E170" s="71">
        <v>87</v>
      </c>
      <c r="F170" s="91" t="str">
        <f>B115</f>
        <v>cu_M1(L53)-CCU WHITE</v>
      </c>
      <c r="G170" s="92">
        <v>5</v>
      </c>
      <c r="H170" s="91" t="str">
        <f>B117</f>
        <v>cu_M3(L51)-CHAWP BLUE</v>
      </c>
      <c r="I170" s="92">
        <v>14</v>
      </c>
      <c r="J170" s="91"/>
      <c r="K170" s="91"/>
      <c r="L170" s="91" t="str">
        <f t="shared" si="23"/>
        <v>16BQ-087</v>
      </c>
      <c r="O170" s="62" t="str">
        <f t="shared" si="24"/>
        <v>cu_Group</v>
      </c>
    </row>
    <row r="171" spans="1:15" ht="14.1" customHeight="1">
      <c r="A171" s="89">
        <f t="shared" si="21"/>
        <v>46227</v>
      </c>
      <c r="B171" s="70">
        <f>'CHICLETS MASTER S2'!X35</f>
        <v>0.53472222222222199</v>
      </c>
      <c r="C171" s="71" t="s">
        <v>218</v>
      </c>
      <c r="D171" s="119" t="str">
        <f t="shared" si="22"/>
        <v>CAPISTRANO VALLEY HS 1</v>
      </c>
      <c r="E171" s="71">
        <v>91</v>
      </c>
      <c r="F171" s="91" t="str">
        <f>C115</f>
        <v>cu_N1(L57)-PRAETORIAN WHITE</v>
      </c>
      <c r="G171" s="92">
        <v>13</v>
      </c>
      <c r="H171" s="91" t="str">
        <f>C117</f>
        <v>cu_N3(L52)-NORCAL TEAL</v>
      </c>
      <c r="I171" s="92">
        <v>9</v>
      </c>
      <c r="J171" s="91"/>
      <c r="K171" s="91"/>
      <c r="L171" s="91" t="str">
        <f t="shared" si="23"/>
        <v>16BQ-091</v>
      </c>
      <c r="O171" s="62" t="str">
        <f t="shared" si="24"/>
        <v>cu_Group</v>
      </c>
    </row>
    <row r="172" spans="1:15" ht="14.1" customHeight="1">
      <c r="A172" s="89">
        <f t="shared" si="21"/>
        <v>46227</v>
      </c>
      <c r="B172" s="70">
        <f>'CHICLETS MASTER S2'!X36</f>
        <v>0.56944444444444497</v>
      </c>
      <c r="C172" s="71" t="s">
        <v>218</v>
      </c>
      <c r="D172" s="119" t="str">
        <f t="shared" si="22"/>
        <v>CAPISTRANO VALLEY HS 1</v>
      </c>
      <c r="E172" s="71">
        <v>95</v>
      </c>
      <c r="F172" s="91" t="str">
        <f>C121</f>
        <v>cu_S2(L46)-WCAC UNITED B</v>
      </c>
      <c r="G172" s="121">
        <v>11.3</v>
      </c>
      <c r="H172" s="91" t="str">
        <f>C122</f>
        <v>cu_S3(L29)-ECA B</v>
      </c>
      <c r="I172" s="121">
        <v>11.1</v>
      </c>
      <c r="J172" s="91"/>
      <c r="K172" s="91"/>
      <c r="L172" s="91" t="str">
        <f t="shared" si="23"/>
        <v>16BQ-095</v>
      </c>
      <c r="O172" s="62" t="str">
        <f t="shared" si="24"/>
        <v>cu_Group</v>
      </c>
    </row>
    <row r="173" spans="1:15" ht="14.1" customHeight="1">
      <c r="A173" s="89">
        <f t="shared" si="21"/>
        <v>46227</v>
      </c>
      <c r="B173" s="70">
        <f>'CHICLETS MASTER S2'!X37</f>
        <v>0.60416666666666696</v>
      </c>
      <c r="C173" s="71" t="s">
        <v>218</v>
      </c>
      <c r="D173" s="119" t="str">
        <f t="shared" si="22"/>
        <v>CAPISTRANO VALLEY HS 1</v>
      </c>
      <c r="E173" s="71">
        <v>99</v>
      </c>
      <c r="F173" s="91" t="str">
        <f>B121</f>
        <v>cu_R2(L38)-ELITE</v>
      </c>
      <c r="G173" s="92">
        <v>5</v>
      </c>
      <c r="H173" s="91" t="str">
        <f>B122</f>
        <v>cu_R3(L30)-SAN JOSE EXPRESS GOLD</v>
      </c>
      <c r="I173" s="92">
        <v>2</v>
      </c>
      <c r="J173" s="91"/>
      <c r="K173" s="91"/>
      <c r="L173" s="91" t="str">
        <f t="shared" si="23"/>
        <v>16BQ-099</v>
      </c>
      <c r="O173" s="62" t="str">
        <f t="shared" si="24"/>
        <v>cu_Group</v>
      </c>
    </row>
    <row r="174" spans="1:15" ht="14.1" customHeight="1">
      <c r="A174" s="89">
        <f t="shared" si="21"/>
        <v>46227</v>
      </c>
      <c r="B174" s="70">
        <f>'CHICLETS MASTER S2'!X38</f>
        <v>0.63888888888888895</v>
      </c>
      <c r="C174" s="71" t="s">
        <v>218</v>
      </c>
      <c r="D174" s="119" t="str">
        <f t="shared" si="22"/>
        <v>CAPISTRANO VALLEY HS 1</v>
      </c>
      <c r="E174" s="71">
        <v>103</v>
      </c>
      <c r="F174" s="91" t="str">
        <f>B115</f>
        <v>cu_M1(L53)-CCU WHITE</v>
      </c>
      <c r="G174" s="92">
        <v>8</v>
      </c>
      <c r="H174" s="91" t="str">
        <f>B116</f>
        <v>cu_M2(L59)-RAIN CITY</v>
      </c>
      <c r="I174" s="92">
        <v>14</v>
      </c>
      <c r="J174" s="91"/>
      <c r="K174" s="91"/>
      <c r="L174" s="91" t="str">
        <f t="shared" si="23"/>
        <v>16BQ-103</v>
      </c>
      <c r="O174" s="62" t="str">
        <f t="shared" si="24"/>
        <v>cu_Group</v>
      </c>
    </row>
    <row r="175" spans="1:15" ht="14.1" customHeight="1">
      <c r="A175" s="89">
        <f t="shared" si="21"/>
        <v>46227</v>
      </c>
      <c r="B175" s="70">
        <f>'CHICLETS MASTER S2'!X39</f>
        <v>0.67361111111111105</v>
      </c>
      <c r="C175" s="71" t="s">
        <v>218</v>
      </c>
      <c r="D175" s="119" t="str">
        <f t="shared" si="22"/>
        <v>CAPISTRANO VALLEY HS 1</v>
      </c>
      <c r="E175" s="71">
        <v>107</v>
      </c>
      <c r="F175" s="91" t="str">
        <f>C115</f>
        <v>cu_N1(L57)-PRAETORIAN WHITE</v>
      </c>
      <c r="G175" s="92">
        <v>9</v>
      </c>
      <c r="H175" s="91" t="str">
        <f>C116</f>
        <v>cu_N2(L55)-SD SHORES WHITE</v>
      </c>
      <c r="I175" s="92">
        <v>6</v>
      </c>
      <c r="J175" s="91"/>
      <c r="K175" s="91"/>
      <c r="L175" s="91" t="str">
        <f t="shared" si="23"/>
        <v>16BQ-107</v>
      </c>
      <c r="O175" s="62" t="str">
        <f t="shared" si="24"/>
        <v>cu_Group</v>
      </c>
    </row>
    <row r="176" spans="1:15" ht="14.1" customHeight="1">
      <c r="A176" s="75"/>
      <c r="B176" s="60" t="s">
        <v>139</v>
      </c>
      <c r="C176" s="60"/>
      <c r="D176" s="60"/>
      <c r="E176" s="60"/>
      <c r="F176" s="60"/>
      <c r="G176" s="64"/>
      <c r="H176" s="60"/>
      <c r="I176" s="60"/>
      <c r="J176" s="60"/>
      <c r="K176" s="60"/>
      <c r="L176" s="60"/>
    </row>
    <row r="177" spans="1:15" ht="14.1" customHeight="1">
      <c r="A177" s="75"/>
      <c r="B177" s="60" t="s">
        <v>139</v>
      </c>
      <c r="C177" s="60"/>
      <c r="D177" s="60"/>
      <c r="E177" s="60"/>
      <c r="F177" s="60"/>
      <c r="G177" s="64"/>
      <c r="H177" s="60"/>
      <c r="I177" s="60"/>
      <c r="J177" s="60"/>
      <c r="K177" s="60"/>
      <c r="L177" s="60"/>
    </row>
    <row r="178" spans="1:15" ht="14.1" customHeight="1">
      <c r="A178" s="89">
        <f>$A$101</f>
        <v>46227</v>
      </c>
      <c r="B178" s="70">
        <f>'CHICLETS MASTER S2'!X42</f>
        <v>0.77777777777777801</v>
      </c>
      <c r="C178" s="71" t="s">
        <v>219</v>
      </c>
      <c r="D178" s="119" t="str">
        <f>$D$162</f>
        <v>CAPISTRANO VALLEY HS 1</v>
      </c>
      <c r="E178" s="71">
        <v>111</v>
      </c>
      <c r="F178" s="91" t="s">
        <v>1824</v>
      </c>
      <c r="G178" s="92">
        <v>8</v>
      </c>
      <c r="H178" s="91" t="s">
        <v>1825</v>
      </c>
      <c r="I178" s="92">
        <v>9</v>
      </c>
      <c r="J178" s="91">
        <v>131</v>
      </c>
      <c r="K178" s="91">
        <v>136</v>
      </c>
      <c r="L178" s="91" t="str">
        <f>IF(E178="","",$L$15&amp;"-"&amp;TEXT(E178,"000"))</f>
        <v>16BQ-111</v>
      </c>
      <c r="O178" s="62" t="str">
        <f>$L$263&amp;C178</f>
        <v>cu_Play-in</v>
      </c>
    </row>
    <row r="179" spans="1:15" ht="14.1" customHeight="1">
      <c r="A179" s="89">
        <f>$A$101</f>
        <v>46227</v>
      </c>
      <c r="B179" s="70">
        <f>'CHICLETS MASTER S2'!X43</f>
        <v>0.8125</v>
      </c>
      <c r="C179" s="71" t="s">
        <v>219</v>
      </c>
      <c r="D179" s="119" t="str">
        <f>$D$162</f>
        <v>CAPISTRANO VALLEY HS 1</v>
      </c>
      <c r="E179" s="71">
        <v>115</v>
      </c>
      <c r="F179" s="91" t="s">
        <v>1826</v>
      </c>
      <c r="G179" s="92">
        <v>4</v>
      </c>
      <c r="H179" s="91" t="s">
        <v>1827</v>
      </c>
      <c r="I179" s="92">
        <v>11</v>
      </c>
      <c r="J179" s="91">
        <v>123</v>
      </c>
      <c r="K179" s="91">
        <v>128</v>
      </c>
      <c r="L179" s="91" t="str">
        <f>IF(E179="","",$L$15&amp;"-"&amp;TEXT(E179,"000"))</f>
        <v>16BQ-115</v>
      </c>
      <c r="O179" s="62" t="str">
        <f>$L$263&amp;C179</f>
        <v>cu_Play-in</v>
      </c>
    </row>
    <row r="180" spans="1:15" ht="14.1" customHeight="1" thickBot="1">
      <c r="A180" s="78"/>
      <c r="B180" s="79"/>
      <c r="C180" s="60"/>
      <c r="D180" s="60"/>
      <c r="E180" s="60"/>
      <c r="F180" s="60" t="s">
        <v>418</v>
      </c>
      <c r="G180" s="64" t="s">
        <v>418</v>
      </c>
      <c r="H180" s="60" t="s">
        <v>418</v>
      </c>
      <c r="I180" s="60"/>
      <c r="J180" s="60"/>
      <c r="K180" s="60"/>
      <c r="L180" s="60"/>
    </row>
    <row r="181" spans="1:15" ht="14.1" customHeight="1" thickBot="1">
      <c r="A181" s="60"/>
      <c r="B181" s="60"/>
      <c r="C181" s="60"/>
      <c r="D181" s="68" t="str">
        <f>'CHICLETS MASTER S2'!$AL$27</f>
        <v>BECKMAN HS 1</v>
      </c>
      <c r="F181" s="60"/>
      <c r="G181" s="64"/>
      <c r="H181" s="60"/>
      <c r="I181" s="60"/>
    </row>
    <row r="182" spans="1:15" ht="14.1" customHeight="1">
      <c r="A182" s="306" t="s">
        <v>124</v>
      </c>
      <c r="B182" s="306" t="s">
        <v>125</v>
      </c>
      <c r="C182" s="306" t="s">
        <v>126</v>
      </c>
      <c r="D182" s="306" t="s">
        <v>127</v>
      </c>
      <c r="E182" s="306" t="s">
        <v>128</v>
      </c>
      <c r="F182" s="306" t="s">
        <v>129</v>
      </c>
      <c r="G182" s="306" t="s">
        <v>130</v>
      </c>
      <c r="H182" s="306" t="s">
        <v>131</v>
      </c>
      <c r="I182" s="306" t="s">
        <v>130</v>
      </c>
      <c r="J182" s="306" t="s">
        <v>132</v>
      </c>
      <c r="K182" s="306" t="s">
        <v>133</v>
      </c>
      <c r="L182" s="306" t="s">
        <v>134</v>
      </c>
    </row>
    <row r="183" spans="1:15" ht="14.1" customHeight="1">
      <c r="A183" s="89">
        <f t="shared" ref="A183:A194" si="25">$A$101</f>
        <v>46227</v>
      </c>
      <c r="B183" s="70">
        <f>'CHICLETS MASTER S2'!X28</f>
        <v>0.29166666666666669</v>
      </c>
      <c r="C183" s="71" t="s">
        <v>218</v>
      </c>
      <c r="D183" s="119" t="str">
        <f t="shared" ref="D183:D194" si="26">$D$181</f>
        <v>BECKMAN HS 1</v>
      </c>
      <c r="E183" s="71">
        <v>64</v>
      </c>
      <c r="F183" s="91" t="str">
        <f>E120</f>
        <v>cu_U1(L31)-SAND CANYON RED</v>
      </c>
      <c r="G183" s="92">
        <v>11</v>
      </c>
      <c r="H183" s="91" t="str">
        <f>E121</f>
        <v>cu_U2(L47)-NWC</v>
      </c>
      <c r="I183" s="92">
        <v>3</v>
      </c>
      <c r="J183" s="91"/>
      <c r="K183" s="91"/>
      <c r="L183" s="91" t="str">
        <f t="shared" ref="L183:L194" si="27">IF(E183="","",$L$15&amp;"-"&amp;TEXT(E183,"000"))</f>
        <v>16BQ-064</v>
      </c>
      <c r="O183" s="62" t="str">
        <f t="shared" ref="O183:O194" si="28">$L$263&amp;C183</f>
        <v>cu_Group</v>
      </c>
    </row>
    <row r="184" spans="1:15" ht="14.1" customHeight="1">
      <c r="A184" s="89">
        <f t="shared" si="25"/>
        <v>46227</v>
      </c>
      <c r="B184" s="70">
        <f>'CHICLETS MASTER S2'!X29</f>
        <v>0.3263888888888889</v>
      </c>
      <c r="C184" s="71" t="s">
        <v>218</v>
      </c>
      <c r="D184" s="119" t="str">
        <f t="shared" si="26"/>
        <v>BECKMAN HS 1</v>
      </c>
      <c r="E184" s="71">
        <v>68</v>
      </c>
      <c r="F184" s="91" t="str">
        <f>D120</f>
        <v>cu_T1(L32)-CC UNITED RED</v>
      </c>
      <c r="G184" s="92">
        <v>5</v>
      </c>
      <c r="H184" s="91" t="str">
        <f>D121</f>
        <v>cu_T2(L39)-PALOS VERDES BLUE</v>
      </c>
      <c r="I184" s="92">
        <v>7</v>
      </c>
      <c r="J184" s="91"/>
      <c r="K184" s="91"/>
      <c r="L184" s="91" t="str">
        <f t="shared" si="27"/>
        <v>16BQ-068</v>
      </c>
      <c r="O184" s="62" t="str">
        <f t="shared" si="28"/>
        <v>cu_Group</v>
      </c>
    </row>
    <row r="185" spans="1:15" ht="14.1" customHeight="1">
      <c r="A185" s="89">
        <f t="shared" si="25"/>
        <v>46227</v>
      </c>
      <c r="B185" s="70">
        <f>'CHICLETS MASTER S2'!X30</f>
        <v>0.36111111111111099</v>
      </c>
      <c r="C185" s="71" t="s">
        <v>218</v>
      </c>
      <c r="D185" s="119" t="str">
        <f t="shared" si="26"/>
        <v>BECKMAN HS 1</v>
      </c>
      <c r="E185" s="71">
        <v>72</v>
      </c>
      <c r="F185" s="91" t="str">
        <f>D116</f>
        <v>cu_O2(L58)-SOVA</v>
      </c>
      <c r="G185" s="92">
        <v>2</v>
      </c>
      <c r="H185" s="91" t="str">
        <f>D117</f>
        <v>cu_O3(L56)-HIELAND</v>
      </c>
      <c r="I185" s="92">
        <v>7</v>
      </c>
      <c r="J185" s="91"/>
      <c r="K185" s="91"/>
      <c r="L185" s="91" t="str">
        <f t="shared" si="27"/>
        <v>16BQ-072</v>
      </c>
      <c r="O185" s="62" t="str">
        <f t="shared" si="28"/>
        <v>cu_Group</v>
      </c>
    </row>
    <row r="186" spans="1:15" ht="14.1" customHeight="1">
      <c r="A186" s="89">
        <f t="shared" si="25"/>
        <v>46227</v>
      </c>
      <c r="B186" s="70">
        <f>'CHICLETS MASTER S2'!X31</f>
        <v>0.39583333333333398</v>
      </c>
      <c r="C186" s="71" t="s">
        <v>218</v>
      </c>
      <c r="D186" s="119" t="str">
        <f t="shared" si="26"/>
        <v>BECKMAN HS 1</v>
      </c>
      <c r="E186" s="71">
        <v>76</v>
      </c>
      <c r="F186" s="91" t="str">
        <f>E116</f>
        <v>cu_P2(L54)-SAN JOSE FOUNDATION B</v>
      </c>
      <c r="G186" s="92">
        <v>4</v>
      </c>
      <c r="H186" s="91" t="str">
        <f>E117</f>
        <v>cu_P3(L60)-LOYOLA</v>
      </c>
      <c r="I186" s="92">
        <v>6</v>
      </c>
      <c r="J186" s="91"/>
      <c r="K186" s="91"/>
      <c r="L186" s="91" t="str">
        <f t="shared" si="27"/>
        <v>16BQ-076</v>
      </c>
      <c r="O186" s="62" t="str">
        <f t="shared" si="28"/>
        <v>cu_Group</v>
      </c>
    </row>
    <row r="187" spans="1:15" ht="14.1" customHeight="1">
      <c r="A187" s="89">
        <f t="shared" si="25"/>
        <v>46227</v>
      </c>
      <c r="B187" s="70">
        <f>'CHICLETS MASTER S2'!X32</f>
        <v>0.43055555555555602</v>
      </c>
      <c r="C187" s="71" t="s">
        <v>218</v>
      </c>
      <c r="D187" s="119" t="str">
        <f t="shared" si="26"/>
        <v>BECKMAN HS 1</v>
      </c>
      <c r="E187" s="71">
        <v>80</v>
      </c>
      <c r="F187" s="91" t="str">
        <f>E120</f>
        <v>cu_U1(L31)-SAND CANYON RED</v>
      </c>
      <c r="G187" s="92">
        <v>4</v>
      </c>
      <c r="H187" s="91" t="str">
        <f>E122</f>
        <v>cu_U3(L37)-BREA OLINDA</v>
      </c>
      <c r="I187" s="92">
        <v>7</v>
      </c>
      <c r="J187" s="91"/>
      <c r="K187" s="91"/>
      <c r="L187" s="91" t="str">
        <f t="shared" si="27"/>
        <v>16BQ-080</v>
      </c>
      <c r="O187" s="62" t="str">
        <f t="shared" si="28"/>
        <v>cu_Group</v>
      </c>
    </row>
    <row r="188" spans="1:15" ht="14.1" customHeight="1">
      <c r="A188" s="89">
        <f t="shared" si="25"/>
        <v>46227</v>
      </c>
      <c r="B188" s="70">
        <f>'CHICLETS MASTER S2'!X33</f>
        <v>0.46527777777777801</v>
      </c>
      <c r="C188" s="71" t="s">
        <v>218</v>
      </c>
      <c r="D188" s="119" t="str">
        <f t="shared" si="26"/>
        <v>BECKMAN HS 1</v>
      </c>
      <c r="E188" s="71">
        <v>84</v>
      </c>
      <c r="F188" s="91" t="str">
        <f>D120</f>
        <v>cu_T1(L32)-CC UNITED RED</v>
      </c>
      <c r="G188" s="92">
        <v>4</v>
      </c>
      <c r="H188" s="91" t="str">
        <f>D122</f>
        <v>cu_T3(L45)-TRILOGY B</v>
      </c>
      <c r="I188" s="92">
        <v>8</v>
      </c>
      <c r="J188" s="91"/>
      <c r="K188" s="91"/>
      <c r="L188" s="91" t="str">
        <f t="shared" si="27"/>
        <v>16BQ-084</v>
      </c>
      <c r="O188" s="62" t="str">
        <f t="shared" si="28"/>
        <v>cu_Group</v>
      </c>
    </row>
    <row r="189" spans="1:15" ht="14.1" customHeight="1">
      <c r="A189" s="89">
        <f t="shared" si="25"/>
        <v>46227</v>
      </c>
      <c r="B189" s="70">
        <f>'CHICLETS MASTER S2'!X34</f>
        <v>0.5</v>
      </c>
      <c r="C189" s="71" t="s">
        <v>218</v>
      </c>
      <c r="D189" s="119" t="str">
        <f t="shared" si="26"/>
        <v>BECKMAN HS 1</v>
      </c>
      <c r="E189" s="71">
        <v>88</v>
      </c>
      <c r="F189" s="91" t="str">
        <f>D115</f>
        <v>cu_O1(L49)-SANTA CRUZ B</v>
      </c>
      <c r="G189" s="92">
        <v>7</v>
      </c>
      <c r="H189" s="91" t="str">
        <f>D117</f>
        <v>cu_O3(L56)-HIELAND</v>
      </c>
      <c r="I189" s="92">
        <v>6</v>
      </c>
      <c r="J189" s="91"/>
      <c r="K189" s="91"/>
      <c r="L189" s="91" t="str">
        <f t="shared" si="27"/>
        <v>16BQ-088</v>
      </c>
      <c r="O189" s="62" t="str">
        <f t="shared" si="28"/>
        <v>cu_Group</v>
      </c>
    </row>
    <row r="190" spans="1:15" ht="14.1" customHeight="1">
      <c r="A190" s="89">
        <f t="shared" si="25"/>
        <v>46227</v>
      </c>
      <c r="B190" s="70">
        <f>'CHICLETS MASTER S2'!X35</f>
        <v>0.53472222222222199</v>
      </c>
      <c r="C190" s="71" t="s">
        <v>218</v>
      </c>
      <c r="D190" s="119" t="str">
        <f t="shared" si="26"/>
        <v>BECKMAN HS 1</v>
      </c>
      <c r="E190" s="71">
        <v>92</v>
      </c>
      <c r="F190" s="91" t="str">
        <f>E115</f>
        <v>cu_P1(L50)-LOKAHI</v>
      </c>
      <c r="G190" s="92">
        <v>11</v>
      </c>
      <c r="H190" s="91" t="str">
        <f>E117</f>
        <v>cu_P3(L60)-LOYOLA</v>
      </c>
      <c r="I190" s="92">
        <v>9</v>
      </c>
      <c r="J190" s="91"/>
      <c r="K190" s="91"/>
      <c r="L190" s="91" t="str">
        <f t="shared" si="27"/>
        <v>16BQ-092</v>
      </c>
      <c r="O190" s="62" t="str">
        <f t="shared" si="28"/>
        <v>cu_Group</v>
      </c>
    </row>
    <row r="191" spans="1:15" ht="14.1" customHeight="1">
      <c r="A191" s="89">
        <f t="shared" si="25"/>
        <v>46227</v>
      </c>
      <c r="B191" s="70">
        <f>'CHICLETS MASTER S2'!X36</f>
        <v>0.56944444444444497</v>
      </c>
      <c r="C191" s="71" t="s">
        <v>218</v>
      </c>
      <c r="D191" s="119" t="str">
        <f t="shared" si="26"/>
        <v>BECKMAN HS 1</v>
      </c>
      <c r="E191" s="71">
        <v>96</v>
      </c>
      <c r="F191" s="91" t="str">
        <f>E121</f>
        <v>cu_U2(L47)-NWC</v>
      </c>
      <c r="G191" s="92">
        <v>3</v>
      </c>
      <c r="H191" s="91" t="str">
        <f>E122</f>
        <v>cu_U3(L37)-BREA OLINDA</v>
      </c>
      <c r="I191" s="92">
        <v>9</v>
      </c>
      <c r="J191" s="91"/>
      <c r="K191" s="91"/>
      <c r="L191" s="91" t="str">
        <f t="shared" si="27"/>
        <v>16BQ-096</v>
      </c>
      <c r="O191" s="62" t="str">
        <f t="shared" si="28"/>
        <v>cu_Group</v>
      </c>
    </row>
    <row r="192" spans="1:15" ht="14.1" customHeight="1">
      <c r="A192" s="89">
        <f t="shared" si="25"/>
        <v>46227</v>
      </c>
      <c r="B192" s="70">
        <f>'CHICLETS MASTER S2'!X37</f>
        <v>0.60416666666666696</v>
      </c>
      <c r="C192" s="71" t="s">
        <v>218</v>
      </c>
      <c r="D192" s="119" t="str">
        <f t="shared" si="26"/>
        <v>BECKMAN HS 1</v>
      </c>
      <c r="E192" s="71">
        <v>100</v>
      </c>
      <c r="F192" s="91" t="str">
        <f>D121</f>
        <v>cu_T2(L39)-PALOS VERDES BLUE</v>
      </c>
      <c r="G192" s="92">
        <v>5</v>
      </c>
      <c r="H192" s="91" t="str">
        <f>D122</f>
        <v>cu_T3(L45)-TRILOGY B</v>
      </c>
      <c r="I192" s="92">
        <v>4</v>
      </c>
      <c r="J192" s="91"/>
      <c r="K192" s="91"/>
      <c r="L192" s="91" t="str">
        <f t="shared" si="27"/>
        <v>16BQ-100</v>
      </c>
      <c r="O192" s="62" t="str">
        <f t="shared" si="28"/>
        <v>cu_Group</v>
      </c>
    </row>
    <row r="193" spans="1:15" ht="14.1" customHeight="1">
      <c r="A193" s="89">
        <f t="shared" si="25"/>
        <v>46227</v>
      </c>
      <c r="B193" s="70">
        <f>'CHICLETS MASTER S2'!X38</f>
        <v>0.63888888888888895</v>
      </c>
      <c r="C193" s="71" t="s">
        <v>218</v>
      </c>
      <c r="D193" s="119" t="str">
        <f t="shared" si="26"/>
        <v>BECKMAN HS 1</v>
      </c>
      <c r="E193" s="71">
        <v>104</v>
      </c>
      <c r="F193" s="91" t="str">
        <f>D115</f>
        <v>cu_O1(L49)-SANTA CRUZ B</v>
      </c>
      <c r="G193" s="92">
        <v>11</v>
      </c>
      <c r="H193" s="91" t="str">
        <f>D116</f>
        <v>cu_O2(L58)-SOVA</v>
      </c>
      <c r="I193" s="92">
        <v>9</v>
      </c>
      <c r="J193" s="91"/>
      <c r="K193" s="91"/>
      <c r="L193" s="91" t="str">
        <f t="shared" si="27"/>
        <v>16BQ-104</v>
      </c>
      <c r="O193" s="62" t="str">
        <f t="shared" si="28"/>
        <v>cu_Group</v>
      </c>
    </row>
    <row r="194" spans="1:15" ht="14.1" customHeight="1">
      <c r="A194" s="89">
        <f t="shared" si="25"/>
        <v>46227</v>
      </c>
      <c r="B194" s="70">
        <f>'CHICLETS MASTER S2'!X39</f>
        <v>0.67361111111111105</v>
      </c>
      <c r="C194" s="71" t="s">
        <v>218</v>
      </c>
      <c r="D194" s="119" t="str">
        <f t="shared" si="26"/>
        <v>BECKMAN HS 1</v>
      </c>
      <c r="E194" s="71">
        <v>108</v>
      </c>
      <c r="F194" s="91" t="str">
        <f>E115</f>
        <v>cu_P1(L50)-LOKAHI</v>
      </c>
      <c r="G194" s="92">
        <v>13</v>
      </c>
      <c r="H194" s="91" t="str">
        <f>E116</f>
        <v>cu_P2(L54)-SAN JOSE FOUNDATION B</v>
      </c>
      <c r="I194" s="92">
        <v>9</v>
      </c>
      <c r="J194" s="91"/>
      <c r="K194" s="91"/>
      <c r="L194" s="91" t="str">
        <f t="shared" si="27"/>
        <v>16BQ-108</v>
      </c>
      <c r="O194" s="62" t="str">
        <f t="shared" si="28"/>
        <v>cu_Group</v>
      </c>
    </row>
    <row r="195" spans="1:15" ht="14.1" customHeight="1">
      <c r="A195" s="75"/>
      <c r="B195" s="60" t="s">
        <v>139</v>
      </c>
      <c r="C195" s="60"/>
      <c r="D195" s="60"/>
      <c r="E195" s="60"/>
      <c r="F195" s="60"/>
      <c r="G195" s="64"/>
      <c r="H195" s="60"/>
      <c r="I195" s="60"/>
      <c r="J195" s="60"/>
      <c r="K195" s="60"/>
      <c r="L195" s="60"/>
    </row>
    <row r="196" spans="1:15" ht="14.1" customHeight="1">
      <c r="A196" s="75"/>
      <c r="B196" s="60" t="s">
        <v>139</v>
      </c>
      <c r="C196" s="60"/>
      <c r="D196" s="60"/>
      <c r="E196" s="60"/>
      <c r="F196" s="60"/>
      <c r="G196" s="64"/>
      <c r="H196" s="60"/>
      <c r="I196" s="60"/>
      <c r="J196" s="60"/>
      <c r="K196" s="60"/>
      <c r="L196" s="60"/>
    </row>
    <row r="197" spans="1:15" ht="14.1" customHeight="1">
      <c r="A197" s="89">
        <f>$A$101</f>
        <v>46227</v>
      </c>
      <c r="B197" s="70">
        <f>'CHICLETS MASTER S2'!X42</f>
        <v>0.77777777777777801</v>
      </c>
      <c r="C197" s="71" t="s">
        <v>219</v>
      </c>
      <c r="D197" s="119" t="str">
        <f>$D$181</f>
        <v>BECKMAN HS 1</v>
      </c>
      <c r="E197" s="71">
        <v>112</v>
      </c>
      <c r="F197" s="91" t="s">
        <v>1828</v>
      </c>
      <c r="G197" s="92">
        <v>11</v>
      </c>
      <c r="H197" s="91" t="s">
        <v>1829</v>
      </c>
      <c r="I197" s="92">
        <v>6</v>
      </c>
      <c r="J197" s="91">
        <v>119</v>
      </c>
      <c r="K197" s="91">
        <v>140</v>
      </c>
      <c r="L197" s="91" t="str">
        <f>IF(E197="","",$L$15&amp;"-"&amp;TEXT(E197,"000"))</f>
        <v>16BQ-112</v>
      </c>
      <c r="O197" s="62" t="str">
        <f>$L$263&amp;C197</f>
        <v>cu_Play-in</v>
      </c>
    </row>
    <row r="198" spans="1:15" ht="14.1" customHeight="1">
      <c r="A198" s="89">
        <f>$A$101</f>
        <v>46227</v>
      </c>
      <c r="B198" s="70">
        <f>'CHICLETS MASTER S2'!X43</f>
        <v>0.8125</v>
      </c>
      <c r="C198" s="71" t="s">
        <v>219</v>
      </c>
      <c r="D198" s="119" t="str">
        <f>$D$181</f>
        <v>BECKMAN HS 1</v>
      </c>
      <c r="E198" s="71">
        <v>116</v>
      </c>
      <c r="F198" s="91" t="s">
        <v>1830</v>
      </c>
      <c r="G198" s="92">
        <v>7</v>
      </c>
      <c r="H198" s="91" t="s">
        <v>1831</v>
      </c>
      <c r="I198" s="92">
        <v>8</v>
      </c>
      <c r="J198" s="91">
        <v>127</v>
      </c>
      <c r="K198" s="91">
        <v>132</v>
      </c>
      <c r="L198" s="91" t="str">
        <f>IF(E198="","",$L$15&amp;"-"&amp;TEXT(E198,"000"))</f>
        <v>16BQ-116</v>
      </c>
      <c r="O198" s="62" t="str">
        <f>$L$263&amp;C198</f>
        <v>cu_Play-in</v>
      </c>
    </row>
    <row r="199" spans="1:15" ht="14.1" customHeight="1" thickBot="1">
      <c r="F199" s="62" t="s">
        <v>418</v>
      </c>
      <c r="H199" s="62" t="s">
        <v>418</v>
      </c>
    </row>
    <row r="200" spans="1:15" ht="14.1" customHeight="1" thickTop="1" thickBot="1">
      <c r="A200" s="68" t="s">
        <v>236</v>
      </c>
      <c r="B200" s="82"/>
      <c r="C200" s="82"/>
      <c r="D200" s="82"/>
      <c r="E200" s="82"/>
      <c r="F200" s="82"/>
      <c r="G200" s="83"/>
      <c r="H200" s="82"/>
      <c r="I200" s="82"/>
      <c r="J200" s="82"/>
      <c r="K200" s="82"/>
      <c r="L200" s="82"/>
    </row>
    <row r="201" spans="1:15" ht="14.1" customHeight="1" thickBot="1">
      <c r="A201" s="61">
        <v>46228</v>
      </c>
      <c r="G201" s="62"/>
    </row>
    <row r="202" spans="1:15" ht="14.1" customHeight="1" thickBot="1">
      <c r="D202" s="68" t="str">
        <f>'CHICLETS MASTER S2'!$AG$51</f>
        <v>GOLDEN WEST COLLEGE 1</v>
      </c>
      <c r="G202" s="62"/>
    </row>
    <row r="203" spans="1:15" ht="14.1" customHeight="1">
      <c r="A203" s="306" t="s">
        <v>124</v>
      </c>
      <c r="B203" s="306" t="s">
        <v>125</v>
      </c>
      <c r="C203" s="306" t="s">
        <v>126</v>
      </c>
      <c r="D203" s="306" t="s">
        <v>127</v>
      </c>
      <c r="E203" s="306" t="s">
        <v>128</v>
      </c>
      <c r="F203" s="306" t="s">
        <v>129</v>
      </c>
      <c r="G203" s="306" t="s">
        <v>130</v>
      </c>
      <c r="H203" s="306" t="s">
        <v>131</v>
      </c>
      <c r="I203" s="306" t="s">
        <v>130</v>
      </c>
      <c r="J203" s="306" t="s">
        <v>132</v>
      </c>
      <c r="K203" s="306" t="s">
        <v>133</v>
      </c>
      <c r="L203" s="306" t="s">
        <v>134</v>
      </c>
    </row>
    <row r="204" spans="1:15" ht="14.1" customHeight="1">
      <c r="A204" s="69">
        <f t="shared" ref="A204:A215" si="29">$A$201</f>
        <v>46228</v>
      </c>
      <c r="B204" s="70">
        <f>'CHICLETS MASTER S2'!X53</f>
        <v>0.33333333333333331</v>
      </c>
      <c r="C204" s="71" t="s">
        <v>237</v>
      </c>
      <c r="D204" s="119" t="str">
        <f t="shared" ref="D204:D215" si="30">$D$202</f>
        <v>GOLDEN WEST COLLEGE 1</v>
      </c>
      <c r="E204" s="71">
        <v>117</v>
      </c>
      <c r="F204" s="90" t="s">
        <v>1832</v>
      </c>
      <c r="G204" s="90">
        <v>6</v>
      </c>
      <c r="H204" s="90" t="str">
        <f>IF(G159="","W110",IF(G159&gt;I159,_xlfn.CONCAT("W110-",RIGHT(F159,LEN(F159) - FIND("-",F159))), _xlfn.CONCAT("W110-",RIGHT(H159,LEN(H159) - FIND("-",H159)))))</f>
        <v>W110-SANTA BARBARA WPC B</v>
      </c>
      <c r="I204" s="90">
        <v>12</v>
      </c>
      <c r="J204" s="90">
        <v>141</v>
      </c>
      <c r="K204" s="90">
        <v>149</v>
      </c>
      <c r="L204" s="90" t="str">
        <f t="shared" ref="L204:L215" si="31">IF(E204="","",$L$15&amp;"-"&amp;TEXT(E204,"000"))</f>
        <v>16BQ-117</v>
      </c>
      <c r="O204" s="62" t="str">
        <f t="shared" ref="O204:O215" si="32">$K$263&amp;C204</f>
        <v>ni_5-8 v 9-12</v>
      </c>
    </row>
    <row r="205" spans="1:15" ht="14.1" customHeight="1">
      <c r="A205" s="69">
        <f t="shared" si="29"/>
        <v>46228</v>
      </c>
      <c r="B205" s="70">
        <f>'CHICLETS MASTER S2'!X54</f>
        <v>0.375</v>
      </c>
      <c r="C205" s="71" t="s">
        <v>237</v>
      </c>
      <c r="D205" s="119" t="str">
        <f t="shared" si="30"/>
        <v>GOLDEN WEST COLLEGE 1</v>
      </c>
      <c r="E205" s="71">
        <v>121</v>
      </c>
      <c r="F205" s="90" t="s">
        <v>1833</v>
      </c>
      <c r="G205" s="90">
        <v>8</v>
      </c>
      <c r="H205" s="90" t="str">
        <f>IF(G141="","W113",IF(G141&gt;I141,_xlfn.CONCAT("W113-",RIGHT(F141,LEN(F141) - FIND("-",F141))), _xlfn.CONCAT("W113-",RIGHT(H141,LEN(H141) - FIND("-",H141)))))</f>
        <v>W113-CMAC</v>
      </c>
      <c r="I205" s="93">
        <v>12</v>
      </c>
      <c r="J205" s="90">
        <v>141</v>
      </c>
      <c r="K205" s="90">
        <v>149</v>
      </c>
      <c r="L205" s="90" t="str">
        <f t="shared" si="31"/>
        <v>16BQ-121</v>
      </c>
      <c r="O205" s="62" t="str">
        <f t="shared" si="32"/>
        <v>ni_5-8 v 9-12</v>
      </c>
    </row>
    <row r="206" spans="1:15" ht="14.1" customHeight="1">
      <c r="A206" s="69">
        <f t="shared" si="29"/>
        <v>46228</v>
      </c>
      <c r="B206" s="70">
        <f>'CHICLETS MASTER S2'!X55</f>
        <v>0.41666666666666702</v>
      </c>
      <c r="C206" s="71" t="s">
        <v>237</v>
      </c>
      <c r="D206" s="119" t="str">
        <f t="shared" si="30"/>
        <v>GOLDEN WEST COLLEGE 1</v>
      </c>
      <c r="E206" s="71">
        <v>125</v>
      </c>
      <c r="F206" s="90" t="s">
        <v>1834</v>
      </c>
      <c r="G206" s="90">
        <v>8</v>
      </c>
      <c r="H206" s="90" t="str">
        <f>IF(G160="","W114",IF(G160&gt;I160,_xlfn.CONCAT("W114-",RIGHT(F160,LEN(F160) - FIND("-",F160))), _xlfn.CONCAT("W114-",RIGHT(H160,LEN(H160) - FIND("-",H160)))))</f>
        <v>W114-SOCAL</v>
      </c>
      <c r="I206" s="90">
        <v>10</v>
      </c>
      <c r="J206" s="90">
        <v>145</v>
      </c>
      <c r="K206" s="90">
        <v>153</v>
      </c>
      <c r="L206" s="90" t="str">
        <f t="shared" si="31"/>
        <v>16BQ-125</v>
      </c>
      <c r="O206" s="62" t="str">
        <f t="shared" si="32"/>
        <v>ni_5-8 v 9-12</v>
      </c>
    </row>
    <row r="207" spans="1:15" ht="14.1" customHeight="1">
      <c r="A207" s="69">
        <f t="shared" si="29"/>
        <v>46228</v>
      </c>
      <c r="B207" s="70">
        <f>'CHICLETS MASTER S2'!X56</f>
        <v>0.45833333333333298</v>
      </c>
      <c r="C207" s="71" t="s">
        <v>237</v>
      </c>
      <c r="D207" s="119" t="str">
        <f t="shared" si="30"/>
        <v>GOLDEN WEST COLLEGE 1</v>
      </c>
      <c r="E207" s="71">
        <v>129</v>
      </c>
      <c r="F207" s="90" t="s">
        <v>1835</v>
      </c>
      <c r="G207" s="90">
        <v>12</v>
      </c>
      <c r="H207" s="90" t="str">
        <f>IF(G140="","W109",IF(G140&gt;I140,_xlfn.CONCAT("W109-",RIGHT(F140,LEN(F140) - FIND("-",F140))), _xlfn.CONCAT("W109-",RIGHT(H140,LEN(H140) - FIND("-",H140)))))</f>
        <v>W109-SACRAMENTO BLACK</v>
      </c>
      <c r="I207" s="90">
        <v>8</v>
      </c>
      <c r="J207" s="90">
        <v>145</v>
      </c>
      <c r="K207" s="90">
        <v>153</v>
      </c>
      <c r="L207" s="90" t="str">
        <f t="shared" si="31"/>
        <v>16BQ-129</v>
      </c>
      <c r="O207" s="62" t="str">
        <f t="shared" si="32"/>
        <v>ni_5-8 v 9-12</v>
      </c>
    </row>
    <row r="208" spans="1:15" ht="14.1" customHeight="1">
      <c r="A208" s="69">
        <f t="shared" si="29"/>
        <v>46228</v>
      </c>
      <c r="B208" s="70">
        <f>'CHICLETS MASTER S2'!X57</f>
        <v>0.5</v>
      </c>
      <c r="C208" s="71" t="s">
        <v>242</v>
      </c>
      <c r="D208" s="119" t="str">
        <f t="shared" si="30"/>
        <v>GOLDEN WEST COLLEGE 1</v>
      </c>
      <c r="E208" s="71">
        <v>133</v>
      </c>
      <c r="F208" s="90" t="s">
        <v>1836</v>
      </c>
      <c r="G208" s="90">
        <v>15</v>
      </c>
      <c r="H208" s="90" t="s">
        <v>1837</v>
      </c>
      <c r="I208" s="90">
        <v>13</v>
      </c>
      <c r="J208" s="90">
        <v>174</v>
      </c>
      <c r="K208" s="90">
        <v>157</v>
      </c>
      <c r="L208" s="90" t="str">
        <f t="shared" si="31"/>
        <v>16BQ-133</v>
      </c>
      <c r="O208" s="62" t="str">
        <f t="shared" si="32"/>
        <v>ni_1-2 v 3-4</v>
      </c>
    </row>
    <row r="209" spans="1:15" ht="14.1" customHeight="1">
      <c r="A209" s="69">
        <f t="shared" si="29"/>
        <v>46228</v>
      </c>
      <c r="B209" s="70">
        <f>'CHICLETS MASTER S2'!X58</f>
        <v>0.54166666666666696</v>
      </c>
      <c r="C209" s="71" t="s">
        <v>242</v>
      </c>
      <c r="D209" s="119" t="str">
        <f t="shared" si="30"/>
        <v>GOLDEN WEST COLLEGE 1</v>
      </c>
      <c r="E209" s="71">
        <v>137</v>
      </c>
      <c r="F209" s="90" t="s">
        <v>1838</v>
      </c>
      <c r="G209" s="93">
        <v>9</v>
      </c>
      <c r="H209" s="90" t="s">
        <v>1839</v>
      </c>
      <c r="I209" s="90">
        <v>14</v>
      </c>
      <c r="J209" s="90">
        <v>173</v>
      </c>
      <c r="K209" s="90">
        <v>161</v>
      </c>
      <c r="L209" s="90" t="str">
        <f t="shared" si="31"/>
        <v>16BQ-137</v>
      </c>
      <c r="O209" s="62" t="str">
        <f t="shared" si="32"/>
        <v>ni_1-2 v 3-4</v>
      </c>
    </row>
    <row r="210" spans="1:15" ht="14.1" customHeight="1">
      <c r="A210" s="69">
        <f t="shared" si="29"/>
        <v>46228</v>
      </c>
      <c r="B210" s="70">
        <f>'CHICLETS MASTER S2'!X59</f>
        <v>0.58333333333333304</v>
      </c>
      <c r="C210" s="71" t="s">
        <v>247</v>
      </c>
      <c r="D210" s="119" t="str">
        <f t="shared" si="30"/>
        <v>GOLDEN WEST COLLEGE 1</v>
      </c>
      <c r="E210" s="71">
        <v>141</v>
      </c>
      <c r="F210" s="90" t="str">
        <f>IF(G204="","W117",IF(G204&gt;I204,_xlfn.CONCAT("W117-",RIGHT(F204,LEN(F204) - FIND("-",F204))), _xlfn.CONCAT("W117-",RIGHT(H204,LEN(H204) - FIND("-",H204)))))</f>
        <v>W117-SANTA BARBARA WPC B</v>
      </c>
      <c r="G210" s="90">
        <v>9</v>
      </c>
      <c r="H210" s="90" t="str">
        <f>IF(G205="","W121",IF(G205&gt;I205,_xlfn.CONCAT("W121-",RIGHT(F205,LEN(F205) - FIND("-",F205))), _xlfn.CONCAT("W121-",RIGHT(H205,LEN(H205) - FIND("-",H205)))))</f>
        <v>W121-CMAC</v>
      </c>
      <c r="I210" s="90">
        <v>3</v>
      </c>
      <c r="J210" s="90">
        <v>157</v>
      </c>
      <c r="K210" s="90">
        <v>185</v>
      </c>
      <c r="L210" s="90" t="str">
        <f t="shared" si="31"/>
        <v>16BQ-141</v>
      </c>
      <c r="O210" s="62" t="str">
        <f t="shared" si="32"/>
        <v>ni_5-6 v 7-8</v>
      </c>
    </row>
    <row r="211" spans="1:15" ht="14.1" customHeight="1">
      <c r="A211" s="69">
        <f t="shared" si="29"/>
        <v>46228</v>
      </c>
      <c r="B211" s="70">
        <f>'CHICLETS MASTER S2'!X60</f>
        <v>0.625</v>
      </c>
      <c r="C211" s="71" t="s">
        <v>247</v>
      </c>
      <c r="D211" s="119" t="str">
        <f t="shared" si="30"/>
        <v>GOLDEN WEST COLLEGE 1</v>
      </c>
      <c r="E211" s="71">
        <v>145</v>
      </c>
      <c r="F211" s="90" t="str">
        <f>IF(G206="","W125",IF(G206&gt;I206,_xlfn.CONCAT("W125-",RIGHT(F206,LEN(F206) - FIND("-",F206))), _xlfn.CONCAT("W125-",RIGHT(H206,LEN(H206) - FIND("-",H206)))))</f>
        <v>W125-SOCAL</v>
      </c>
      <c r="G211" s="90">
        <v>12</v>
      </c>
      <c r="H211" s="90" t="str">
        <f>IF(G207="","W129",IF(G207&gt;I207,_xlfn.CONCAT("W129-",RIGHT(F207,LEN(F207) - FIND("-",F207))), _xlfn.CONCAT("W129-",RIGHT(H207,LEN(H207) - FIND("-",H207)))))</f>
        <v>W129-TEMPLE CITY YELLOW</v>
      </c>
      <c r="I211" s="90">
        <v>7</v>
      </c>
      <c r="J211" s="90">
        <v>161</v>
      </c>
      <c r="K211" s="90">
        <v>185</v>
      </c>
      <c r="L211" s="90" t="str">
        <f t="shared" si="31"/>
        <v>16BQ-145</v>
      </c>
      <c r="O211" s="62" t="str">
        <f t="shared" si="32"/>
        <v>ni_5-6 v 7-8</v>
      </c>
    </row>
    <row r="212" spans="1:15" ht="14.1" customHeight="1">
      <c r="A212" s="69">
        <f t="shared" si="29"/>
        <v>46228</v>
      </c>
      <c r="B212" s="70">
        <f>'CHICLETS MASTER S2'!X61</f>
        <v>0.66666666666666696</v>
      </c>
      <c r="C212" s="71" t="s">
        <v>248</v>
      </c>
      <c r="D212" s="119" t="str">
        <f t="shared" si="30"/>
        <v>GOLDEN WEST COLLEGE 1</v>
      </c>
      <c r="E212" s="71">
        <v>149</v>
      </c>
      <c r="F212" s="90" t="str">
        <f>IF(G205="","L121",IF(G205&lt;I205,_xlfn.CONCAT("L121-",RIGHT(F205,LEN(F205) - FIND("-",F205))), _xlfn.CONCAT("L121-",RIGHT(H205,LEN(H205) - FIND("-",H205)))))</f>
        <v>L121-BLUE CRUSH</v>
      </c>
      <c r="G212" s="90">
        <v>9</v>
      </c>
      <c r="H212" s="90" t="str">
        <f>IF(G204="","L117",IF(G204&lt;I204,_xlfn.CONCAT("L117-",RIGHT(F204,LEN(F204) - FIND("-",F204))), _xlfn.CONCAT("L117-",RIGHT(H204,LEN(H204) - FIND("-",H204)))))</f>
        <v>L117-SUPREME</v>
      </c>
      <c r="I212" s="90">
        <v>8</v>
      </c>
      <c r="J212" s="90">
        <v>182</v>
      </c>
      <c r="K212" s="90">
        <v>181</v>
      </c>
      <c r="L212" s="90" t="str">
        <f t="shared" si="31"/>
        <v>16BQ-149</v>
      </c>
      <c r="O212" s="62" t="str">
        <f t="shared" si="32"/>
        <v>ni_9-12 semi</v>
      </c>
    </row>
    <row r="213" spans="1:15" ht="14.1" customHeight="1">
      <c r="A213" s="69">
        <f t="shared" si="29"/>
        <v>46228</v>
      </c>
      <c r="B213" s="70">
        <f>'CHICLETS MASTER S2'!X62</f>
        <v>0.70833333333333304</v>
      </c>
      <c r="C213" s="71" t="s">
        <v>248</v>
      </c>
      <c r="D213" s="119" t="str">
        <f t="shared" si="30"/>
        <v>GOLDEN WEST COLLEGE 1</v>
      </c>
      <c r="E213" s="71">
        <v>153</v>
      </c>
      <c r="F213" s="90" t="str">
        <f>IF(G207="","L129",IF(G207&lt;I207,_xlfn.CONCAT("L129-",RIGHT(F207,LEN(F207) - FIND("-",F207))), _xlfn.CONCAT("L129-",RIGHT(H207,LEN(H207) - FIND("-",H207)))))</f>
        <v>L129-SACRAMENTO BLACK</v>
      </c>
      <c r="G213" s="90">
        <v>10</v>
      </c>
      <c r="H213" s="90" t="str">
        <f>IF(G206="","L125",IF(G206&lt;I206,_xlfn.CONCAT("L125-",RIGHT(F206,LEN(F206) - FIND("-",F206))), _xlfn.CONCAT("L125-",RIGHT(H206,LEN(H206) - FIND("-",H206)))))</f>
        <v>L125-680 BLUE</v>
      </c>
      <c r="I213" s="90">
        <v>16</v>
      </c>
      <c r="J213" s="90">
        <v>182</v>
      </c>
      <c r="K213" s="90">
        <v>181</v>
      </c>
      <c r="L213" s="90" t="str">
        <f t="shared" si="31"/>
        <v>16BQ-153</v>
      </c>
      <c r="O213" s="62" t="str">
        <f t="shared" si="32"/>
        <v>ni_9-12 semi</v>
      </c>
    </row>
    <row r="214" spans="1:15" ht="14.1" customHeight="1">
      <c r="A214" s="69">
        <f t="shared" si="29"/>
        <v>46228</v>
      </c>
      <c r="B214" s="70">
        <f>'CHICLETS MASTER S2'!X63</f>
        <v>0.75</v>
      </c>
      <c r="C214" s="71" t="s">
        <v>439</v>
      </c>
      <c r="D214" s="119" t="str">
        <f t="shared" si="30"/>
        <v>GOLDEN WEST COLLEGE 1</v>
      </c>
      <c r="E214" s="71">
        <v>157</v>
      </c>
      <c r="F214" s="90" t="str">
        <f>IF(G208="","L133",IF(G208&lt;I208,_xlfn.CONCAT("L133-",RIGHT(F208,LEN(F208) - FIND("-",F208))), _xlfn.CONCAT("L133-",RIGHT(H208,LEN(H208) - FIND("-",H208)))))</f>
        <v>L133-DAVIS</v>
      </c>
      <c r="G214" s="90">
        <v>10</v>
      </c>
      <c r="H214" s="90" t="str">
        <f>IF(G210="","W141",IF(G210&gt;I210,_xlfn.CONCAT("W141-",RIGHT(F210,LEN(F210) - FIND("-",F210))), _xlfn.CONCAT("W141-",RIGHT(H210,LEN(H210) - FIND("-",H210)))))</f>
        <v>W141-SANTA BARBARA WPC B</v>
      </c>
      <c r="I214" s="90">
        <v>11</v>
      </c>
      <c r="J214" s="90">
        <v>173</v>
      </c>
      <c r="K214" s="90">
        <v>186</v>
      </c>
      <c r="L214" s="90" t="str">
        <f t="shared" si="31"/>
        <v>16BQ-157</v>
      </c>
      <c r="O214" s="62" t="str">
        <f t="shared" si="32"/>
        <v>ni_play to semi</v>
      </c>
    </row>
    <row r="215" spans="1:15" ht="14.1" customHeight="1">
      <c r="A215" s="69">
        <f t="shared" si="29"/>
        <v>46228</v>
      </c>
      <c r="B215" s="70">
        <f>'CHICLETS MASTER S2'!X64</f>
        <v>0.79166666666666696</v>
      </c>
      <c r="C215" s="71" t="s">
        <v>439</v>
      </c>
      <c r="D215" s="119" t="str">
        <f t="shared" si="30"/>
        <v>GOLDEN WEST COLLEGE 1</v>
      </c>
      <c r="E215" s="71">
        <v>161</v>
      </c>
      <c r="F215" s="90" t="str">
        <f>IF(G209="","L137",IF(G209&lt;I209,_xlfn.CONCAT("L137-",RIGHT(F209,LEN(F209) - FIND("-",F209))), _xlfn.CONCAT("L137-",RIGHT(H209,LEN(H209) - FIND("-",H209)))))</f>
        <v>L137-SOUTH COAST WHITE</v>
      </c>
      <c r="G215" s="90">
        <v>8.4</v>
      </c>
      <c r="H215" s="90" t="str">
        <f>IF(G211="","W145",IF(G211&gt;I211,_xlfn.CONCAT("W145-",RIGHT(F211,LEN(F211) - FIND("-",F211))), _xlfn.CONCAT("W145-",RIGHT(H211,LEN(H211) - FIND("-",H211)))))</f>
        <v>W145-SOCAL</v>
      </c>
      <c r="I215" s="90">
        <v>8.5</v>
      </c>
      <c r="J215" s="90">
        <v>174</v>
      </c>
      <c r="K215" s="90">
        <v>186</v>
      </c>
      <c r="L215" s="90" t="str">
        <f t="shared" si="31"/>
        <v>16BQ-161</v>
      </c>
      <c r="O215" s="62" t="str">
        <f t="shared" si="32"/>
        <v>ni_play to semi</v>
      </c>
    </row>
    <row r="216" spans="1:15" ht="14.1" customHeight="1" thickBot="1">
      <c r="G216" s="62"/>
    </row>
    <row r="217" spans="1:15" ht="14.1" customHeight="1" thickBot="1">
      <c r="A217" s="78"/>
      <c r="B217" s="79"/>
      <c r="D217" s="68" t="str">
        <f>'CHICLETS MASTER S2'!$AM$51</f>
        <v>TUSTIN HS 1</v>
      </c>
      <c r="F217" s="62" t="s">
        <v>418</v>
      </c>
      <c r="G217" s="80" t="s">
        <v>418</v>
      </c>
      <c r="H217" s="62" t="s">
        <v>418</v>
      </c>
      <c r="I217" s="60"/>
      <c r="J217" s="60"/>
      <c r="K217" s="60"/>
      <c r="L217" s="60"/>
    </row>
    <row r="218" spans="1:15" ht="14.1" customHeight="1">
      <c r="A218" s="306" t="s">
        <v>124</v>
      </c>
      <c r="B218" s="306" t="s">
        <v>125</v>
      </c>
      <c r="C218" s="306" t="s">
        <v>126</v>
      </c>
      <c r="D218" s="306" t="s">
        <v>127</v>
      </c>
      <c r="E218" s="306" t="s">
        <v>128</v>
      </c>
      <c r="F218" s="306" t="s">
        <v>129</v>
      </c>
      <c r="G218" s="306" t="s">
        <v>130</v>
      </c>
      <c r="H218" s="306" t="s">
        <v>131</v>
      </c>
      <c r="I218" s="306" t="s">
        <v>130</v>
      </c>
      <c r="J218" s="306" t="s">
        <v>132</v>
      </c>
      <c r="K218" s="306" t="s">
        <v>133</v>
      </c>
      <c r="L218" s="306" t="s">
        <v>134</v>
      </c>
    </row>
    <row r="219" spans="1:15" ht="14.1" customHeight="1">
      <c r="A219" s="69">
        <f t="shared" ref="A219:A260" si="33">$A$201</f>
        <v>46228</v>
      </c>
      <c r="B219" s="70">
        <f>'CHICLETS MASTER S2'!X53</f>
        <v>0.33333333333333331</v>
      </c>
      <c r="C219" s="71" t="s">
        <v>249</v>
      </c>
      <c r="D219" s="119" t="str">
        <f t="shared" ref="D219:D230" si="34">$D$217</f>
        <v>TUSTIN HS 1</v>
      </c>
      <c r="E219" s="71">
        <v>118</v>
      </c>
      <c r="F219" s="90" t="s">
        <v>1840</v>
      </c>
      <c r="G219" s="90">
        <v>9</v>
      </c>
      <c r="H219" s="90" t="s">
        <v>1841</v>
      </c>
      <c r="I219" s="90">
        <v>24</v>
      </c>
      <c r="J219" s="90"/>
      <c r="K219" s="90"/>
      <c r="L219" s="90" t="str">
        <f t="shared" ref="L219:L230" si="35">IF(E219="","",$L$15&amp;"-"&amp;TEXT(E219,"000"))</f>
        <v>16BQ-118</v>
      </c>
      <c r="O219" s="62" t="str">
        <f t="shared" ref="O219:O230" si="36">$K$263&amp;C219</f>
        <v>ni_21-24 RR</v>
      </c>
    </row>
    <row r="220" spans="1:15" ht="14.1" customHeight="1">
      <c r="A220" s="69">
        <f t="shared" si="33"/>
        <v>46228</v>
      </c>
      <c r="B220" s="70">
        <f>'CHICLETS MASTER S2'!X54</f>
        <v>0.375</v>
      </c>
      <c r="C220" s="71" t="s">
        <v>249</v>
      </c>
      <c r="D220" s="119" t="str">
        <f t="shared" si="34"/>
        <v>TUSTIN HS 1</v>
      </c>
      <c r="E220" s="71">
        <v>122</v>
      </c>
      <c r="F220" s="90" t="s">
        <v>1842</v>
      </c>
      <c r="G220" s="90">
        <v>10</v>
      </c>
      <c r="H220" s="90" t="s">
        <v>1843</v>
      </c>
      <c r="I220" s="90">
        <v>11</v>
      </c>
      <c r="J220" s="90"/>
      <c r="K220" s="90"/>
      <c r="L220" s="90" t="str">
        <f t="shared" si="35"/>
        <v>16BQ-122</v>
      </c>
      <c r="O220" s="62" t="str">
        <f t="shared" si="36"/>
        <v>ni_21-24 RR</v>
      </c>
    </row>
    <row r="221" spans="1:15" ht="14.1" customHeight="1">
      <c r="A221" s="69">
        <f t="shared" si="33"/>
        <v>46228</v>
      </c>
      <c r="B221" s="70">
        <f>'CHICLETS MASTER S2'!X55</f>
        <v>0.41666666666666702</v>
      </c>
      <c r="C221" s="71" t="s">
        <v>254</v>
      </c>
      <c r="D221" s="119" t="str">
        <f t="shared" si="34"/>
        <v>TUSTIN HS 1</v>
      </c>
      <c r="E221" s="71">
        <v>126</v>
      </c>
      <c r="F221" s="90" t="str">
        <f>IF(G141="","L113",IF(G141&lt;I141,_xlfn.CONCAT("L113-",RIGHT(F141,LEN(F141) - FIND("-",F141))), _xlfn.CONCAT("L113-",RIGHT(H141,LEN(H141) - FIND("-",H141)))))</f>
        <v>L113-VANGUARD WHITE</v>
      </c>
      <c r="G221" s="93">
        <v>6</v>
      </c>
      <c r="H221" s="90" t="s">
        <v>1844</v>
      </c>
      <c r="I221" s="90">
        <v>7</v>
      </c>
      <c r="J221" s="90">
        <v>150</v>
      </c>
      <c r="K221" s="90">
        <v>154</v>
      </c>
      <c r="L221" s="90" t="str">
        <f t="shared" si="35"/>
        <v>16BQ-126</v>
      </c>
      <c r="O221" s="62" t="str">
        <f t="shared" si="36"/>
        <v>ni_13-20 qtr</v>
      </c>
    </row>
    <row r="222" spans="1:15" ht="14.1" customHeight="1">
      <c r="A222" s="69">
        <f t="shared" si="33"/>
        <v>46228</v>
      </c>
      <c r="B222" s="70">
        <f>'CHICLETS MASTER S2'!X56</f>
        <v>0.45833333333333298</v>
      </c>
      <c r="C222" s="71" t="s">
        <v>254</v>
      </c>
      <c r="D222" s="119" t="str">
        <f t="shared" si="34"/>
        <v>TUSTIN HS 1</v>
      </c>
      <c r="E222" s="71">
        <v>130</v>
      </c>
      <c r="F222" s="90" t="str">
        <f>IF(G160="","L114",IF(G160&lt;I160,_xlfn.CONCAT("L114-",RIGHT(F160,LEN(F160) - FIND("-",F160))), _xlfn.CONCAT("L114-",RIGHT(H160,LEN(H160) - FIND("-",H160)))))</f>
        <v>L114-NAVY</v>
      </c>
      <c r="G222" s="90">
        <v>11.2</v>
      </c>
      <c r="H222" s="90" t="s">
        <v>1845</v>
      </c>
      <c r="I222" s="90">
        <v>11.4</v>
      </c>
      <c r="J222" s="90">
        <v>150</v>
      </c>
      <c r="K222" s="90">
        <v>154</v>
      </c>
      <c r="L222" s="90" t="str">
        <f t="shared" si="35"/>
        <v>16BQ-130</v>
      </c>
      <c r="O222" s="62" t="str">
        <f t="shared" si="36"/>
        <v>ni_13-20 qtr</v>
      </c>
    </row>
    <row r="223" spans="1:15" ht="14.1" customHeight="1">
      <c r="A223" s="69">
        <f t="shared" si="33"/>
        <v>46228</v>
      </c>
      <c r="B223" s="70">
        <f>'CHICLETS MASTER S2'!X57</f>
        <v>0.5</v>
      </c>
      <c r="C223" s="71" t="s">
        <v>254</v>
      </c>
      <c r="D223" s="119" t="str">
        <f t="shared" si="34"/>
        <v>TUSTIN HS 1</v>
      </c>
      <c r="E223" s="71">
        <v>134</v>
      </c>
      <c r="F223" s="90" t="str">
        <f>IF(G140="","L109",IF(G140&lt;I140,_xlfn.CONCAT("L109-",RIGHT(F140,LEN(F140) - FIND("-",F140))), _xlfn.CONCAT("L109-",RIGHT(H140,LEN(H140) - FIND("-",H140)))))</f>
        <v>L109-CLOVIS B</v>
      </c>
      <c r="G223" s="90">
        <v>8</v>
      </c>
      <c r="H223" s="90" t="s">
        <v>1846</v>
      </c>
      <c r="I223" s="90">
        <v>10</v>
      </c>
      <c r="J223" s="90">
        <v>158</v>
      </c>
      <c r="K223" s="90">
        <v>162</v>
      </c>
      <c r="L223" s="90" t="str">
        <f t="shared" si="35"/>
        <v>16BQ-134</v>
      </c>
      <c r="O223" s="62" t="str">
        <f t="shared" si="36"/>
        <v>ni_13-20 qtr</v>
      </c>
    </row>
    <row r="224" spans="1:15" ht="14.1" customHeight="1">
      <c r="A224" s="69">
        <f t="shared" si="33"/>
        <v>46228</v>
      </c>
      <c r="B224" s="70">
        <f>'CHICLETS MASTER S2'!X58</f>
        <v>0.54166666666666696</v>
      </c>
      <c r="C224" s="71" t="s">
        <v>254</v>
      </c>
      <c r="D224" s="119" t="str">
        <f t="shared" si="34"/>
        <v>TUSTIN HS 1</v>
      </c>
      <c r="E224" s="71">
        <v>138</v>
      </c>
      <c r="F224" s="90" t="str">
        <f>IF(G159="","L110",IF(G159&lt;I159,_xlfn.CONCAT("L110-",RIGHT(F159,LEN(F159) - FIND("-",F159))), _xlfn.CONCAT("L110-",RIGHT(H159,LEN(H159) - FIND("-",H159)))))</f>
        <v>L110-AMERICAN RIVER GOLD</v>
      </c>
      <c r="G224" s="90">
        <v>10</v>
      </c>
      <c r="H224" s="90" t="s">
        <v>1847</v>
      </c>
      <c r="I224" s="90">
        <v>13</v>
      </c>
      <c r="J224" s="90">
        <v>158</v>
      </c>
      <c r="K224" s="90">
        <v>162</v>
      </c>
      <c r="L224" s="90" t="str">
        <f t="shared" si="35"/>
        <v>16BQ-138</v>
      </c>
      <c r="O224" s="62" t="str">
        <f t="shared" si="36"/>
        <v>ni_13-20 qtr</v>
      </c>
    </row>
    <row r="225" spans="1:15" ht="14.1" customHeight="1">
      <c r="A225" s="69">
        <f t="shared" si="33"/>
        <v>46228</v>
      </c>
      <c r="B225" s="70">
        <f>'CHICLETS MASTER S2'!X59</f>
        <v>0.58333333333333304</v>
      </c>
      <c r="C225" s="71" t="s">
        <v>249</v>
      </c>
      <c r="D225" s="119" t="str">
        <f t="shared" si="34"/>
        <v>TUSTIN HS 1</v>
      </c>
      <c r="E225" s="71">
        <v>142</v>
      </c>
      <c r="F225" s="90" t="s">
        <v>1840</v>
      </c>
      <c r="G225" s="90">
        <v>7</v>
      </c>
      <c r="H225" s="90" t="s">
        <v>1843</v>
      </c>
      <c r="I225" s="90">
        <v>13</v>
      </c>
      <c r="J225" s="90"/>
      <c r="K225" s="90"/>
      <c r="L225" s="90" t="str">
        <f t="shared" si="35"/>
        <v>16BQ-142</v>
      </c>
      <c r="O225" s="62" t="str">
        <f t="shared" si="36"/>
        <v>ni_21-24 RR</v>
      </c>
    </row>
    <row r="226" spans="1:15" ht="14.1" customHeight="1">
      <c r="A226" s="69">
        <f t="shared" si="33"/>
        <v>46228</v>
      </c>
      <c r="B226" s="70">
        <f>'CHICLETS MASTER S2'!X60</f>
        <v>0.625</v>
      </c>
      <c r="C226" s="71" t="s">
        <v>249</v>
      </c>
      <c r="D226" s="119" t="str">
        <f t="shared" si="34"/>
        <v>TUSTIN HS 1</v>
      </c>
      <c r="E226" s="71">
        <v>146</v>
      </c>
      <c r="F226" s="90" t="s">
        <v>1842</v>
      </c>
      <c r="G226" s="90">
        <v>3</v>
      </c>
      <c r="H226" s="90" t="s">
        <v>1841</v>
      </c>
      <c r="I226" s="90">
        <v>10</v>
      </c>
      <c r="J226" s="90"/>
      <c r="K226" s="90"/>
      <c r="L226" s="90" t="str">
        <f t="shared" si="35"/>
        <v>16BQ-146</v>
      </c>
      <c r="O226" s="62" t="str">
        <f t="shared" si="36"/>
        <v>ni_21-24 RR</v>
      </c>
    </row>
    <row r="227" spans="1:15" ht="14.1" customHeight="1">
      <c r="A227" s="69">
        <f t="shared" si="33"/>
        <v>46228</v>
      </c>
      <c r="B227" s="70">
        <f>'CHICLETS MASTER S2'!X61</f>
        <v>0.66666666666666696</v>
      </c>
      <c r="C227" s="71" t="s">
        <v>259</v>
      </c>
      <c r="D227" s="119" t="str">
        <f t="shared" si="34"/>
        <v>TUSTIN HS 1</v>
      </c>
      <c r="E227" s="71">
        <v>150</v>
      </c>
      <c r="F227" s="90" t="str">
        <f>IF(G221="","W126",IF(G221&gt;I221,_xlfn.CONCAT("W126-",RIGHT(F221,LEN(F221) - FIND("-",F221))), _xlfn.CONCAT("W126-",RIGHT(H221,LEN(H221) - FIND("-",H221)))))</f>
        <v>W126-SMAC</v>
      </c>
      <c r="G227" s="90">
        <v>5</v>
      </c>
      <c r="H227" s="90" t="str">
        <f>IF(G222="","W130",IF(G222&gt;I222,_xlfn.CONCAT("W130-",RIGHT(F222,LEN(F222) - FIND("-",F222))), _xlfn.CONCAT("W130-",RIGHT(H222,LEN(H222) - FIND("-",H222)))))</f>
        <v>W130-CARMEL</v>
      </c>
      <c r="I227" s="90">
        <v>10</v>
      </c>
      <c r="J227" s="90">
        <v>178</v>
      </c>
      <c r="K227" s="90">
        <v>177</v>
      </c>
      <c r="L227" s="90" t="str">
        <f t="shared" si="35"/>
        <v>16BQ-150</v>
      </c>
      <c r="O227" s="62" t="str">
        <f t="shared" si="36"/>
        <v>ni_13-16 semi</v>
      </c>
    </row>
    <row r="228" spans="1:15" ht="14.1" customHeight="1">
      <c r="A228" s="69">
        <f t="shared" si="33"/>
        <v>46228</v>
      </c>
      <c r="B228" s="70">
        <f>'CHICLETS MASTER S2'!X62</f>
        <v>0.70833333333333304</v>
      </c>
      <c r="C228" s="71" t="s">
        <v>260</v>
      </c>
      <c r="D228" s="119" t="str">
        <f t="shared" si="34"/>
        <v>TUSTIN HS 1</v>
      </c>
      <c r="E228" s="71">
        <v>154</v>
      </c>
      <c r="F228" s="90" t="str">
        <f>IF(G222="","L130",IF(G222&lt;I222,_xlfn.CONCAT("L130-",RIGHT(F222,LEN(F222) - FIND("-",F222))), _xlfn.CONCAT("L130-",RIGHT(H222,LEN(H222) - FIND("-",H222)))))</f>
        <v>L130-NAVY</v>
      </c>
      <c r="G228" s="90">
        <v>6</v>
      </c>
      <c r="H228" s="90" t="str">
        <f>IF(G221="","L126",IF(G221&lt;I221,_xlfn.CONCAT("L126-",RIGHT(F221,LEN(F221) - FIND("-",F221))), _xlfn.CONCAT("L126-",RIGHT(H221,LEN(H221) - FIND("-",H221)))))</f>
        <v>L126-VANGUARD WHITE</v>
      </c>
      <c r="I228" s="90">
        <v>13</v>
      </c>
      <c r="J228" s="90">
        <v>170</v>
      </c>
      <c r="K228" s="90">
        <v>169</v>
      </c>
      <c r="L228" s="90" t="str">
        <f t="shared" si="35"/>
        <v>16BQ-154</v>
      </c>
      <c r="O228" s="62" t="str">
        <f t="shared" si="36"/>
        <v>ni_17-20 semi</v>
      </c>
    </row>
    <row r="229" spans="1:15" ht="14.1" customHeight="1">
      <c r="A229" s="69">
        <f t="shared" si="33"/>
        <v>46228</v>
      </c>
      <c r="B229" s="70">
        <f>'CHICLETS MASTER S2'!X63</f>
        <v>0.75</v>
      </c>
      <c r="C229" s="71" t="s">
        <v>259</v>
      </c>
      <c r="D229" s="119" t="str">
        <f t="shared" si="34"/>
        <v>TUSTIN HS 1</v>
      </c>
      <c r="E229" s="71">
        <v>158</v>
      </c>
      <c r="F229" s="90" t="str">
        <f>IF(G223="","W134",IF(G223&gt;I223,_xlfn.CONCAT("W134-",RIGHT(F223,LEN(F223) - FIND("-",F223))), _xlfn.CONCAT("W134-",RIGHT(H223,LEN(H223) - FIND("-",H223)))))</f>
        <v>W134-DEVILS GATE</v>
      </c>
      <c r="G229" s="90">
        <v>15.1</v>
      </c>
      <c r="H229" s="90" t="str">
        <f>IF(G224="","W138",IF(G224&gt;I224,_xlfn.CONCAT("W138-",RIGHT(F224,LEN(F224) - FIND("-",F224))), _xlfn.CONCAT("W138-",RIGHT(H224,LEN(H224) - FIND("-",H224)))))</f>
        <v>W138-PRINCETON</v>
      </c>
      <c r="I229" s="90">
        <v>15.4</v>
      </c>
      <c r="J229" s="90">
        <v>178</v>
      </c>
      <c r="K229" s="90">
        <v>177</v>
      </c>
      <c r="L229" s="90" t="str">
        <f t="shared" si="35"/>
        <v>16BQ-158</v>
      </c>
      <c r="O229" s="62" t="str">
        <f t="shared" si="36"/>
        <v>ni_13-16 semi</v>
      </c>
    </row>
    <row r="230" spans="1:15" ht="14.1" customHeight="1">
      <c r="A230" s="69">
        <f t="shared" si="33"/>
        <v>46228</v>
      </c>
      <c r="B230" s="70">
        <f>'CHICLETS MASTER S2'!X64</f>
        <v>0.79166666666666696</v>
      </c>
      <c r="C230" s="71" t="s">
        <v>260</v>
      </c>
      <c r="D230" s="119" t="str">
        <f t="shared" si="34"/>
        <v>TUSTIN HS 1</v>
      </c>
      <c r="E230" s="71">
        <v>162</v>
      </c>
      <c r="F230" s="90" t="str">
        <f>IF(G224="","L138",IF(G224&lt;I224,_xlfn.CONCAT("L138-",RIGHT(F224,LEN(F224) - FIND("-",F224))), _xlfn.CONCAT("L138-",RIGHT(H224,LEN(H224) - FIND("-",H224)))))</f>
        <v>L138-AMERICAN RIVER GOLD</v>
      </c>
      <c r="G230" s="90">
        <v>7</v>
      </c>
      <c r="H230" s="90" t="str">
        <f>IF(G223="","L134",IF(G223&lt;I223,_xlfn.CONCAT("L134-",RIGHT(F223,LEN(F223) - FIND("-",F223))), _xlfn.CONCAT("L134-",RIGHT(H223,LEN(H223) - FIND("-",H223)))))</f>
        <v>L134-CLOVIS B</v>
      </c>
      <c r="I230" s="90">
        <v>8</v>
      </c>
      <c r="J230" s="90">
        <v>170</v>
      </c>
      <c r="K230" s="90">
        <v>169</v>
      </c>
      <c r="L230" s="90" t="str">
        <f t="shared" si="35"/>
        <v>16BQ-162</v>
      </c>
      <c r="O230" s="62" t="str">
        <f t="shared" si="36"/>
        <v>ni_17-20 semi</v>
      </c>
    </row>
    <row r="231" spans="1:15" ht="14.1" customHeight="1" thickBot="1">
      <c r="A231" s="78"/>
      <c r="B231" s="79"/>
      <c r="C231" s="60"/>
      <c r="D231" s="60"/>
      <c r="E231" s="60"/>
      <c r="F231" s="60"/>
      <c r="G231" s="64"/>
      <c r="H231" s="60"/>
      <c r="I231" s="60"/>
      <c r="J231" s="60"/>
      <c r="K231" s="60"/>
      <c r="L231" s="60"/>
    </row>
    <row r="232" spans="1:15" ht="14.1" customHeight="1" thickBot="1">
      <c r="B232" s="60"/>
      <c r="C232" s="60"/>
      <c r="D232" s="68" t="str">
        <f>'CHICLETS MASTER S2'!$AL$51</f>
        <v>BECKMAN HS 1</v>
      </c>
      <c r="E232" s="60"/>
      <c r="F232" s="60"/>
      <c r="G232" s="64"/>
      <c r="H232" s="60"/>
      <c r="I232" s="60"/>
      <c r="J232" s="60"/>
      <c r="K232" s="60"/>
      <c r="L232" s="60"/>
    </row>
    <row r="233" spans="1:15" ht="14.1" customHeight="1">
      <c r="A233" s="306" t="s">
        <v>124</v>
      </c>
      <c r="B233" s="306" t="s">
        <v>125</v>
      </c>
      <c r="C233" s="306" t="s">
        <v>126</v>
      </c>
      <c r="D233" s="306" t="s">
        <v>127</v>
      </c>
      <c r="E233" s="306" t="s">
        <v>128</v>
      </c>
      <c r="F233" s="306" t="s">
        <v>129</v>
      </c>
      <c r="G233" s="306" t="s">
        <v>130</v>
      </c>
      <c r="H233" s="306" t="s">
        <v>131</v>
      </c>
      <c r="I233" s="306" t="s">
        <v>130</v>
      </c>
      <c r="J233" s="306" t="s">
        <v>132</v>
      </c>
      <c r="K233" s="306" t="s">
        <v>133</v>
      </c>
      <c r="L233" s="306" t="s">
        <v>134</v>
      </c>
    </row>
    <row r="234" spans="1:15" ht="14.1" customHeight="1">
      <c r="A234" s="69">
        <f t="shared" si="33"/>
        <v>46228</v>
      </c>
      <c r="B234" s="70">
        <f>'CHICLETS MASTER S2'!X53</f>
        <v>0.33333333333333331</v>
      </c>
      <c r="C234" s="71" t="s">
        <v>237</v>
      </c>
      <c r="D234" s="119" t="str">
        <f t="shared" ref="D234:D245" si="37">$D$232</f>
        <v>BECKMAN HS 1</v>
      </c>
      <c r="E234" s="71">
        <v>119</v>
      </c>
      <c r="F234" s="91" t="s">
        <v>1848</v>
      </c>
      <c r="G234" s="92">
        <v>15</v>
      </c>
      <c r="H234" s="91" t="str">
        <f>IF(G197="","W112",IF(G197&gt;I197,_xlfn.CONCAT("W112-",RIGHT(F197,LEN(F197) - FIND("-",F197))), _xlfn.CONCAT("W112-",RIGHT(H197,LEN(H197) - FIND("-",H197)))))</f>
        <v>W112-SOVA</v>
      </c>
      <c r="I234" s="92">
        <v>11</v>
      </c>
      <c r="J234" s="91">
        <v>143</v>
      </c>
      <c r="K234" s="91">
        <v>151</v>
      </c>
      <c r="L234" s="91" t="str">
        <f t="shared" ref="L234:L245" si="38">IF(E234="","",$L$15&amp;"-"&amp;TEXT(E234,"000"))</f>
        <v>16BQ-119</v>
      </c>
      <c r="O234" s="62" t="str">
        <f t="shared" ref="O234:O245" si="39">$L$263&amp;C234</f>
        <v>cu_5-8 v 9-12</v>
      </c>
    </row>
    <row r="235" spans="1:15" ht="14.1" customHeight="1">
      <c r="A235" s="69">
        <f t="shared" si="33"/>
        <v>46228</v>
      </c>
      <c r="B235" s="70">
        <f>'CHICLETS MASTER S2'!X54</f>
        <v>0.375</v>
      </c>
      <c r="C235" s="71" t="s">
        <v>237</v>
      </c>
      <c r="D235" s="119" t="str">
        <f t="shared" si="37"/>
        <v>BECKMAN HS 1</v>
      </c>
      <c r="E235" s="71">
        <v>123</v>
      </c>
      <c r="F235" s="91" t="s">
        <v>1849</v>
      </c>
      <c r="G235" s="92">
        <v>12</v>
      </c>
      <c r="H235" s="91" t="str">
        <f>IF(G179="","W115",IF(G179&gt;I179,_xlfn.CONCAT("W115-",RIGHT(F179,LEN(F179) - FIND("-",F179))), _xlfn.CONCAT("W115-",RIGHT(H179,LEN(H179) - FIND("-",H179)))))</f>
        <v>W115-ELITE</v>
      </c>
      <c r="I235" s="92">
        <v>8</v>
      </c>
      <c r="J235" s="91">
        <v>143</v>
      </c>
      <c r="K235" s="91">
        <v>151</v>
      </c>
      <c r="L235" s="91" t="str">
        <f t="shared" si="38"/>
        <v>16BQ-123</v>
      </c>
      <c r="O235" s="62" t="str">
        <f t="shared" si="39"/>
        <v>cu_5-8 v 9-12</v>
      </c>
    </row>
    <row r="236" spans="1:15" ht="14.1" customHeight="1">
      <c r="A236" s="69">
        <f t="shared" si="33"/>
        <v>46228</v>
      </c>
      <c r="B236" s="70">
        <f>'CHICLETS MASTER S2'!X55</f>
        <v>0.41666666666666702</v>
      </c>
      <c r="C236" s="71" t="s">
        <v>237</v>
      </c>
      <c r="D236" s="119" t="str">
        <f t="shared" si="37"/>
        <v>BECKMAN HS 1</v>
      </c>
      <c r="E236" s="71">
        <v>127</v>
      </c>
      <c r="F236" s="91" t="s">
        <v>1850</v>
      </c>
      <c r="G236" s="92">
        <v>5</v>
      </c>
      <c r="H236" s="91" t="str">
        <f>IF(G198="","W116",IF(G198&gt;I198,_xlfn.CONCAT("W116-",RIGHT(F198,LEN(F198) - FIND("-",F198))), _xlfn.CONCAT("W116-",RIGHT(H198,LEN(H198) - FIND("-",H198)))))</f>
        <v>W116-PALOS VERDES BLUE</v>
      </c>
      <c r="I236" s="92">
        <v>1</v>
      </c>
      <c r="J236" s="91">
        <v>147</v>
      </c>
      <c r="K236" s="91">
        <v>155</v>
      </c>
      <c r="L236" s="91" t="str">
        <f t="shared" si="38"/>
        <v>16BQ-127</v>
      </c>
      <c r="O236" s="62" t="str">
        <f t="shared" si="39"/>
        <v>cu_5-8 v 9-12</v>
      </c>
    </row>
    <row r="237" spans="1:15" ht="14.1" customHeight="1">
      <c r="A237" s="69">
        <f t="shared" si="33"/>
        <v>46228</v>
      </c>
      <c r="B237" s="70">
        <f>'CHICLETS MASTER S2'!X56</f>
        <v>0.45833333333333298</v>
      </c>
      <c r="C237" s="71" t="s">
        <v>237</v>
      </c>
      <c r="D237" s="119" t="str">
        <f t="shared" si="37"/>
        <v>BECKMAN HS 1</v>
      </c>
      <c r="E237" s="71">
        <v>131</v>
      </c>
      <c r="F237" s="91" t="s">
        <v>1851</v>
      </c>
      <c r="G237" s="92">
        <v>6</v>
      </c>
      <c r="H237" s="91" t="str">
        <f>IF(G178="","W111",IF(G178&gt;I178,_xlfn.CONCAT("W111-",RIGHT(F178,LEN(F178) - FIND("-",F178))), _xlfn.CONCAT("W111-",RIGHT(H178,LEN(H178) - FIND("-",H178)))))</f>
        <v>W111-ECA B</v>
      </c>
      <c r="I237" s="92">
        <v>5</v>
      </c>
      <c r="J237" s="91">
        <v>147</v>
      </c>
      <c r="K237" s="91">
        <v>155</v>
      </c>
      <c r="L237" s="91" t="str">
        <f t="shared" si="38"/>
        <v>16BQ-131</v>
      </c>
      <c r="O237" s="62" t="str">
        <f t="shared" si="39"/>
        <v>cu_5-8 v 9-12</v>
      </c>
    </row>
    <row r="238" spans="1:15" ht="14.1" customHeight="1">
      <c r="A238" s="69">
        <f t="shared" si="33"/>
        <v>46228</v>
      </c>
      <c r="B238" s="70">
        <f>'CHICLETS MASTER S2'!X57</f>
        <v>0.5</v>
      </c>
      <c r="C238" s="71" t="s">
        <v>242</v>
      </c>
      <c r="D238" s="119" t="str">
        <f t="shared" si="37"/>
        <v>BECKMAN HS 1</v>
      </c>
      <c r="E238" s="71">
        <v>135</v>
      </c>
      <c r="F238" s="91" t="s">
        <v>1852</v>
      </c>
      <c r="G238" s="92">
        <v>8</v>
      </c>
      <c r="H238" s="91" t="s">
        <v>1853</v>
      </c>
      <c r="I238" s="92">
        <v>16</v>
      </c>
      <c r="J238" s="91">
        <v>172</v>
      </c>
      <c r="K238" s="91">
        <v>159</v>
      </c>
      <c r="L238" s="91" t="str">
        <f t="shared" si="38"/>
        <v>16BQ-135</v>
      </c>
      <c r="O238" s="62" t="str">
        <f t="shared" si="39"/>
        <v>cu_1-2 v 3-4</v>
      </c>
    </row>
    <row r="239" spans="1:15" ht="14.1" customHeight="1">
      <c r="A239" s="69">
        <f t="shared" si="33"/>
        <v>46228</v>
      </c>
      <c r="B239" s="70">
        <f>'CHICLETS MASTER S2'!X58</f>
        <v>0.54166666666666696</v>
      </c>
      <c r="C239" s="71" t="s">
        <v>242</v>
      </c>
      <c r="D239" s="119" t="str">
        <f t="shared" si="37"/>
        <v>BECKMAN HS 1</v>
      </c>
      <c r="E239" s="71">
        <v>139</v>
      </c>
      <c r="F239" s="91" t="s">
        <v>1854</v>
      </c>
      <c r="G239" s="92">
        <v>17</v>
      </c>
      <c r="H239" s="91" t="s">
        <v>1855</v>
      </c>
      <c r="I239" s="92">
        <v>10</v>
      </c>
      <c r="J239" s="91">
        <v>171</v>
      </c>
      <c r="K239" s="91">
        <v>163</v>
      </c>
      <c r="L239" s="91" t="str">
        <f t="shared" si="38"/>
        <v>16BQ-139</v>
      </c>
      <c r="O239" s="62" t="str">
        <f t="shared" si="39"/>
        <v>cu_1-2 v 3-4</v>
      </c>
    </row>
    <row r="240" spans="1:15" ht="14.1" customHeight="1">
      <c r="A240" s="69">
        <f t="shared" si="33"/>
        <v>46228</v>
      </c>
      <c r="B240" s="70">
        <f>'CHICLETS MASTER S2'!X59</f>
        <v>0.58333333333333304</v>
      </c>
      <c r="C240" s="71" t="s">
        <v>247</v>
      </c>
      <c r="D240" s="119" t="str">
        <f t="shared" si="37"/>
        <v>BECKMAN HS 1</v>
      </c>
      <c r="E240" s="71">
        <v>143</v>
      </c>
      <c r="F240" s="91" t="str">
        <f>IF(G234="","W119",IF(G234&gt;I234,_xlfn.CONCAT("W119-",RIGHT(F234,LEN(F234) - FIND("-",F234))), _xlfn.CONCAT("W119-",RIGHT(H234,LEN(H234) - FIND("-",H234)))))</f>
        <v>W119-LOYOLA</v>
      </c>
      <c r="G240" s="92">
        <v>6</v>
      </c>
      <c r="H240" s="91" t="str">
        <f>IF(G235="","W123",IF(G235&gt;I235,_xlfn.CONCAT("W123-",RIGHT(F235,LEN(F235) - FIND("-",F235))), _xlfn.CONCAT("W123-",RIGHT(H235,LEN(H235) - FIND("-",H235)))))</f>
        <v>W123-RAIN CITY</v>
      </c>
      <c r="I240" s="92">
        <v>8</v>
      </c>
      <c r="J240" s="91">
        <v>159</v>
      </c>
      <c r="K240" s="91">
        <v>188</v>
      </c>
      <c r="L240" s="91" t="str">
        <f t="shared" si="38"/>
        <v>16BQ-143</v>
      </c>
      <c r="O240" s="62" t="str">
        <f t="shared" si="39"/>
        <v>cu_5-6 v 7-8</v>
      </c>
    </row>
    <row r="241" spans="1:15" ht="14.1" customHeight="1">
      <c r="A241" s="69">
        <f t="shared" si="33"/>
        <v>46228</v>
      </c>
      <c r="B241" s="70">
        <f>'CHICLETS MASTER S2'!X60</f>
        <v>0.625</v>
      </c>
      <c r="C241" s="71" t="s">
        <v>247</v>
      </c>
      <c r="D241" s="119" t="str">
        <f t="shared" si="37"/>
        <v>BECKMAN HS 1</v>
      </c>
      <c r="E241" s="71">
        <v>147</v>
      </c>
      <c r="F241" s="91" t="str">
        <f>IF(G236="","W127",IF(G236&gt;I236,_xlfn.CONCAT("W127-",RIGHT(F236,LEN(F236) - FIND("-",F236))), _xlfn.CONCAT("W127-",RIGHT(H236,LEN(H236) - FIND("-",H236)))))</f>
        <v>W127-HIELAND</v>
      </c>
      <c r="G241" s="92">
        <v>7</v>
      </c>
      <c r="H241" s="91" t="str">
        <f>IF(G237="","W131",IF(G237&gt;I237,_xlfn.CONCAT("W131-",RIGHT(F237,LEN(F237) - FIND("-",F237))), _xlfn.CONCAT("W131-",RIGHT(H237,LEN(H237) - FIND("-",H237)))))</f>
        <v>W131-SD SHORES WHITE</v>
      </c>
      <c r="I241" s="92">
        <v>8</v>
      </c>
      <c r="J241" s="91">
        <v>163</v>
      </c>
      <c r="K241" s="91">
        <v>188</v>
      </c>
      <c r="L241" s="91" t="str">
        <f t="shared" si="38"/>
        <v>16BQ-147</v>
      </c>
      <c r="O241" s="62" t="str">
        <f t="shared" si="39"/>
        <v>cu_5-6 v 7-8</v>
      </c>
    </row>
    <row r="242" spans="1:15" ht="14.1" customHeight="1">
      <c r="A242" s="69">
        <f t="shared" si="33"/>
        <v>46228</v>
      </c>
      <c r="B242" s="70">
        <f>'CHICLETS MASTER S2'!X61</f>
        <v>0.66666666666666696</v>
      </c>
      <c r="C242" s="71" t="s">
        <v>248</v>
      </c>
      <c r="D242" s="119" t="str">
        <f t="shared" si="37"/>
        <v>BECKMAN HS 1</v>
      </c>
      <c r="E242" s="71">
        <v>151</v>
      </c>
      <c r="F242" s="91" t="str">
        <f>IF(G235="","L123",IF(G235&lt;I235,_xlfn.CONCAT("L123-",RIGHT(F235,LEN(F235) - FIND("-",F235))), _xlfn.CONCAT("L123-",RIGHT(H235,LEN(H235) - FIND("-",H235)))))</f>
        <v>L123-ELITE</v>
      </c>
      <c r="G242" s="92">
        <v>8</v>
      </c>
      <c r="H242" s="91" t="str">
        <f>IF(G234="","L119",IF(G234&lt;I234,_xlfn.CONCAT("L119-",RIGHT(F234,LEN(F234) - FIND("-",F234))), _xlfn.CONCAT("L119-",RIGHT(H234,LEN(H234) - FIND("-",H234)))))</f>
        <v>L119-SOVA</v>
      </c>
      <c r="I242" s="92">
        <v>11</v>
      </c>
      <c r="J242" s="91">
        <v>183</v>
      </c>
      <c r="K242" s="91">
        <v>184</v>
      </c>
      <c r="L242" s="91" t="str">
        <f t="shared" si="38"/>
        <v>16BQ-151</v>
      </c>
      <c r="O242" s="62" t="str">
        <f t="shared" si="39"/>
        <v>cu_9-12 semi</v>
      </c>
    </row>
    <row r="243" spans="1:15" ht="14.1" customHeight="1">
      <c r="A243" s="69">
        <f t="shared" si="33"/>
        <v>46228</v>
      </c>
      <c r="B243" s="70">
        <f>'CHICLETS MASTER S2'!X62</f>
        <v>0.70833333333333304</v>
      </c>
      <c r="C243" s="71" t="s">
        <v>248</v>
      </c>
      <c r="D243" s="119" t="str">
        <f t="shared" si="37"/>
        <v>BECKMAN HS 1</v>
      </c>
      <c r="E243" s="71">
        <v>155</v>
      </c>
      <c r="F243" s="91" t="str">
        <f>IF(G237="","L131",IF(G237&lt;I237,_xlfn.CONCAT("L131-",RIGHT(F237,LEN(F237) - FIND("-",F237))), _xlfn.CONCAT("L131-",RIGHT(H237,LEN(H237) - FIND("-",H237)))))</f>
        <v>L131-ECA B</v>
      </c>
      <c r="G243" s="92">
        <v>5</v>
      </c>
      <c r="H243" s="91" t="str">
        <f>IF(G236="","L127",IF(G236&lt;I236,_xlfn.CONCAT("L127-",RIGHT(F236,LEN(F236) - FIND("-",F236))), _xlfn.CONCAT("L127-",RIGHT(H236,LEN(H236) - FIND("-",H236)))))</f>
        <v>L127-PALOS VERDES BLUE</v>
      </c>
      <c r="I243" s="92">
        <v>6</v>
      </c>
      <c r="J243" s="91">
        <v>183</v>
      </c>
      <c r="K243" s="91">
        <v>184</v>
      </c>
      <c r="L243" s="91" t="str">
        <f t="shared" si="38"/>
        <v>16BQ-155</v>
      </c>
      <c r="O243" s="62" t="str">
        <f t="shared" si="39"/>
        <v>cu_9-12 semi</v>
      </c>
    </row>
    <row r="244" spans="1:15" ht="14.1" customHeight="1">
      <c r="A244" s="69">
        <f t="shared" si="33"/>
        <v>46228</v>
      </c>
      <c r="B244" s="70">
        <f>'CHICLETS MASTER S2'!X63</f>
        <v>0.75</v>
      </c>
      <c r="C244" s="71" t="s">
        <v>439</v>
      </c>
      <c r="D244" s="119" t="str">
        <f t="shared" si="37"/>
        <v>BECKMAN HS 1</v>
      </c>
      <c r="E244" s="71">
        <v>159</v>
      </c>
      <c r="F244" s="91" t="str">
        <f>IF(G238="","L135",IF(G238&lt;I238,_xlfn.CONCAT("L135-",RIGHT(F238,LEN(F238) - FIND("-",F238))), _xlfn.CONCAT("L135-",RIGHT(H238,LEN(H238) - FIND("-",H238)))))</f>
        <v>L135-PRAETORIAN WHITE</v>
      </c>
      <c r="G244" s="92">
        <v>5</v>
      </c>
      <c r="H244" s="91" t="str">
        <f>IF(G240="","W143",IF(G240&gt;I240,_xlfn.CONCAT("W143-",RIGHT(F240,LEN(F240) - FIND("-",F240))), _xlfn.CONCAT("W143-",RIGHT(H240,LEN(H240) - FIND("-",H240)))))</f>
        <v>W143-RAIN CITY</v>
      </c>
      <c r="I244" s="92">
        <v>16</v>
      </c>
      <c r="J244" s="91">
        <v>171</v>
      </c>
      <c r="K244" s="91">
        <v>187</v>
      </c>
      <c r="L244" s="91" t="str">
        <f t="shared" si="38"/>
        <v>16BQ-159</v>
      </c>
      <c r="O244" s="62" t="str">
        <f t="shared" si="39"/>
        <v>cu_play to semi</v>
      </c>
    </row>
    <row r="245" spans="1:15" ht="14.1" customHeight="1">
      <c r="A245" s="69">
        <f t="shared" si="33"/>
        <v>46228</v>
      </c>
      <c r="B245" s="70">
        <f>'CHICLETS MASTER S2'!X64</f>
        <v>0.79166666666666696</v>
      </c>
      <c r="C245" s="71" t="s">
        <v>439</v>
      </c>
      <c r="D245" s="119" t="str">
        <f t="shared" si="37"/>
        <v>BECKMAN HS 1</v>
      </c>
      <c r="E245" s="71">
        <v>163</v>
      </c>
      <c r="F245" s="91" t="str">
        <f>IF(G239="","L139",IF(G239&lt;I239,_xlfn.CONCAT("L139-",RIGHT(F239,LEN(F239) - FIND("-",F239))), _xlfn.CONCAT("L139-",RIGHT(H239,LEN(H239) - FIND("-",H239)))))</f>
        <v>L139-LOKAHI</v>
      </c>
      <c r="G245" s="92">
        <v>11</v>
      </c>
      <c r="H245" s="91" t="str">
        <f>IF(G241="","W147",IF(G241&gt;I241,_xlfn.CONCAT("W147-",RIGHT(F241,LEN(F241) - FIND("-",F241))), _xlfn.CONCAT("W147-",RIGHT(H241,LEN(H241) - FIND("-",H241)))))</f>
        <v>W147-SD SHORES WHITE</v>
      </c>
      <c r="I245" s="92">
        <v>6</v>
      </c>
      <c r="J245" s="91">
        <v>172</v>
      </c>
      <c r="K245" s="91">
        <v>187</v>
      </c>
      <c r="L245" s="91" t="str">
        <f t="shared" si="38"/>
        <v>16BQ-163</v>
      </c>
      <c r="O245" s="62" t="str">
        <f t="shared" si="39"/>
        <v>cu_play to semi</v>
      </c>
    </row>
    <row r="246" spans="1:15" ht="14.1" customHeight="1" thickBot="1">
      <c r="G246" s="62"/>
    </row>
    <row r="247" spans="1:15" ht="14.1" customHeight="1" thickBot="1">
      <c r="A247" s="78"/>
      <c r="B247" s="79"/>
      <c r="C247" s="95"/>
      <c r="D247" s="68" t="str">
        <f>'CHICLETS MASTER S2'!$AK$51</f>
        <v>CAPISTRANO VALLEY HS 1</v>
      </c>
      <c r="E247" s="60"/>
      <c r="F247" s="60"/>
      <c r="G247" s="64"/>
      <c r="H247" s="60"/>
      <c r="I247" s="60"/>
      <c r="J247" s="60"/>
      <c r="K247" s="60"/>
      <c r="L247" s="60"/>
    </row>
    <row r="248" spans="1:15" ht="14.1" customHeight="1">
      <c r="A248" s="306" t="s">
        <v>124</v>
      </c>
      <c r="B248" s="306" t="s">
        <v>125</v>
      </c>
      <c r="C248" s="306" t="s">
        <v>126</v>
      </c>
      <c r="D248" s="306" t="s">
        <v>127</v>
      </c>
      <c r="E248" s="306" t="s">
        <v>128</v>
      </c>
      <c r="F248" s="306" t="s">
        <v>129</v>
      </c>
      <c r="G248" s="306" t="s">
        <v>130</v>
      </c>
      <c r="H248" s="306" t="s">
        <v>131</v>
      </c>
      <c r="I248" s="306" t="s">
        <v>130</v>
      </c>
      <c r="J248" s="306" t="s">
        <v>132</v>
      </c>
      <c r="K248" s="306" t="s">
        <v>133</v>
      </c>
      <c r="L248" s="306" t="s">
        <v>134</v>
      </c>
    </row>
    <row r="249" spans="1:15" ht="14.1" customHeight="1">
      <c r="A249" s="69">
        <f t="shared" si="33"/>
        <v>46228</v>
      </c>
      <c r="B249" s="70">
        <f>'CHICLETS MASTER S2'!X53</f>
        <v>0.33333333333333331</v>
      </c>
      <c r="C249" s="71" t="s">
        <v>249</v>
      </c>
      <c r="D249" s="119" t="str">
        <f t="shared" ref="D249:D257" si="40">$D$247</f>
        <v>CAPISTRANO VALLEY HS 1</v>
      </c>
      <c r="E249" s="71">
        <v>120</v>
      </c>
      <c r="F249" s="91" t="s">
        <v>1856</v>
      </c>
      <c r="G249" s="92">
        <v>2</v>
      </c>
      <c r="H249" s="91" t="s">
        <v>1857</v>
      </c>
      <c r="I249" s="92">
        <v>11</v>
      </c>
      <c r="J249" s="91"/>
      <c r="K249" s="91"/>
      <c r="L249" s="91" t="str">
        <f>IF(E249="","",$L$15&amp;"-"&amp;TEXT(E249,"000"))</f>
        <v>16BQ-120</v>
      </c>
      <c r="O249" s="62" t="str">
        <f t="shared" ref="O249:O260" si="41">$L$263&amp;C249</f>
        <v>cu_21-24 RR</v>
      </c>
    </row>
    <row r="250" spans="1:15" ht="14.1" customHeight="1">
      <c r="A250" s="69">
        <f t="shared" si="33"/>
        <v>46228</v>
      </c>
      <c r="B250" s="70">
        <f>'CHICLETS MASTER S2'!X54</f>
        <v>0.375</v>
      </c>
      <c r="C250" s="71" t="s">
        <v>249</v>
      </c>
      <c r="D250" s="119" t="str">
        <f t="shared" si="40"/>
        <v>CAPISTRANO VALLEY HS 1</v>
      </c>
      <c r="E250" s="71">
        <v>124</v>
      </c>
      <c r="F250" s="91" t="s">
        <v>1858</v>
      </c>
      <c r="G250" s="92">
        <v>8</v>
      </c>
      <c r="H250" s="91" t="s">
        <v>1859</v>
      </c>
      <c r="I250" s="92">
        <v>13</v>
      </c>
      <c r="J250" s="91"/>
      <c r="K250" s="91"/>
      <c r="L250" s="91" t="str">
        <f>IF(E250="","",$L$15&amp;"-"&amp;TEXT(E250,"000"))</f>
        <v>16BQ-124</v>
      </c>
      <c r="O250" s="62" t="str">
        <f t="shared" si="41"/>
        <v>cu_21-24 RR</v>
      </c>
    </row>
    <row r="251" spans="1:15" ht="14.1" customHeight="1">
      <c r="A251" s="69">
        <f t="shared" si="33"/>
        <v>46228</v>
      </c>
      <c r="B251" s="70">
        <f>'CHICLETS MASTER S2'!X55</f>
        <v>0.41666666666666702</v>
      </c>
      <c r="C251" s="71" t="s">
        <v>254</v>
      </c>
      <c r="D251" s="119" t="str">
        <f t="shared" si="40"/>
        <v>CAPISTRANO VALLEY HS 1</v>
      </c>
      <c r="E251" s="71">
        <v>128</v>
      </c>
      <c r="F251" s="91" t="str">
        <f>IF(G179="","L115",IF(G179&lt;I179,_xlfn.CONCAT("L115-",RIGHT(F179,LEN(F179) - FIND("-",F179))), _xlfn.CONCAT("L115-",RIGHT(H179,LEN(H179) - FIND("-",H179)))))</f>
        <v>L115-NORCAL TEAL</v>
      </c>
      <c r="G251" s="121">
        <v>8.3000000000000007</v>
      </c>
      <c r="H251" s="91" t="s">
        <v>1860</v>
      </c>
      <c r="I251" s="121">
        <v>8.5</v>
      </c>
      <c r="J251" s="91">
        <v>152</v>
      </c>
      <c r="K251" s="91">
        <v>156</v>
      </c>
      <c r="L251" s="91" t="str">
        <f t="shared" ref="L251:L260" si="42">IF(E251="","",$L$15&amp;"-"&amp;TEXT(E251,"000"))</f>
        <v>16BQ-128</v>
      </c>
      <c r="O251" s="62" t="str">
        <f t="shared" si="41"/>
        <v>cu_13-20 qtr</v>
      </c>
    </row>
    <row r="252" spans="1:15" ht="14.1" customHeight="1">
      <c r="A252" s="69">
        <f t="shared" si="33"/>
        <v>46228</v>
      </c>
      <c r="B252" s="70">
        <f>'CHICLETS MASTER S2'!X56</f>
        <v>0.45833333333333298</v>
      </c>
      <c r="C252" s="71" t="s">
        <v>254</v>
      </c>
      <c r="D252" s="119" t="str">
        <f t="shared" si="40"/>
        <v>CAPISTRANO VALLEY HS 1</v>
      </c>
      <c r="E252" s="71">
        <v>132</v>
      </c>
      <c r="F252" s="91" t="str">
        <f>IF(G198="","L116",IF(G198&lt;I198,_xlfn.CONCAT("L116-",RIGHT(F198,LEN(F198) - FIND("-",F198))), _xlfn.CONCAT("L116-",RIGHT(H198,LEN(H198) - FIND("-",H198)))))</f>
        <v>L116-SAN JOSE FOUNDATION B</v>
      </c>
      <c r="G252" s="121">
        <v>4</v>
      </c>
      <c r="H252" s="91" t="s">
        <v>1861</v>
      </c>
      <c r="I252" s="121">
        <v>4.3</v>
      </c>
      <c r="J252" s="91">
        <v>152</v>
      </c>
      <c r="K252" s="91">
        <v>156</v>
      </c>
      <c r="L252" s="91" t="str">
        <f t="shared" si="42"/>
        <v>16BQ-132</v>
      </c>
      <c r="O252" s="62" t="str">
        <f t="shared" si="41"/>
        <v>cu_13-20 qtr</v>
      </c>
    </row>
    <row r="253" spans="1:15" ht="14.1" customHeight="1">
      <c r="A253" s="69">
        <f t="shared" si="33"/>
        <v>46228</v>
      </c>
      <c r="B253" s="70">
        <f>'CHICLETS MASTER S2'!X57</f>
        <v>0.5</v>
      </c>
      <c r="C253" s="71" t="s">
        <v>254</v>
      </c>
      <c r="D253" s="119" t="str">
        <f t="shared" si="40"/>
        <v>CAPISTRANO VALLEY HS 1</v>
      </c>
      <c r="E253" s="71">
        <v>136</v>
      </c>
      <c r="F253" s="91" t="str">
        <f>IF(G178="","L111",IF(G178&lt;I178,_xlfn.CONCAT("L111-",RIGHT(F178,LEN(F178) - FIND("-",F178))), _xlfn.CONCAT("L111-",RIGHT(H178,LEN(H178) - FIND("-",H178)))))</f>
        <v>L111-CCU WHITE</v>
      </c>
      <c r="G253" s="92">
        <v>15</v>
      </c>
      <c r="H253" s="91" t="s">
        <v>1862</v>
      </c>
      <c r="I253" s="92">
        <v>7</v>
      </c>
      <c r="J253" s="91">
        <v>160</v>
      </c>
      <c r="K253" s="91">
        <v>164</v>
      </c>
      <c r="L253" s="91" t="str">
        <f t="shared" si="42"/>
        <v>16BQ-136</v>
      </c>
      <c r="O253" s="62" t="str">
        <f t="shared" si="41"/>
        <v>cu_13-20 qtr</v>
      </c>
    </row>
    <row r="254" spans="1:15" ht="14.1" customHeight="1">
      <c r="A254" s="69">
        <f t="shared" si="33"/>
        <v>46228</v>
      </c>
      <c r="B254" s="70">
        <f>'CHICLETS MASTER S2'!X58</f>
        <v>0.54166666666666696</v>
      </c>
      <c r="C254" s="71" t="s">
        <v>254</v>
      </c>
      <c r="D254" s="119" t="str">
        <f t="shared" si="40"/>
        <v>CAPISTRANO VALLEY HS 1</v>
      </c>
      <c r="E254" s="71">
        <v>140</v>
      </c>
      <c r="F254" s="91" t="str">
        <f>IF(G197="","L112",IF(G197&lt;I197,_xlfn.CONCAT("L112-",RIGHT(F197,LEN(F197) - FIND("-",F197))), _xlfn.CONCAT("L112-",RIGHT(H197,LEN(H197) - FIND("-",H197)))))</f>
        <v>L112-BREA OLINDA</v>
      </c>
      <c r="G254" s="92">
        <v>9</v>
      </c>
      <c r="H254" s="91" t="s">
        <v>1863</v>
      </c>
      <c r="I254" s="92">
        <v>8</v>
      </c>
      <c r="J254" s="91">
        <v>160</v>
      </c>
      <c r="K254" s="91">
        <v>164</v>
      </c>
      <c r="L254" s="91" t="str">
        <f t="shared" si="42"/>
        <v>16BQ-140</v>
      </c>
      <c r="O254" s="62" t="str">
        <f t="shared" si="41"/>
        <v>cu_13-20 qtr</v>
      </c>
    </row>
    <row r="255" spans="1:15" ht="14.1" customHeight="1">
      <c r="A255" s="69">
        <f t="shared" si="33"/>
        <v>46228</v>
      </c>
      <c r="B255" s="70">
        <f>'CHICLETS MASTER S2'!X59</f>
        <v>0.58333333333333304</v>
      </c>
      <c r="C255" s="71" t="s">
        <v>249</v>
      </c>
      <c r="D255" s="119" t="str">
        <f t="shared" si="40"/>
        <v>CAPISTRANO VALLEY HS 1</v>
      </c>
      <c r="E255" s="71">
        <v>144</v>
      </c>
      <c r="F255" s="91" t="s">
        <v>1856</v>
      </c>
      <c r="G255" s="92">
        <v>4</v>
      </c>
      <c r="H255" s="91" t="s">
        <v>1859</v>
      </c>
      <c r="I255" s="92">
        <v>16</v>
      </c>
      <c r="J255" s="91"/>
      <c r="K255" s="91"/>
      <c r="L255" s="91" t="str">
        <f t="shared" si="42"/>
        <v>16BQ-144</v>
      </c>
      <c r="O255" s="62" t="str">
        <f t="shared" si="41"/>
        <v>cu_21-24 RR</v>
      </c>
    </row>
    <row r="256" spans="1:15" ht="14.1" customHeight="1">
      <c r="A256" s="69">
        <f t="shared" si="33"/>
        <v>46228</v>
      </c>
      <c r="B256" s="70">
        <f>'CHICLETS MASTER S2'!X60</f>
        <v>0.625</v>
      </c>
      <c r="C256" s="71" t="s">
        <v>249</v>
      </c>
      <c r="D256" s="119" t="str">
        <f t="shared" si="40"/>
        <v>CAPISTRANO VALLEY HS 1</v>
      </c>
      <c r="E256" s="71">
        <v>148</v>
      </c>
      <c r="F256" s="91" t="s">
        <v>1858</v>
      </c>
      <c r="G256" s="92">
        <v>5</v>
      </c>
      <c r="H256" s="91" t="s">
        <v>1857</v>
      </c>
      <c r="I256" s="92">
        <v>7</v>
      </c>
      <c r="J256" s="91"/>
      <c r="K256" s="91"/>
      <c r="L256" s="91" t="str">
        <f t="shared" si="42"/>
        <v>16BQ-148</v>
      </c>
      <c r="O256" s="62" t="str">
        <f t="shared" si="41"/>
        <v>cu_21-24 RR</v>
      </c>
    </row>
    <row r="257" spans="1:15" ht="14.1" customHeight="1">
      <c r="A257" s="69">
        <f t="shared" si="33"/>
        <v>46228</v>
      </c>
      <c r="B257" s="70">
        <f>'CHICLETS MASTER S2'!X61</f>
        <v>0.66666666666666696</v>
      </c>
      <c r="C257" s="71" t="s">
        <v>259</v>
      </c>
      <c r="D257" s="119" t="str">
        <f t="shared" si="40"/>
        <v>CAPISTRANO VALLEY HS 1</v>
      </c>
      <c r="E257" s="71">
        <v>152</v>
      </c>
      <c r="F257" s="91" t="str">
        <f>IF(G251="","W128",IF(G251&gt;I251,_xlfn.CONCAT("W128-",RIGHT(F251,LEN(F251) - FIND("-",F251))), _xlfn.CONCAT("W128-",RIGHT(H251,LEN(H251) - FIND("-",H251)))))</f>
        <v>W128-SAND CANYON RED</v>
      </c>
      <c r="G257" s="92">
        <v>3</v>
      </c>
      <c r="H257" s="91" t="str">
        <f>IF(G252="","W132",IF(G252&gt;I252,_xlfn.CONCAT("W132-",RIGHT(F252,LEN(F252) - FIND("-",F252))), _xlfn.CONCAT("W132-",RIGHT(H252,LEN(H252) - FIND("-",H252)))))</f>
        <v>W132-NEWBERG</v>
      </c>
      <c r="I257" s="92">
        <v>2</v>
      </c>
      <c r="J257" s="91">
        <v>179</v>
      </c>
      <c r="K257" s="91">
        <v>180</v>
      </c>
      <c r="L257" s="91" t="str">
        <f t="shared" si="42"/>
        <v>16BQ-152</v>
      </c>
      <c r="O257" s="62" t="str">
        <f t="shared" si="41"/>
        <v>cu_13-16 semi</v>
      </c>
    </row>
    <row r="258" spans="1:15" ht="14.1" customHeight="1">
      <c r="A258" s="69">
        <f t="shared" si="33"/>
        <v>46228</v>
      </c>
      <c r="B258" s="70">
        <f>'CHICLETS MASTER S2'!X62</f>
        <v>0.70833333333333304</v>
      </c>
      <c r="C258" s="71" t="s">
        <v>260</v>
      </c>
      <c r="D258" s="119" t="str">
        <f>$D$247</f>
        <v>CAPISTRANO VALLEY HS 1</v>
      </c>
      <c r="E258" s="71">
        <v>156</v>
      </c>
      <c r="F258" s="91" t="str">
        <f>IF(G252="","L132",IF(G252&lt;I252,_xlfn.CONCAT("L132-",RIGHT(F252,LEN(F252) - FIND("-",F252))), _xlfn.CONCAT("L132-",RIGHT(H252,LEN(H252) - FIND("-",H252)))))</f>
        <v>L132-SAN JOSE FOUNDATION B</v>
      </c>
      <c r="G258" s="121">
        <v>6.5</v>
      </c>
      <c r="H258" s="91" t="str">
        <f>IF(G251="","L128",IF(G251&lt;I251,_xlfn.CONCAT("L128-",RIGHT(F251,LEN(F251) - FIND("-",F251))), _xlfn.CONCAT("L128-",RIGHT(H251,LEN(H251) - FIND("-",H251)))))</f>
        <v>L128-NORCAL TEAL</v>
      </c>
      <c r="I258" s="121">
        <v>6.4</v>
      </c>
      <c r="J258" s="91">
        <v>175</v>
      </c>
      <c r="K258" s="91">
        <v>176</v>
      </c>
      <c r="L258" s="91" t="str">
        <f t="shared" si="42"/>
        <v>16BQ-156</v>
      </c>
      <c r="O258" s="62" t="str">
        <f t="shared" si="41"/>
        <v>cu_17-20 semi</v>
      </c>
    </row>
    <row r="259" spans="1:15" ht="14.1" customHeight="1">
      <c r="A259" s="69">
        <f t="shared" si="33"/>
        <v>46228</v>
      </c>
      <c r="B259" s="70">
        <f>'CHICLETS MASTER S2'!X63</f>
        <v>0.75</v>
      </c>
      <c r="C259" s="71" t="s">
        <v>259</v>
      </c>
      <c r="D259" s="119" t="str">
        <f>$D$247</f>
        <v>CAPISTRANO VALLEY HS 1</v>
      </c>
      <c r="E259" s="71">
        <v>160</v>
      </c>
      <c r="F259" s="91" t="str">
        <f>IF(G253="","W136",IF(G253&gt;I253,_xlfn.CONCAT("W136-",RIGHT(F253,LEN(F253) - FIND("-",F253))), _xlfn.CONCAT("W136-",RIGHT(H253,LEN(H253) - FIND("-",H253)))))</f>
        <v>W136-CCU WHITE</v>
      </c>
      <c r="G259" s="92">
        <v>7</v>
      </c>
      <c r="H259" s="91" t="str">
        <f>IF(G254="","W140",IF(G254&gt;I254,_xlfn.CONCAT("W140-",RIGHT(F254,LEN(F254) - FIND("-",F254))), _xlfn.CONCAT("W140-",RIGHT(H254,LEN(H254) - FIND("-",H254)))))</f>
        <v>W140-BREA OLINDA</v>
      </c>
      <c r="I259" s="92">
        <v>6</v>
      </c>
      <c r="J259" s="91">
        <v>179</v>
      </c>
      <c r="K259" s="91">
        <v>180</v>
      </c>
      <c r="L259" s="91" t="str">
        <f t="shared" si="42"/>
        <v>16BQ-160</v>
      </c>
      <c r="O259" s="62" t="str">
        <f t="shared" si="41"/>
        <v>cu_13-16 semi</v>
      </c>
    </row>
    <row r="260" spans="1:15" ht="14.1" customHeight="1">
      <c r="A260" s="69">
        <f t="shared" si="33"/>
        <v>46228</v>
      </c>
      <c r="B260" s="70">
        <f>'CHICLETS MASTER S2'!X64</f>
        <v>0.79166666666666696</v>
      </c>
      <c r="C260" s="71" t="s">
        <v>260</v>
      </c>
      <c r="D260" s="119" t="str">
        <f>$D$247</f>
        <v>CAPISTRANO VALLEY HS 1</v>
      </c>
      <c r="E260" s="71">
        <v>164</v>
      </c>
      <c r="F260" s="91" t="str">
        <f>IF(G254="","L140",IF(G254&lt;I254,_xlfn.CONCAT("L140-",RIGHT(F254,LEN(F254) - FIND("-",F254))), _xlfn.CONCAT("L140-",RIGHT(H254,LEN(H254) - FIND("-",H254)))))</f>
        <v>L140-BROOKLYN HUSTLE</v>
      </c>
      <c r="G260" s="92">
        <v>9</v>
      </c>
      <c r="H260" s="91" t="str">
        <f>IF(G253="","L136",IF(G253&lt;I253,_xlfn.CONCAT("L136-",RIGHT(F253,LEN(F253) - FIND("-",F253))), _xlfn.CONCAT("L136-",RIGHT(H253,LEN(H253) - FIND("-",H253)))))</f>
        <v>L136-TRILOGY B</v>
      </c>
      <c r="I260" s="92">
        <v>10</v>
      </c>
      <c r="J260" s="91">
        <v>175</v>
      </c>
      <c r="K260" s="91">
        <v>176</v>
      </c>
      <c r="L260" s="91" t="str">
        <f t="shared" si="42"/>
        <v>16BQ-164</v>
      </c>
      <c r="O260" s="62" t="str">
        <f t="shared" si="41"/>
        <v>cu_17-20 semi</v>
      </c>
    </row>
    <row r="261" spans="1:15" ht="14.1" customHeight="1" thickBot="1">
      <c r="G261" s="62"/>
    </row>
    <row r="262" spans="1:15" ht="14.1" customHeight="1" thickTop="1" thickBot="1">
      <c r="A262" s="68" t="s">
        <v>267</v>
      </c>
      <c r="B262" s="82"/>
      <c r="C262" s="82"/>
      <c r="D262" s="82"/>
      <c r="E262" s="82"/>
      <c r="F262" s="82"/>
      <c r="G262" s="83"/>
      <c r="H262" s="82"/>
      <c r="I262" s="82"/>
      <c r="J262" s="82"/>
      <c r="K262" s="82"/>
      <c r="L262" s="82"/>
    </row>
    <row r="263" spans="1:15" ht="14.1" customHeight="1" thickBot="1">
      <c r="A263" s="61">
        <v>46229</v>
      </c>
      <c r="G263" s="62"/>
      <c r="K263" s="62" t="s">
        <v>1671</v>
      </c>
      <c r="L263" s="62" t="s">
        <v>1672</v>
      </c>
    </row>
    <row r="264" spans="1:15" ht="14.1" customHeight="1" thickBot="1">
      <c r="A264" s="60"/>
      <c r="B264" s="60"/>
      <c r="C264" s="60"/>
      <c r="D264" s="65" t="str">
        <f>'CHICLETS MASTER S2'!$AM$72</f>
        <v>TUSTIN HS 1</v>
      </c>
      <c r="E264" s="60"/>
      <c r="F264" s="60"/>
      <c r="G264" s="64"/>
      <c r="H264" s="60"/>
      <c r="I264" s="64"/>
      <c r="J264" s="60"/>
      <c r="K264" s="60"/>
      <c r="L264" s="60"/>
    </row>
    <row r="265" spans="1:15" ht="14.1" customHeight="1">
      <c r="A265" s="306" t="s">
        <v>124</v>
      </c>
      <c r="B265" s="306" t="s">
        <v>125</v>
      </c>
      <c r="C265" s="306" t="s">
        <v>126</v>
      </c>
      <c r="D265" s="306" t="s">
        <v>127</v>
      </c>
      <c r="E265" s="306" t="s">
        <v>128</v>
      </c>
      <c r="F265" s="306" t="s">
        <v>129</v>
      </c>
      <c r="G265" s="306" t="s">
        <v>130</v>
      </c>
      <c r="H265" s="306" t="s">
        <v>131</v>
      </c>
      <c r="I265" s="306" t="s">
        <v>130</v>
      </c>
      <c r="J265" s="306" t="s">
        <v>132</v>
      </c>
      <c r="K265" s="306" t="s">
        <v>133</v>
      </c>
      <c r="L265" s="306" t="s">
        <v>134</v>
      </c>
    </row>
    <row r="266" spans="1:15" ht="14.1" customHeight="1">
      <c r="A266" s="69">
        <f t="shared" ref="A266:A291" si="43">$A$263</f>
        <v>46229</v>
      </c>
      <c r="B266" s="70">
        <f>'CHICLETS MASTER S2'!X73</f>
        <v>0.29166666666666669</v>
      </c>
      <c r="C266" s="71" t="s">
        <v>249</v>
      </c>
      <c r="D266" s="119" t="str">
        <f t="shared" ref="D266:D271" si="44">$D$264</f>
        <v>TUSTIN HS 1</v>
      </c>
      <c r="E266" s="71">
        <v>165</v>
      </c>
      <c r="F266" s="90" t="s">
        <v>1842</v>
      </c>
      <c r="G266" s="93">
        <v>11</v>
      </c>
      <c r="H266" s="90" t="s">
        <v>1840</v>
      </c>
      <c r="I266" s="93">
        <v>8</v>
      </c>
      <c r="J266" s="90"/>
      <c r="K266" s="90"/>
      <c r="L266" s="90" t="str">
        <f t="shared" ref="L266:L267" si="45">$L$15&amp;"-"&amp;TEXT(E266,"000")</f>
        <v>16BQ-165</v>
      </c>
      <c r="N266" s="62" t="str">
        <f t="shared" ref="N266:N267" si="46">$K$263&amp;C266</f>
        <v>ni_21-24 RR</v>
      </c>
      <c r="O266" s="62" t="str">
        <f t="shared" ref="O266:O267" si="47">$K$263&amp;C266</f>
        <v>ni_21-24 RR</v>
      </c>
    </row>
    <row r="267" spans="1:15" ht="14.1" customHeight="1">
      <c r="A267" s="69">
        <f t="shared" si="43"/>
        <v>46229</v>
      </c>
      <c r="B267" s="70">
        <f>'CHICLETS MASTER S2'!X74</f>
        <v>0.33333333333333298</v>
      </c>
      <c r="C267" s="71" t="s">
        <v>249</v>
      </c>
      <c r="D267" s="119" t="str">
        <f t="shared" si="44"/>
        <v>TUSTIN HS 1</v>
      </c>
      <c r="E267" s="71">
        <v>166</v>
      </c>
      <c r="F267" s="90" t="s">
        <v>1841</v>
      </c>
      <c r="G267" s="97">
        <v>9.3000000000000007</v>
      </c>
      <c r="H267" s="90" t="s">
        <v>1843</v>
      </c>
      <c r="I267" s="97">
        <v>9</v>
      </c>
      <c r="J267" s="90"/>
      <c r="K267" s="90"/>
      <c r="L267" s="90" t="str">
        <f t="shared" si="45"/>
        <v>16BQ-166</v>
      </c>
      <c r="N267" s="62" t="str">
        <f t="shared" si="46"/>
        <v>ni_21-24 RR</v>
      </c>
      <c r="O267" s="62" t="str">
        <f t="shared" si="47"/>
        <v>ni_21-24 RR</v>
      </c>
    </row>
    <row r="268" spans="1:15" ht="14.1" customHeight="1">
      <c r="A268" s="69">
        <f t="shared" si="43"/>
        <v>46229</v>
      </c>
      <c r="B268" s="70">
        <f>'CHICLETS MASTER S2'!X75</f>
        <v>0.375</v>
      </c>
      <c r="C268" s="71" t="s">
        <v>296</v>
      </c>
      <c r="D268" s="119" t="str">
        <f t="shared" si="44"/>
        <v>TUSTIN HS 1</v>
      </c>
      <c r="E268" s="71">
        <v>169</v>
      </c>
      <c r="F268" s="90" t="str">
        <f>IF(G228="","L154",IF(G228&lt;I228,_xlfn.CONCAT("L154-",RIGHT(F228,LEN(F228) - FIND("-",F228))), _xlfn.CONCAT("L154-",RIGHT(H228,LEN(H228) - FIND("-",H228)))))</f>
        <v>L154-NAVY</v>
      </c>
      <c r="G268" s="93">
        <v>10</v>
      </c>
      <c r="H268" s="90" t="str">
        <f>IF(G230="","L162",IF(G230&lt;I230,_xlfn.CONCAT("L162-",RIGHT(F230,LEN(F230) - FIND("-",F230))), _xlfn.CONCAT("L162-",RIGHT(H230,LEN(H230) - FIND("-",H230)))))</f>
        <v>L162-AMERICAN RIVER GOLD</v>
      </c>
      <c r="I268" s="93">
        <v>3</v>
      </c>
      <c r="J268" s="90" t="s">
        <v>1711</v>
      </c>
      <c r="K268" s="90" t="s">
        <v>1712</v>
      </c>
      <c r="L268" s="90" t="str">
        <f>$L$15&amp;"-"&amp;TEXT(E268,"000")</f>
        <v>16BQ-169</v>
      </c>
      <c r="N268" s="62" t="str">
        <f>$K$263&amp;C268</f>
        <v>ni_19th</v>
      </c>
      <c r="O268" s="62" t="str">
        <f>$K$263&amp;C268</f>
        <v>ni_19th</v>
      </c>
    </row>
    <row r="269" spans="1:15" ht="14.1" customHeight="1">
      <c r="A269" s="69">
        <f t="shared" si="43"/>
        <v>46229</v>
      </c>
      <c r="B269" s="70">
        <f>'CHICLETS MASTER S2'!X76</f>
        <v>0.41666666666666702</v>
      </c>
      <c r="C269" s="71" t="s">
        <v>293</v>
      </c>
      <c r="D269" s="119" t="str">
        <f t="shared" si="44"/>
        <v>TUSTIN HS 1</v>
      </c>
      <c r="E269" s="71">
        <v>170</v>
      </c>
      <c r="F269" s="90" t="str">
        <f>IF(G228="","W154",IF(G228&gt;I228,_xlfn.CONCAT("W154-",RIGHT(F228,LEN(F228) - FIND("-",F228))), _xlfn.CONCAT("W154-",RIGHT(H228,LEN(H228) - FIND("-",H228)))))</f>
        <v>W154-VANGUARD WHITE</v>
      </c>
      <c r="G269" s="93">
        <v>13</v>
      </c>
      <c r="H269" s="90" t="str">
        <f>IF(G230="","W162",IF(G230&gt;I230,_xlfn.CONCAT("W162-",RIGHT(F230,LEN(F230) - FIND("-",F230))), _xlfn.CONCAT("W162-",RIGHT(H230,LEN(H230) - FIND("-",H230)))))</f>
        <v>W162-CLOVIS B</v>
      </c>
      <c r="I269" s="93">
        <v>7</v>
      </c>
      <c r="J269" s="90" t="s">
        <v>1709</v>
      </c>
      <c r="K269" s="90" t="s">
        <v>1710</v>
      </c>
      <c r="L269" s="90" t="str">
        <f>$L$15&amp;"-"&amp;TEXT(E269,"000")</f>
        <v>16BQ-170</v>
      </c>
      <c r="N269" s="62" t="str">
        <f>$K$263&amp;C269</f>
        <v>ni_17th</v>
      </c>
      <c r="O269" s="62" t="str">
        <f>$K$263&amp;C269</f>
        <v>ni_17th</v>
      </c>
    </row>
    <row r="270" spans="1:15" ht="14.1" customHeight="1">
      <c r="A270" s="69">
        <f t="shared" si="43"/>
        <v>46229</v>
      </c>
      <c r="B270" s="70">
        <f>'CHICLETS MASTER S2'!X77</f>
        <v>0.45833333333333298</v>
      </c>
      <c r="C270" s="71" t="s">
        <v>290</v>
      </c>
      <c r="D270" s="119" t="str">
        <f t="shared" si="44"/>
        <v>TUSTIN HS 1</v>
      </c>
      <c r="E270" s="71">
        <v>177</v>
      </c>
      <c r="F270" s="90" t="str">
        <f>IF(G227="","L150",IF(G227&lt;I227,_xlfn.CONCAT("L150-",RIGHT(F227,LEN(F227) - FIND("-",F227))), _xlfn.CONCAT("L150-",RIGHT(H227,LEN(H227) - FIND("-",H227)))))</f>
        <v>L150-SMAC</v>
      </c>
      <c r="G270" s="93">
        <v>13</v>
      </c>
      <c r="H270" s="90" t="str">
        <f>IF(G229="","L158",IF(G229&lt;I229,_xlfn.CONCAT("L158-",RIGHT(F229,LEN(F229) - FIND("-",F229))), _xlfn.CONCAT("L158-",RIGHT(H229,LEN(H229) - FIND("-",H229)))))</f>
        <v>L158-DEVILS GATE</v>
      </c>
      <c r="I270" s="93">
        <v>10</v>
      </c>
      <c r="J270" s="90" t="s">
        <v>1731</v>
      </c>
      <c r="K270" s="90" t="s">
        <v>1732</v>
      </c>
      <c r="L270" s="90" t="str">
        <f>$L$15&amp;"-"&amp;TEXT(E270,"000")</f>
        <v>16BQ-177</v>
      </c>
      <c r="N270" s="62" t="str">
        <f>$K$263&amp;C270</f>
        <v>ni_15th</v>
      </c>
      <c r="O270" s="62" t="str">
        <f>$K$263&amp;C270</f>
        <v>ni_15th</v>
      </c>
    </row>
    <row r="271" spans="1:15" ht="14.1" customHeight="1">
      <c r="A271" s="69">
        <f t="shared" si="43"/>
        <v>46229</v>
      </c>
      <c r="B271" s="70">
        <f>'CHICLETS MASTER S2'!X78</f>
        <v>0.5</v>
      </c>
      <c r="C271" s="71" t="s">
        <v>287</v>
      </c>
      <c r="D271" s="119" t="str">
        <f t="shared" si="44"/>
        <v>TUSTIN HS 1</v>
      </c>
      <c r="E271" s="71">
        <v>178</v>
      </c>
      <c r="F271" s="90" t="str">
        <f>IF(G227="","W150",IF(G227&gt;I227,_xlfn.CONCAT("W150-",RIGHT(F227,LEN(F227) - FIND("-",F227))), _xlfn.CONCAT("W150-",RIGHT(H227,LEN(H227) - FIND("-",H227)))))</f>
        <v>W150-CARMEL</v>
      </c>
      <c r="G271" s="93">
        <v>6</v>
      </c>
      <c r="H271" s="90" t="str">
        <f>IF(G229="","W158",IF(G229&gt;I229,_xlfn.CONCAT("W158-",RIGHT(F229,LEN(F229) - FIND("-",F229))), _xlfn.CONCAT("W158-",RIGHT(H229,LEN(H229) - FIND("-",H229)))))</f>
        <v>W158-PRINCETON</v>
      </c>
      <c r="I271" s="93">
        <v>13</v>
      </c>
      <c r="J271" s="90" t="s">
        <v>1729</v>
      </c>
      <c r="K271" s="90" t="s">
        <v>1730</v>
      </c>
      <c r="L271" s="90" t="str">
        <f>$L$15&amp;"-"&amp;TEXT(E271,"000")</f>
        <v>16BQ-178</v>
      </c>
      <c r="N271" s="62" t="str">
        <f>$K$263&amp;C271</f>
        <v>ni_13th</v>
      </c>
      <c r="O271" s="62" t="str">
        <f>$K$263&amp;C271</f>
        <v>ni_13th</v>
      </c>
    </row>
    <row r="272" spans="1:15" ht="14.1" customHeight="1" thickBot="1"/>
    <row r="273" spans="1:15" ht="14.1" customHeight="1" thickBot="1">
      <c r="A273" s="60"/>
      <c r="B273" s="60"/>
      <c r="C273" s="60"/>
      <c r="D273" s="65" t="str">
        <f>'CHICLETS MASTER S2'!$AK$72</f>
        <v>CAPISTRANO VALLEY HS 1</v>
      </c>
      <c r="E273" s="60"/>
      <c r="F273" s="60"/>
      <c r="G273" s="64"/>
      <c r="H273" s="60"/>
      <c r="I273" s="64"/>
      <c r="J273" s="60"/>
      <c r="K273" s="60"/>
      <c r="L273" s="60"/>
    </row>
    <row r="274" spans="1:15" ht="14.1" customHeight="1">
      <c r="A274" s="306" t="s">
        <v>124</v>
      </c>
      <c r="B274" s="306" t="s">
        <v>125</v>
      </c>
      <c r="C274" s="306" t="s">
        <v>126</v>
      </c>
      <c r="D274" s="306" t="s">
        <v>127</v>
      </c>
      <c r="E274" s="306" t="s">
        <v>128</v>
      </c>
      <c r="F274" s="306" t="s">
        <v>129</v>
      </c>
      <c r="G274" s="306" t="s">
        <v>130</v>
      </c>
      <c r="H274" s="306" t="s">
        <v>131</v>
      </c>
      <c r="I274" s="306" t="s">
        <v>130</v>
      </c>
      <c r="J274" s="306" t="s">
        <v>132</v>
      </c>
      <c r="K274" s="306" t="s">
        <v>133</v>
      </c>
      <c r="L274" s="306" t="s">
        <v>134</v>
      </c>
    </row>
    <row r="275" spans="1:15" ht="14.1" customHeight="1">
      <c r="A275" s="69">
        <f t="shared" ref="A275:A287" si="48">$A$263</f>
        <v>46229</v>
      </c>
      <c r="B275" s="70">
        <f>'CHICLETS MASTER S2'!X73</f>
        <v>0.29166666666666669</v>
      </c>
      <c r="C275" s="71" t="s">
        <v>249</v>
      </c>
      <c r="D275" s="119" t="str">
        <f>$D$273</f>
        <v>CAPISTRANO VALLEY HS 1</v>
      </c>
      <c r="E275" s="94">
        <v>168</v>
      </c>
      <c r="F275" s="124" t="s">
        <v>1857</v>
      </c>
      <c r="G275" s="125">
        <v>6</v>
      </c>
      <c r="H275" s="124" t="s">
        <v>1859</v>
      </c>
      <c r="I275" s="126">
        <v>9</v>
      </c>
      <c r="J275" s="91"/>
      <c r="K275" s="91"/>
      <c r="L275" s="91" t="str">
        <f t="shared" ref="L275:L281" si="49">$L$15&amp;"-"&amp;TEXT(E275,"000")</f>
        <v>16BQ-168</v>
      </c>
      <c r="N275" s="62" t="str">
        <f t="shared" ref="N275:N281" si="50">$L$263&amp;C275</f>
        <v>cu_21-24 RR</v>
      </c>
      <c r="O275" s="62" t="str">
        <f t="shared" ref="O275:O281" si="51">$L$263&amp;C275</f>
        <v>cu_21-24 RR</v>
      </c>
    </row>
    <row r="276" spans="1:15" ht="14.1" customHeight="1">
      <c r="A276" s="69">
        <f t="shared" si="48"/>
        <v>46229</v>
      </c>
      <c r="B276" s="70">
        <f>'CHICLETS MASTER S2'!X74</f>
        <v>0.33333333333333298</v>
      </c>
      <c r="C276" s="71" t="s">
        <v>272</v>
      </c>
      <c r="D276" s="119" t="str">
        <f t="shared" ref="D276:D281" si="52">$D$273</f>
        <v>CAPISTRANO VALLEY HS 1</v>
      </c>
      <c r="E276" s="71">
        <v>187</v>
      </c>
      <c r="F276" s="91" t="str">
        <f>IF(G244="","L159",IF(G244&lt;I244,_xlfn.CONCAT("L159-",RIGHT(F244,LEN(F244) - FIND("-",F244))), _xlfn.CONCAT("L159-",RIGHT(H244,LEN(H244) - FIND("-",H244)))))</f>
        <v>L159-PRAETORIAN WHITE</v>
      </c>
      <c r="G276" s="92">
        <v>6</v>
      </c>
      <c r="H276" s="91" t="str">
        <f>IF(G245="","L163",IF(G245&lt;I245,_xlfn.CONCAT("L163-",RIGHT(F245,LEN(F245) - FIND("-",F245))), _xlfn.CONCAT("L163-",RIGHT(H245,LEN(H245) - FIND("-",H245)))))</f>
        <v>L163-SD SHORES WHITE</v>
      </c>
      <c r="I276" s="92">
        <v>9</v>
      </c>
      <c r="J276" s="91" t="s">
        <v>1719</v>
      </c>
      <c r="K276" s="91" t="s">
        <v>1720</v>
      </c>
      <c r="L276" s="91" t="str">
        <f t="shared" si="49"/>
        <v>16BQ-187</v>
      </c>
      <c r="N276" s="62" t="str">
        <f t="shared" si="50"/>
        <v>cu_5th</v>
      </c>
      <c r="O276" s="62" t="str">
        <f t="shared" si="51"/>
        <v>cu_5th</v>
      </c>
    </row>
    <row r="277" spans="1:15" ht="14.1" customHeight="1">
      <c r="A277" s="69">
        <f t="shared" si="48"/>
        <v>46229</v>
      </c>
      <c r="B277" s="70">
        <f>'CHICLETS MASTER S2'!X75</f>
        <v>0.375</v>
      </c>
      <c r="C277" s="71" t="s">
        <v>269</v>
      </c>
      <c r="D277" s="119" t="str">
        <f t="shared" si="52"/>
        <v>CAPISTRANO VALLEY HS 1</v>
      </c>
      <c r="E277" s="71">
        <v>188</v>
      </c>
      <c r="F277" s="91" t="str">
        <f>IF(G240="","L143",IF(G240&lt;I240,_xlfn.CONCAT("L143-",RIGHT(F240,LEN(F240) - FIND("-",F240))), _xlfn.CONCAT("L143-",RIGHT(H240,LEN(H240) - FIND("-",H240)))))</f>
        <v>L143-LOYOLA</v>
      </c>
      <c r="G277" s="92">
        <v>12</v>
      </c>
      <c r="H277" s="91" t="str">
        <f>IF(G241="","L147",IF(G241&lt;I241,_xlfn.CONCAT("L147-",RIGHT(F241,LEN(F241) - FIND("-",F241))), _xlfn.CONCAT("L147-",RIGHT(H241,LEN(H241) - FIND("-",H241)))))</f>
        <v>L147-HIELAND</v>
      </c>
      <c r="I277" s="92">
        <v>4</v>
      </c>
      <c r="J277" s="91" t="s">
        <v>1717</v>
      </c>
      <c r="K277" s="91" t="s">
        <v>1718</v>
      </c>
      <c r="L277" s="91" t="str">
        <f t="shared" si="49"/>
        <v>16BQ-188</v>
      </c>
      <c r="N277" s="62" t="str">
        <f t="shared" si="50"/>
        <v>cu_7th</v>
      </c>
      <c r="O277" s="62" t="str">
        <f t="shared" si="51"/>
        <v>cu_7th</v>
      </c>
    </row>
    <row r="278" spans="1:15" ht="14.1" customHeight="1">
      <c r="A278" s="69">
        <f t="shared" si="48"/>
        <v>46229</v>
      </c>
      <c r="B278" s="70">
        <f>'CHICLETS MASTER S2'!X76</f>
        <v>0.41666666666666702</v>
      </c>
      <c r="C278" s="71" t="s">
        <v>281</v>
      </c>
      <c r="D278" s="119" t="str">
        <f t="shared" si="52"/>
        <v>CAPISTRANO VALLEY HS 1</v>
      </c>
      <c r="E278" s="71">
        <v>183</v>
      </c>
      <c r="F278" s="128" t="str">
        <f>IF(G242="","W151",IF(G242&gt;I242,_xlfn.CONCAT("W151-",RIGHT(F242,LEN(F242) - FIND("-",F242))), _xlfn.CONCAT("W151-",RIGHT(H242,LEN(H242) - FIND("-",H242)))))</f>
        <v>W151-SOVA</v>
      </c>
      <c r="G278" s="129">
        <v>6</v>
      </c>
      <c r="H278" s="128" t="str">
        <f>IF(G243="","W155",IF(G243&gt;I243,_xlfn.CONCAT("W155-",RIGHT(F243,LEN(F243) - FIND("-",F243))), _xlfn.CONCAT("W155-",RIGHT(H243,LEN(H243) - FIND("-",H243)))))</f>
        <v>W155-PALOS VERDES BLUE</v>
      </c>
      <c r="I278" s="92">
        <v>8</v>
      </c>
      <c r="J278" s="91" t="s">
        <v>1725</v>
      </c>
      <c r="K278" s="91" t="s">
        <v>1726</v>
      </c>
      <c r="L278" s="91" t="str">
        <f t="shared" si="49"/>
        <v>16BQ-183</v>
      </c>
      <c r="N278" s="62" t="str">
        <f t="shared" si="50"/>
        <v>cu_9th</v>
      </c>
      <c r="O278" s="62" t="str">
        <f t="shared" si="51"/>
        <v>cu_9th</v>
      </c>
    </row>
    <row r="279" spans="1:15" ht="14.1" customHeight="1">
      <c r="A279" s="69">
        <f t="shared" si="48"/>
        <v>46229</v>
      </c>
      <c r="B279" s="70">
        <f>'CHICLETS MASTER S2'!X77</f>
        <v>0.45833333333333298</v>
      </c>
      <c r="C279" s="71" t="s">
        <v>284</v>
      </c>
      <c r="D279" s="119" t="str">
        <f t="shared" si="52"/>
        <v>CAPISTRANO VALLEY HS 1</v>
      </c>
      <c r="E279" s="71">
        <v>184</v>
      </c>
      <c r="F279" s="91" t="str">
        <f>IF(G242="","L151",IF(G242&lt;I242,_xlfn.CONCAT("L151-",RIGHT(F242,LEN(F242) - FIND("-",F242))), _xlfn.CONCAT("L151-",RIGHT(H242,LEN(H242) - FIND("-",H242)))))</f>
        <v>L151-ELITE</v>
      </c>
      <c r="G279" s="121">
        <v>9.4</v>
      </c>
      <c r="H279" s="91" t="str">
        <f>IF(G243="","L155",IF(G243&lt;I243,_xlfn.CONCAT("L155-",RIGHT(F243,LEN(F243) - FIND("-",F243))), _xlfn.CONCAT("L155-",RIGHT(H243,LEN(H243) - FIND("-",H243)))))</f>
        <v>L155-ECA B</v>
      </c>
      <c r="I279" s="121">
        <v>9.1999999999999993</v>
      </c>
      <c r="J279" s="91" t="s">
        <v>1727</v>
      </c>
      <c r="K279" s="91" t="s">
        <v>1728</v>
      </c>
      <c r="L279" s="91" t="str">
        <f t="shared" si="49"/>
        <v>16BQ-184</v>
      </c>
      <c r="N279" s="62" t="str">
        <f t="shared" si="50"/>
        <v>cu_11th</v>
      </c>
      <c r="O279" s="62" t="str">
        <f t="shared" si="51"/>
        <v>cu_11th</v>
      </c>
    </row>
    <row r="280" spans="1:15" ht="14.1" customHeight="1">
      <c r="A280" s="69">
        <f t="shared" si="48"/>
        <v>46229</v>
      </c>
      <c r="B280" s="70">
        <f>'CHICLETS MASTER S2'!X78</f>
        <v>0.5</v>
      </c>
      <c r="C280" s="71" t="s">
        <v>287</v>
      </c>
      <c r="D280" s="119" t="str">
        <f t="shared" si="52"/>
        <v>CAPISTRANO VALLEY HS 1</v>
      </c>
      <c r="E280" s="71">
        <v>179</v>
      </c>
      <c r="F280" s="91" t="str">
        <f>IF(G257="","W152",IF(G257&gt;I257,_xlfn.CONCAT("W152-",RIGHT(F257,LEN(F257) - FIND("-",F257))), _xlfn.CONCAT("W152-",RIGHT(H257,LEN(H257) - FIND("-",H257)))))</f>
        <v>W152-SAND CANYON RED</v>
      </c>
      <c r="G280" s="92">
        <v>5</v>
      </c>
      <c r="H280" s="91" t="str">
        <f>IF(G259="","W160",IF(G259&gt;I259,_xlfn.CONCAT("W160-",RIGHT(F259,LEN(F259) - FIND("-",F259))), _xlfn.CONCAT("W160-",RIGHT(H259,LEN(H259) - FIND("-",H259)))))</f>
        <v>W160-CCU WHITE</v>
      </c>
      <c r="I280" s="92">
        <v>15</v>
      </c>
      <c r="J280" s="91" t="s">
        <v>1864</v>
      </c>
      <c r="K280" s="91" t="s">
        <v>1865</v>
      </c>
      <c r="L280" s="91" t="str">
        <f t="shared" si="49"/>
        <v>16BQ-179</v>
      </c>
      <c r="N280" s="62" t="str">
        <f t="shared" si="50"/>
        <v>cu_13th</v>
      </c>
      <c r="O280" s="62" t="str">
        <f t="shared" si="51"/>
        <v>cu_13th</v>
      </c>
    </row>
    <row r="281" spans="1:15" ht="14.1" customHeight="1">
      <c r="A281" s="69">
        <f t="shared" si="48"/>
        <v>46229</v>
      </c>
      <c r="B281" s="70">
        <f>'CHICLETS MASTER S2'!X79</f>
        <v>0.54166666666666696</v>
      </c>
      <c r="C281" s="71" t="s">
        <v>290</v>
      </c>
      <c r="D281" s="119" t="str">
        <f t="shared" si="52"/>
        <v>CAPISTRANO VALLEY HS 1</v>
      </c>
      <c r="E281" s="94">
        <v>180</v>
      </c>
      <c r="F281" s="91" t="str">
        <f>IF(G257="","L152",IF(G257&lt;I257,_xlfn.CONCAT("L152-",RIGHT(F257,LEN(F257) - FIND("-",F257))), _xlfn.CONCAT("L152-",RIGHT(H257,LEN(H257) - FIND("-",H257)))))</f>
        <v>L152-NEWBERG</v>
      </c>
      <c r="G281" s="92">
        <v>4</v>
      </c>
      <c r="H281" s="91" t="str">
        <f>IF(G259="","L160",IF(G259&lt;I259,_xlfn.CONCAT("L160-",RIGHT(F259,LEN(F259) - FIND("-",F259))), _xlfn.CONCAT("L160-",RIGHT(H259,LEN(H259) - FIND("-",H259)))))</f>
        <v>L160-BREA OLINDA</v>
      </c>
      <c r="I281" s="92">
        <v>7</v>
      </c>
      <c r="J281" s="91" t="s">
        <v>1866</v>
      </c>
      <c r="K281" s="91" t="s">
        <v>1867</v>
      </c>
      <c r="L281" s="91" t="str">
        <f t="shared" si="49"/>
        <v>16BQ-180</v>
      </c>
      <c r="N281" s="62" t="str">
        <f t="shared" si="50"/>
        <v>cu_15th</v>
      </c>
      <c r="O281" s="62" t="str">
        <f t="shared" si="51"/>
        <v>cu_15th</v>
      </c>
    </row>
    <row r="282" spans="1:15" ht="14.1" customHeight="1" thickBot="1"/>
    <row r="283" spans="1:15" ht="14.1" customHeight="1" thickBot="1">
      <c r="A283" s="60"/>
      <c r="B283" s="60"/>
      <c r="C283" s="60"/>
      <c r="D283" s="65" t="str">
        <f>'CHICLETS MASTER S2'!$AG$72</f>
        <v>GOLDEN WEST COLLEGE 1</v>
      </c>
      <c r="E283" s="60"/>
      <c r="F283" s="60"/>
      <c r="G283" s="64"/>
      <c r="H283" s="60"/>
      <c r="I283" s="64"/>
      <c r="J283" s="60"/>
      <c r="K283" s="60"/>
      <c r="L283" s="60"/>
    </row>
    <row r="284" spans="1:15" ht="14.1" customHeight="1">
      <c r="A284" s="306" t="s">
        <v>124</v>
      </c>
      <c r="B284" s="306" t="s">
        <v>125</v>
      </c>
      <c r="C284" s="306" t="s">
        <v>126</v>
      </c>
      <c r="D284" s="306" t="s">
        <v>127</v>
      </c>
      <c r="E284" s="306" t="s">
        <v>128</v>
      </c>
      <c r="F284" s="306" t="s">
        <v>129</v>
      </c>
      <c r="G284" s="306" t="s">
        <v>130</v>
      </c>
      <c r="H284" s="306" t="s">
        <v>131</v>
      </c>
      <c r="I284" s="306" t="s">
        <v>130</v>
      </c>
      <c r="J284" s="306" t="s">
        <v>132</v>
      </c>
      <c r="K284" s="306" t="s">
        <v>133</v>
      </c>
      <c r="L284" s="306" t="s">
        <v>134</v>
      </c>
    </row>
    <row r="285" spans="1:15" ht="14.1" customHeight="1">
      <c r="A285" s="69">
        <f t="shared" si="48"/>
        <v>46229</v>
      </c>
      <c r="B285" s="70">
        <f>'CHICLETS MASTER S2'!X73</f>
        <v>0.29166666666666669</v>
      </c>
      <c r="C285" s="71" t="s">
        <v>249</v>
      </c>
      <c r="D285" s="119" t="str">
        <f t="shared" ref="D285:D291" si="53">$D$283</f>
        <v>GOLDEN WEST COLLEGE 1</v>
      </c>
      <c r="E285" s="94">
        <v>167</v>
      </c>
      <c r="F285" s="124" t="s">
        <v>1858</v>
      </c>
      <c r="G285" s="125">
        <v>11</v>
      </c>
      <c r="H285" s="124" t="s">
        <v>1856</v>
      </c>
      <c r="I285" s="126">
        <v>9</v>
      </c>
      <c r="J285" s="91"/>
      <c r="K285" s="91"/>
      <c r="L285" s="91" t="str">
        <f t="shared" ref="L285:L291" si="54">$L$15&amp;"-"&amp;TEXT(E285,"000")</f>
        <v>16BQ-167</v>
      </c>
      <c r="N285" s="62" t="str">
        <f>$L$263&amp;C285</f>
        <v>cu_21-24 RR</v>
      </c>
      <c r="O285" s="62" t="str">
        <f>$L$263&amp;C285</f>
        <v>cu_21-24 RR</v>
      </c>
    </row>
    <row r="286" spans="1:15" ht="14.1" customHeight="1">
      <c r="A286" s="69">
        <f t="shared" si="48"/>
        <v>46229</v>
      </c>
      <c r="B286" s="70">
        <f>'CHICLETS MASTER S2'!X74</f>
        <v>0.33333333333333298</v>
      </c>
      <c r="C286" s="71" t="s">
        <v>296</v>
      </c>
      <c r="D286" s="119" t="str">
        <f t="shared" si="53"/>
        <v>GOLDEN WEST COLLEGE 1</v>
      </c>
      <c r="E286" s="71">
        <v>176</v>
      </c>
      <c r="F286" s="91" t="str">
        <f>IF(G258="","L156",IF(G258&lt;I258,_xlfn.CONCAT("L156-",RIGHT(F258,LEN(F258) - FIND("-",F258))), _xlfn.CONCAT("L156-",RIGHT(H258,LEN(H258) - FIND("-",H258)))))</f>
        <v>L156-NORCAL TEAL</v>
      </c>
      <c r="G286" s="92">
        <v>8</v>
      </c>
      <c r="H286" s="91" t="str">
        <f>IF(G260="","L164",IF(G260&lt;I260,_xlfn.CONCAT("L164-",RIGHT(F260,LEN(F260) - FIND("-",F260))), _xlfn.CONCAT("L164-",RIGHT(H260,LEN(H260) - FIND("-",H260)))))</f>
        <v>L164-BROOKLYN HUSTLE</v>
      </c>
      <c r="I286" s="92">
        <v>11</v>
      </c>
      <c r="J286" s="91" t="s">
        <v>1868</v>
      </c>
      <c r="K286" s="91" t="s">
        <v>1869</v>
      </c>
      <c r="L286" s="91" t="str">
        <f t="shared" si="54"/>
        <v>16BQ-176</v>
      </c>
      <c r="N286" s="62" t="str">
        <f>$L$263&amp;C286</f>
        <v>cu_19th</v>
      </c>
      <c r="O286" s="62" t="str">
        <f>$L$263&amp;C286</f>
        <v>cu_19th</v>
      </c>
    </row>
    <row r="287" spans="1:15" ht="14.1" customHeight="1">
      <c r="A287" s="69">
        <f t="shared" si="48"/>
        <v>46229</v>
      </c>
      <c r="B287" s="70">
        <f>'CHICLETS MASTER S2'!X75</f>
        <v>0.375</v>
      </c>
      <c r="C287" s="71" t="s">
        <v>293</v>
      </c>
      <c r="D287" s="119" t="str">
        <f t="shared" si="53"/>
        <v>GOLDEN WEST COLLEGE 1</v>
      </c>
      <c r="E287" s="71">
        <v>175</v>
      </c>
      <c r="F287" s="91" t="str">
        <f>IF(G258="","W156",IF(G258&gt;I258,_xlfn.CONCAT("W156-",RIGHT(F258,LEN(F258) - FIND("-",F258))), _xlfn.CONCAT("W156-",RIGHT(H258,LEN(H258) - FIND("-",H258)))))</f>
        <v>W156-SAN JOSE FOUNDATION B</v>
      </c>
      <c r="G287" s="92">
        <v>6</v>
      </c>
      <c r="H287" s="91" t="str">
        <f>IF(G260="","W164",IF(G260&gt;I260,_xlfn.CONCAT("W164-",RIGHT(F260,LEN(F260) - FIND("-",F260))), _xlfn.CONCAT("W164-",RIGHT(H260,LEN(H260) - FIND("-",H260)))))</f>
        <v>W164-TRILOGY B</v>
      </c>
      <c r="I287" s="92">
        <v>8</v>
      </c>
      <c r="J287" s="91" t="s">
        <v>1870</v>
      </c>
      <c r="K287" s="91" t="s">
        <v>1871</v>
      </c>
      <c r="L287" s="91" t="str">
        <f t="shared" si="54"/>
        <v>16BQ-175</v>
      </c>
      <c r="N287" s="62" t="str">
        <f>$L$263&amp;C287</f>
        <v>cu_17th</v>
      </c>
      <c r="O287" s="62" t="str">
        <f>$L$263&amp;C287</f>
        <v>cu_17th</v>
      </c>
    </row>
    <row r="288" spans="1:15" ht="14.1" customHeight="1">
      <c r="A288" s="69">
        <f t="shared" ref="A288:A302" si="55">$A$263</f>
        <v>46229</v>
      </c>
      <c r="B288" s="70">
        <f>'CHICLETS MASTER S2'!X76</f>
        <v>0.41666666666666702</v>
      </c>
      <c r="C288" s="71" t="s">
        <v>272</v>
      </c>
      <c r="D288" s="119" t="str">
        <f t="shared" si="53"/>
        <v>GOLDEN WEST COLLEGE 1</v>
      </c>
      <c r="E288" s="71">
        <v>186</v>
      </c>
      <c r="F288" s="127" t="str">
        <f>IF(G214="","L157",IF(G214&lt;I214,_xlfn.CONCAT("L157-",RIGHT(F214,LEN(F214) - FIND("-",F214))), _xlfn.CONCAT("L157-",RIGHT(H214,LEN(H214) - FIND("-",H214)))))</f>
        <v>L157-DAVIS</v>
      </c>
      <c r="G288" s="93">
        <v>14</v>
      </c>
      <c r="H288" s="90" t="str">
        <f>IF(G215="","L161",IF(G215&lt;I215,_xlfn.CONCAT("L161-",RIGHT(F215,LEN(F215) - FIND("-",F215))), _xlfn.CONCAT("L161-",RIGHT(H215,LEN(H215) - FIND("-",H215)))))</f>
        <v>L161-SOUTH COAST WHITE</v>
      </c>
      <c r="I288" s="93">
        <v>10</v>
      </c>
      <c r="J288" s="90" t="s">
        <v>1703</v>
      </c>
      <c r="K288" s="90" t="s">
        <v>1704</v>
      </c>
      <c r="L288" s="90" t="str">
        <f t="shared" si="54"/>
        <v>16BQ-186</v>
      </c>
      <c r="N288" s="62" t="str">
        <f>$K$263&amp;C288</f>
        <v>ni_5th</v>
      </c>
      <c r="O288" s="62" t="str">
        <f>$K$263&amp;C288</f>
        <v>ni_5th</v>
      </c>
    </row>
    <row r="289" spans="1:15" ht="14.1" customHeight="1">
      <c r="A289" s="69">
        <f t="shared" si="43"/>
        <v>46229</v>
      </c>
      <c r="B289" s="70">
        <f>'CHICLETS MASTER S2'!X77</f>
        <v>0.45833333333333298</v>
      </c>
      <c r="C289" s="71" t="s">
        <v>269</v>
      </c>
      <c r="D289" s="119" t="str">
        <f t="shared" si="53"/>
        <v>GOLDEN WEST COLLEGE 1</v>
      </c>
      <c r="E289" s="71">
        <v>185</v>
      </c>
      <c r="F289" s="90" t="str">
        <f>IF(G210="","L141",IF(G210&lt;I210,_xlfn.CONCAT("L141-",RIGHT(F210,LEN(F210) - FIND("-",F210))), _xlfn.CONCAT("L141-",RIGHT(H210,LEN(H210) - FIND("-",H210)))))</f>
        <v>L141-CMAC</v>
      </c>
      <c r="G289" s="93">
        <v>7</v>
      </c>
      <c r="H289" s="90" t="str">
        <f>IF(G211="","L145",IF(G211&lt;I211,_xlfn.CONCAT("L145-",RIGHT(F211,LEN(F211) - FIND("-",F211))), _xlfn.CONCAT("L145-",RIGHT(H211,LEN(H211) - FIND("-",H211)))))</f>
        <v>L145-TEMPLE CITY YELLOW</v>
      </c>
      <c r="I289" s="93">
        <v>10</v>
      </c>
      <c r="J289" s="90" t="s">
        <v>1701</v>
      </c>
      <c r="K289" s="90" t="s">
        <v>1702</v>
      </c>
      <c r="L289" s="90" t="str">
        <f t="shared" si="54"/>
        <v>16BQ-185</v>
      </c>
      <c r="N289" s="62" t="str">
        <f>$K$263&amp;C289</f>
        <v>ni_7th</v>
      </c>
      <c r="O289" s="62" t="str">
        <f>$K$263&amp;C289</f>
        <v>ni_7th</v>
      </c>
    </row>
    <row r="290" spans="1:15" ht="14.1" customHeight="1">
      <c r="A290" s="69">
        <f t="shared" si="43"/>
        <v>46229</v>
      </c>
      <c r="B290" s="70">
        <f>'CHICLETS MASTER S2'!X78</f>
        <v>0.5</v>
      </c>
      <c r="C290" s="71" t="s">
        <v>281</v>
      </c>
      <c r="D290" s="119" t="str">
        <f t="shared" si="53"/>
        <v>GOLDEN WEST COLLEGE 1</v>
      </c>
      <c r="E290" s="71">
        <v>182</v>
      </c>
      <c r="F290" s="90" t="str">
        <f>IF(G212="","W149",IF(G212&gt;I212,_xlfn.CONCAT("W149-",RIGHT(F212,LEN(F212) - FIND("-",F212))), _xlfn.CONCAT("W149-",RIGHT(H212,LEN(H212) - FIND("-",H212)))))</f>
        <v>W149-BLUE CRUSH</v>
      </c>
      <c r="G290" s="93">
        <v>9</v>
      </c>
      <c r="H290" s="90" t="str">
        <f>IF(G213="","W153",IF(G213&gt;I213,_xlfn.CONCAT("W153-",RIGHT(F213,LEN(F213) - FIND("-",F213))), _xlfn.CONCAT("W153-",RIGHT(H213,LEN(H213) - FIND("-",H213)))))</f>
        <v>W153-680 BLUE</v>
      </c>
      <c r="I290" s="93">
        <v>10</v>
      </c>
      <c r="J290" s="90" t="s">
        <v>1713</v>
      </c>
      <c r="K290" s="90" t="s">
        <v>1714</v>
      </c>
      <c r="L290" s="90" t="str">
        <f t="shared" si="54"/>
        <v>16BQ-182</v>
      </c>
      <c r="N290" s="62" t="str">
        <f>$K$263&amp;C290</f>
        <v>ni_9th</v>
      </c>
      <c r="O290" s="62" t="str">
        <f>$K$263&amp;C290</f>
        <v>ni_9th</v>
      </c>
    </row>
    <row r="291" spans="1:15" ht="14.1" customHeight="1">
      <c r="A291" s="69">
        <f t="shared" si="43"/>
        <v>46229</v>
      </c>
      <c r="B291" s="70">
        <f>'CHICLETS MASTER S2'!X79</f>
        <v>0.54166666666666696</v>
      </c>
      <c r="C291" s="71" t="s">
        <v>284</v>
      </c>
      <c r="D291" s="119" t="str">
        <f t="shared" si="53"/>
        <v>GOLDEN WEST COLLEGE 1</v>
      </c>
      <c r="E291" s="94">
        <v>181</v>
      </c>
      <c r="F291" s="122" t="str">
        <f>IF(G212="","L149",IF(G212&lt;I212,_xlfn.CONCAT("L149-",RIGHT(F212,LEN(F212) - FIND("-",F212))), _xlfn.CONCAT("L149-",RIGHT(H212,LEN(H212) - FIND("-",H212)))))</f>
        <v>L149-SUPREME</v>
      </c>
      <c r="G291" s="123">
        <v>10</v>
      </c>
      <c r="H291" s="90" t="str">
        <f>IF(G213="","L153",IF(G213&lt;I213,_xlfn.CONCAT("L153-",RIGHT(F213,LEN(F213) - FIND("-",F213))), _xlfn.CONCAT("L153-",RIGHT(H213,LEN(H213) - FIND("-",H213)))))</f>
        <v>L153-SACRAMENTO BLACK</v>
      </c>
      <c r="I291" s="93">
        <v>9</v>
      </c>
      <c r="J291" s="90" t="s">
        <v>1715</v>
      </c>
      <c r="K291" s="90" t="s">
        <v>1716</v>
      </c>
      <c r="L291" s="90" t="str">
        <f t="shared" si="54"/>
        <v>16BQ-181</v>
      </c>
      <c r="N291" s="62" t="str">
        <f>$K$263&amp;C291</f>
        <v>ni_11th</v>
      </c>
      <c r="O291" s="62" t="str">
        <f>$K$263&amp;C291</f>
        <v>ni_11th</v>
      </c>
    </row>
    <row r="292" spans="1:15" ht="14.1" customHeight="1" thickBot="1"/>
    <row r="293" spans="1:15" ht="14.1" customHeight="1" thickBot="1">
      <c r="A293" s="60"/>
      <c r="B293" s="60"/>
      <c r="C293" s="60"/>
      <c r="D293" s="65" t="str">
        <f>'CHICLETS MASTER S2'!$AL$72</f>
        <v>BECKMAN HS 1</v>
      </c>
      <c r="E293" s="60"/>
      <c r="F293" s="60"/>
      <c r="G293" s="64"/>
      <c r="H293" s="60"/>
      <c r="I293" s="64"/>
      <c r="J293" s="60"/>
      <c r="K293" s="60"/>
      <c r="L293" s="60"/>
    </row>
    <row r="294" spans="1:15" ht="14.1" customHeight="1">
      <c r="A294" s="306" t="s">
        <v>124</v>
      </c>
      <c r="B294" s="306" t="s">
        <v>125</v>
      </c>
      <c r="C294" s="306" t="s">
        <v>126</v>
      </c>
      <c r="D294" s="306" t="s">
        <v>127</v>
      </c>
      <c r="E294" s="306" t="s">
        <v>128</v>
      </c>
      <c r="F294" s="306" t="s">
        <v>129</v>
      </c>
      <c r="G294" s="306" t="s">
        <v>130</v>
      </c>
      <c r="H294" s="306" t="s">
        <v>131</v>
      </c>
      <c r="I294" s="306" t="s">
        <v>130</v>
      </c>
      <c r="J294" s="306" t="s">
        <v>132</v>
      </c>
      <c r="K294" s="306" t="s">
        <v>133</v>
      </c>
      <c r="L294" s="306" t="s">
        <v>134</v>
      </c>
    </row>
    <row r="295" spans="1:15" ht="14.1" customHeight="1">
      <c r="A295" s="69">
        <f t="shared" si="55"/>
        <v>46229</v>
      </c>
      <c r="B295" s="130">
        <f>'CHICLETS MASTER S2'!X73</f>
        <v>0.29166666666666669</v>
      </c>
      <c r="C295" s="71" t="s">
        <v>268</v>
      </c>
      <c r="D295" s="99" t="str">
        <f t="shared" ref="D295:D302" si="56">$D$293</f>
        <v>BECKMAN HS 1</v>
      </c>
      <c r="E295" s="71">
        <v>171</v>
      </c>
      <c r="F295" s="91" t="str">
        <f>IF(G239="","W139",IF(G239&gt;I239,_xlfn.CONCAT("W139-",RIGHT(F239,LEN(F239) - FIND("-",F239))), _xlfn.CONCAT("W139-",RIGHT(H239,LEN(H239) - FIND("-",H239)))))</f>
        <v>W139-CHAWP BLUE</v>
      </c>
      <c r="G295" s="92">
        <v>11</v>
      </c>
      <c r="H295" s="91" t="str">
        <f>IF(G244="","W159",IF(G244&gt;I244,_xlfn.CONCAT("W159-",RIGHT(F244,LEN(F244) - FIND("-",F244))), _xlfn.CONCAT("W159-",RIGHT(H244,LEN(H244) - FIND("-",H244)))))</f>
        <v>W159-RAIN CITY</v>
      </c>
      <c r="I295" s="92">
        <v>12</v>
      </c>
      <c r="J295" s="91">
        <v>190</v>
      </c>
      <c r="K295" s="91">
        <v>189</v>
      </c>
      <c r="L295" s="91" t="str">
        <f t="shared" ref="L295:L302" si="57">$L$15&amp;"-"&amp;TEXT(E295,"000")</f>
        <v>16BQ-171</v>
      </c>
      <c r="N295" s="62" t="str">
        <f>$L$263&amp;C295</f>
        <v>cu_semi</v>
      </c>
      <c r="O295" s="62" t="str">
        <f>$L$263&amp;C295</f>
        <v>cu_semi</v>
      </c>
    </row>
    <row r="296" spans="1:15" ht="14.1" customHeight="1">
      <c r="A296" s="69">
        <f t="shared" si="55"/>
        <v>46229</v>
      </c>
      <c r="B296" s="130">
        <f>'CHICLETS MASTER S2'!X74</f>
        <v>0.33333333333333298</v>
      </c>
      <c r="C296" s="71" t="s">
        <v>268</v>
      </c>
      <c r="D296" s="99" t="str">
        <f t="shared" si="56"/>
        <v>BECKMAN HS 1</v>
      </c>
      <c r="E296" s="71">
        <v>172</v>
      </c>
      <c r="F296" s="91" t="str">
        <f>IF(G238="","W135",IF(G238&gt;I238,_xlfn.CONCAT("W135-",RIGHT(F238,LEN(F238) - FIND("-",F238))), _xlfn.CONCAT("W135-",RIGHT(H238,LEN(H238) - FIND("-",H238)))))</f>
        <v>W135-SANTA CRUZ B</v>
      </c>
      <c r="G296" s="92">
        <v>10</v>
      </c>
      <c r="H296" s="91" t="str">
        <f>IF(G245="","W163",IF(G245&gt;I245,_xlfn.CONCAT("W163-",RIGHT(F245,LEN(F245) - FIND("-",F245))), _xlfn.CONCAT("W163-",RIGHT(H245,LEN(H245) - FIND("-",H245)))))</f>
        <v>W163-LOKAHI</v>
      </c>
      <c r="I296" s="92">
        <v>6</v>
      </c>
      <c r="J296" s="91">
        <v>190</v>
      </c>
      <c r="K296" s="91">
        <v>189</v>
      </c>
      <c r="L296" s="91" t="str">
        <f t="shared" si="57"/>
        <v>16BQ-172</v>
      </c>
      <c r="N296" s="62" t="str">
        <f>$L$263&amp;C296</f>
        <v>cu_semi</v>
      </c>
      <c r="O296" s="62" t="str">
        <f>$L$263&amp;C296</f>
        <v>cu_semi</v>
      </c>
    </row>
    <row r="297" spans="1:15" ht="14.1" customHeight="1">
      <c r="A297" s="69">
        <f t="shared" si="55"/>
        <v>46229</v>
      </c>
      <c r="B297" s="130">
        <f>'CHICLETS MASTER S2'!X75</f>
        <v>0.375</v>
      </c>
      <c r="C297" s="71" t="s">
        <v>268</v>
      </c>
      <c r="D297" s="99" t="str">
        <f t="shared" si="56"/>
        <v>BECKMAN HS 1</v>
      </c>
      <c r="E297" s="71">
        <v>173</v>
      </c>
      <c r="F297" s="90" t="str">
        <f>IF(G209="","W137",IF(G209&gt;I209,_xlfn.CONCAT("W137-",RIGHT(F209,LEN(F209) - FIND("-",F209))), _xlfn.CONCAT("W137-",RIGHT(H209,LEN(H209) - FIND("-",H209)))))</f>
        <v>W137-LB SHORE BLACK</v>
      </c>
      <c r="G297" s="93">
        <v>14</v>
      </c>
      <c r="H297" s="90" t="str">
        <f>IF(G214="","W157",IF(G214&gt;I214,_xlfn.CONCAT("W157-",RIGHT(F214,LEN(F214) - FIND("-",F214))), _xlfn.CONCAT("W157-",RIGHT(H214,LEN(H214) - FIND("-",H214)))))</f>
        <v>W157-SANTA BARBARA WPC B</v>
      </c>
      <c r="I297" s="93">
        <v>8</v>
      </c>
      <c r="J297" s="90">
        <v>192</v>
      </c>
      <c r="K297" s="90">
        <v>191</v>
      </c>
      <c r="L297" s="90" t="str">
        <f t="shared" si="57"/>
        <v>16BQ-173</v>
      </c>
      <c r="N297" s="62" t="str">
        <f>$K$263&amp;C297</f>
        <v>ni_semi</v>
      </c>
      <c r="O297" s="62" t="str">
        <f>$K$263&amp;C297</f>
        <v>ni_semi</v>
      </c>
    </row>
    <row r="298" spans="1:15" ht="14.1" customHeight="1">
      <c r="A298" s="69">
        <f t="shared" si="55"/>
        <v>46229</v>
      </c>
      <c r="B298" s="130">
        <f>'CHICLETS MASTER S2'!X76</f>
        <v>0.41666666666666702</v>
      </c>
      <c r="C298" s="71" t="s">
        <v>268</v>
      </c>
      <c r="D298" s="99" t="str">
        <f t="shared" si="56"/>
        <v>BECKMAN HS 1</v>
      </c>
      <c r="E298" s="71">
        <v>174</v>
      </c>
      <c r="F298" s="90" t="str">
        <f>IF(G208="","W133",IF(G208&gt;I208,_xlfn.CONCAT("W133-",RIGHT(F208,LEN(F208) - FIND("-",F208))), _xlfn.CONCAT("W133-",RIGHT(H208,LEN(H208) - FIND("-",H208)))))</f>
        <v>W133-NSD STARS</v>
      </c>
      <c r="G298" s="93">
        <v>11</v>
      </c>
      <c r="H298" s="90" t="str">
        <f>IF(G215="","W161",IF(G215&gt;I215,_xlfn.CONCAT("W161-",RIGHT(F215,LEN(F215) - FIND("-",F215))), _xlfn.CONCAT("W161-",RIGHT(H215,LEN(H215) - FIND("-",H215)))))</f>
        <v>W161-SOCAL</v>
      </c>
      <c r="I298" s="93">
        <v>9</v>
      </c>
      <c r="J298" s="90">
        <v>192</v>
      </c>
      <c r="K298" s="90">
        <v>191</v>
      </c>
      <c r="L298" s="90" t="str">
        <f t="shared" si="57"/>
        <v>16BQ-174</v>
      </c>
      <c r="N298" s="62" t="str">
        <f>$K$263&amp;C298</f>
        <v>ni_semi</v>
      </c>
      <c r="O298" s="62" t="str">
        <f>$K$263&amp;C298</f>
        <v>ni_semi</v>
      </c>
    </row>
    <row r="299" spans="1:15" ht="14.1" customHeight="1">
      <c r="A299" s="69">
        <f t="shared" si="55"/>
        <v>46229</v>
      </c>
      <c r="B299" s="130">
        <f>'CHICLETS MASTER S2'!X77</f>
        <v>0.45833333333333298</v>
      </c>
      <c r="C299" s="71" t="s">
        <v>275</v>
      </c>
      <c r="D299" s="99" t="str">
        <f t="shared" si="56"/>
        <v>BECKMAN HS 1</v>
      </c>
      <c r="E299" s="71">
        <v>189</v>
      </c>
      <c r="F299" s="91" t="str">
        <f>IF(G295="","L171",IF(G295&lt;I295,_xlfn.CONCAT("L171-",RIGHT(F295,LEN(F295) - FIND("-",F295))), _xlfn.CONCAT("L171-",RIGHT(H295,LEN(H295) - FIND("-",H295)))))</f>
        <v>L171-CHAWP BLUE</v>
      </c>
      <c r="G299" s="92">
        <v>15</v>
      </c>
      <c r="H299" s="91" t="str">
        <f>IF(G296="","L172",IF(G296&lt;I296,_xlfn.CONCAT("L172-",RIGHT(F296,LEN(F296) - FIND("-",F296))), _xlfn.CONCAT("L172-",RIGHT(H296,LEN(H296) - FIND("-",H296)))))</f>
        <v>L172-LOKAHI</v>
      </c>
      <c r="I299" s="92">
        <v>10</v>
      </c>
      <c r="J299" s="91" t="s">
        <v>1721</v>
      </c>
      <c r="K299" s="91" t="s">
        <v>1722</v>
      </c>
      <c r="L299" s="91" t="str">
        <f t="shared" si="57"/>
        <v>16BQ-189</v>
      </c>
      <c r="N299" s="62" t="str">
        <f>$L$263&amp;C299</f>
        <v>cu_3rd</v>
      </c>
      <c r="O299" s="62" t="str">
        <f>$L$263&amp;C299</f>
        <v>cu_3rd</v>
      </c>
    </row>
    <row r="300" spans="1:15" ht="14.1" customHeight="1">
      <c r="A300" s="69">
        <f t="shared" si="55"/>
        <v>46229</v>
      </c>
      <c r="B300" s="130">
        <f>'CHICLETS MASTER S2'!X78</f>
        <v>0.5</v>
      </c>
      <c r="C300" s="71" t="s">
        <v>278</v>
      </c>
      <c r="D300" s="99" t="str">
        <f t="shared" si="56"/>
        <v>BECKMAN HS 1</v>
      </c>
      <c r="E300" s="71">
        <v>190</v>
      </c>
      <c r="F300" s="91" t="str">
        <f>IF(G295="","W171",IF(G295&gt;I295,_xlfn.CONCAT("W171-",RIGHT(F295,LEN(F295) - FIND("-",F295))), _xlfn.CONCAT("W171-",RIGHT(H295,LEN(H295) - FIND("-",H295)))))</f>
        <v>W171-RAIN CITY</v>
      </c>
      <c r="G300" s="92">
        <v>11</v>
      </c>
      <c r="H300" s="91" t="str">
        <f>IF(G296="","W172",IF(G296&gt;I296,_xlfn.CONCAT("W172-",RIGHT(F296,LEN(F296) - FIND("-",F296))), _xlfn.CONCAT("W172-",RIGHT(H296,LEN(H296) - FIND("-",H296)))))</f>
        <v>W172-SANTA CRUZ B</v>
      </c>
      <c r="I300" s="92">
        <v>12</v>
      </c>
      <c r="J300" s="91" t="s">
        <v>1723</v>
      </c>
      <c r="K300" s="91" t="s">
        <v>1724</v>
      </c>
      <c r="L300" s="91" t="str">
        <f t="shared" si="57"/>
        <v>16BQ-190</v>
      </c>
      <c r="N300" s="62" t="str">
        <f>$L$263&amp;C300</f>
        <v>cu_1st</v>
      </c>
      <c r="O300" s="62" t="str">
        <f>$L$263&amp;C300</f>
        <v>cu_1st</v>
      </c>
    </row>
    <row r="301" spans="1:15" ht="14.1" customHeight="1">
      <c r="A301" s="69">
        <f t="shared" si="55"/>
        <v>46229</v>
      </c>
      <c r="B301" s="130">
        <f>'CHICLETS MASTER S2'!X79</f>
        <v>0.54166666666666696</v>
      </c>
      <c r="C301" s="71" t="s">
        <v>275</v>
      </c>
      <c r="D301" s="99" t="str">
        <f t="shared" si="56"/>
        <v>BECKMAN HS 1</v>
      </c>
      <c r="E301" s="71">
        <v>191</v>
      </c>
      <c r="F301" s="90" t="str">
        <f>IF(G297="","L173",IF(G297&lt;I297,_xlfn.CONCAT("L173-",RIGHT(F297,LEN(F297) - FIND("-",F297))), _xlfn.CONCAT("L173-",RIGHT(H297,LEN(H297) - FIND("-",H297)))))</f>
        <v>L173-SANTA BARBARA WPC B</v>
      </c>
      <c r="G301" s="93">
        <v>9</v>
      </c>
      <c r="H301" s="90" t="str">
        <f>IF(G298="","L174",IF(G298&lt;I298,_xlfn.CONCAT("L174-",RIGHT(F298,LEN(F298) - FIND("-",F298))), _xlfn.CONCAT("L174-",RIGHT(H298,LEN(H298) - FIND("-",H298)))))</f>
        <v>L174-SOCAL</v>
      </c>
      <c r="I301" s="93">
        <v>6</v>
      </c>
      <c r="J301" s="90" t="s">
        <v>1705</v>
      </c>
      <c r="K301" s="90" t="s">
        <v>1706</v>
      </c>
      <c r="L301" s="90" t="str">
        <f t="shared" si="57"/>
        <v>16BQ-191</v>
      </c>
      <c r="N301" s="62" t="str">
        <f>$K$263&amp;C301</f>
        <v>ni_3rd</v>
      </c>
      <c r="O301" s="62" t="str">
        <f>$K$263&amp;C301</f>
        <v>ni_3rd</v>
      </c>
    </row>
    <row r="302" spans="1:15" ht="14.1" customHeight="1">
      <c r="A302" s="69">
        <f t="shared" si="55"/>
        <v>46229</v>
      </c>
      <c r="B302" s="130">
        <f>'CHICLETS MASTER S2'!X80</f>
        <v>0.58333333333333304</v>
      </c>
      <c r="C302" s="71" t="s">
        <v>278</v>
      </c>
      <c r="D302" s="99" t="str">
        <f t="shared" si="56"/>
        <v>BECKMAN HS 1</v>
      </c>
      <c r="E302" s="71">
        <v>192</v>
      </c>
      <c r="F302" s="90" t="str">
        <f>IF(G297="","W173",IF(G297&gt;I297,_xlfn.CONCAT("W173-",RIGHT(F297,LEN(F297) - FIND("-",F297))), _xlfn.CONCAT("W173-",RIGHT(H297,LEN(H297) - FIND("-",H297)))))</f>
        <v>W173-LB SHORE BLACK</v>
      </c>
      <c r="G302" s="93">
        <v>8</v>
      </c>
      <c r="H302" s="90" t="str">
        <f>IF(G298="","W174",IF(G298&gt;I298,_xlfn.CONCAT("W174-",RIGHT(F298,LEN(F298) - FIND("-",F298))), _xlfn.CONCAT("W174-",RIGHT(H298,LEN(H298) - FIND("-",H298)))))</f>
        <v>W174-NSD STARS</v>
      </c>
      <c r="I302" s="93">
        <v>5</v>
      </c>
      <c r="J302" s="90" t="s">
        <v>1707</v>
      </c>
      <c r="K302" s="90" t="s">
        <v>1708</v>
      </c>
      <c r="L302" s="90" t="str">
        <f t="shared" si="57"/>
        <v>16BQ-192</v>
      </c>
      <c r="N302" s="62" t="str">
        <f>$K$263&amp;C302</f>
        <v>ni_1st</v>
      </c>
      <c r="O302" s="62" t="str">
        <f>$K$263&amp;C302</f>
        <v>ni_1st</v>
      </c>
    </row>
    <row r="304" spans="1:15" ht="14.1" customHeight="1">
      <c r="A304" s="90" t="s">
        <v>1733</v>
      </c>
      <c r="C304" s="91" t="s">
        <v>1734</v>
      </c>
    </row>
    <row r="305" spans="1:4" ht="14.1" customHeight="1">
      <c r="A305" s="90" t="s">
        <v>278</v>
      </c>
      <c r="B305" s="131" t="str">
        <f>IF(G302="","W192",IF(G302&gt;I302,_xlfn.CONCAT("W192-",RIGHT(F302,LEN(F302) - FIND("-",F302))), _xlfn.CONCAT("W192-",RIGHT(H302,LEN(H302) - FIND("-",H302)))))</f>
        <v>W192-LB SHORE BLACK</v>
      </c>
      <c r="C305" s="91" t="s">
        <v>278</v>
      </c>
      <c r="D305" s="132" t="str">
        <f>IF(G300="","W190",IF(G300&gt;I300,_xlfn.CONCAT("W190-",RIGHT(F300,LEN(F300) - FIND("-",F300))), _xlfn.CONCAT("W190-",RIGHT(H300,LEN(H300) - FIND("-",H300)))))</f>
        <v>W190-SANTA CRUZ B</v>
      </c>
    </row>
    <row r="306" spans="1:4" ht="14.1" customHeight="1">
      <c r="A306" s="90" t="s">
        <v>310</v>
      </c>
      <c r="B306" s="133" t="str">
        <f>IF(G302="","L192",IF(G302&lt;I302,_xlfn.CONCAT("L192-",RIGHT(F302,LEN(F302) - FIND("-",F302))), _xlfn.CONCAT("L192-",RIGHT(H302,LEN(H302) - FIND("-",H302)))))</f>
        <v>L192-NSD STARS</v>
      </c>
      <c r="C306" s="91" t="s">
        <v>310</v>
      </c>
      <c r="D306" s="131" t="str">
        <f>IF(G300="","L190",IF(G300&lt;I300,_xlfn.CONCAT("L190-",RIGHT(F300,LEN(F300) - FIND("-",F300))), _xlfn.CONCAT("L190-",RIGHT(H300,LEN(H300) - FIND("-",H300)))))</f>
        <v>L190-RAIN CITY</v>
      </c>
    </row>
    <row r="307" spans="1:4" ht="14.1" customHeight="1">
      <c r="A307" s="90" t="s">
        <v>275</v>
      </c>
      <c r="B307" s="131" t="str">
        <f>IF(G301="","W191",IF(G301&gt;I301,_xlfn.CONCAT("W191-",RIGHT(F301,LEN(F301) - FIND("-",F301))), _xlfn.CONCAT("W191-",RIGHT(H301,LEN(H301) - FIND("-",H301)))))</f>
        <v>W191-SANTA BARBARA WPC B</v>
      </c>
      <c r="C307" s="91" t="s">
        <v>275</v>
      </c>
      <c r="D307" s="132" t="str">
        <f>IF(G299="","W189",IF(G299&gt;I299,_xlfn.CONCAT("W189-",RIGHT(F299,LEN(F299) - FIND("-",F299))), _xlfn.CONCAT("W189-",RIGHT(H299,LEN(H299) - FIND("-",H299)))))</f>
        <v>W189-CHAWP BLUE</v>
      </c>
    </row>
    <row r="308" spans="1:4" ht="14.1" customHeight="1">
      <c r="A308" s="90" t="s">
        <v>311</v>
      </c>
      <c r="B308" s="131" t="str">
        <f>IF(G301="","L191",IF(G301&lt;I301,_xlfn.CONCAT("L191-",RIGHT(F301,LEN(F301) - FIND("-",F301))), _xlfn.CONCAT("L191-",RIGHT(H301,LEN(H301) - FIND("-",H301)))))</f>
        <v>L191-SOCAL</v>
      </c>
      <c r="C308" s="91" t="s">
        <v>311</v>
      </c>
      <c r="D308" s="131" t="str">
        <f>IF(G299="","L189",IF(G299&lt;I299,_xlfn.CONCAT("L189-",RIGHT(F299,LEN(F299) - FIND("-",F299))), _xlfn.CONCAT("L189-",RIGHT(H299,LEN(H299) - FIND("-",H299)))))</f>
        <v>L189-LOKAHI</v>
      </c>
    </row>
    <row r="309" spans="1:4" ht="14.1" customHeight="1">
      <c r="A309" s="90" t="s">
        <v>272</v>
      </c>
      <c r="B309" s="131" t="str">
        <f>IF(G288="","W186",IF(G288&gt;I288,_xlfn.CONCAT("W186-",RIGHT(F288,LEN(F288) - FIND("-",F288))), _xlfn.CONCAT("W186-",RIGHT(H288,LEN(H288) - FIND("-",H288)))))</f>
        <v>W186-DAVIS</v>
      </c>
      <c r="C309" s="91" t="s">
        <v>272</v>
      </c>
      <c r="D309" s="134" t="str">
        <f>IF(G276="","W187",IF(G276&gt;I276,_xlfn.CONCAT("W187-",RIGHT(F276,LEN(F276) - FIND("-",F276))), _xlfn.CONCAT("W187-",RIGHT(H276,LEN(H276) - FIND("-",H276)))))</f>
        <v>W187-SD SHORES WHITE</v>
      </c>
    </row>
    <row r="310" spans="1:4" ht="14.1" customHeight="1">
      <c r="A310" s="90" t="s">
        <v>312</v>
      </c>
      <c r="B310" s="133" t="str">
        <f>IF(G288="","L186",IF(G288&lt;I288,_xlfn.CONCAT("L186-",RIGHT(F288,LEN(F288) - FIND("-",F288))), _xlfn.CONCAT("L186-",RIGHT(H288,LEN(H288) - FIND("-",H288)))))</f>
        <v>L186-SOUTH COAST WHITE</v>
      </c>
      <c r="C310" s="91" t="s">
        <v>312</v>
      </c>
      <c r="D310" s="132" t="str">
        <f>IF(G276="","L187",IF(G276&lt;I276,_xlfn.CONCAT("L187-",RIGHT(F276,LEN(F276) - FIND("-",F276))), _xlfn.CONCAT("L187-",RIGHT(H276,LEN(H276) - FIND("-",H276)))))</f>
        <v>L187-PRAETORIAN WHITE</v>
      </c>
    </row>
    <row r="311" spans="1:4" ht="14.1" customHeight="1">
      <c r="A311" s="90" t="s">
        <v>269</v>
      </c>
      <c r="B311" s="131" t="str">
        <f>IF(G289="","W185",IF(G289&gt;I289,_xlfn.CONCAT("W185-",RIGHT(F289,LEN(F289) - FIND("-",F289))), _xlfn.CONCAT("W185-",RIGHT(H289,LEN(H289) - FIND("-",H289)))))</f>
        <v>W185-TEMPLE CITY YELLOW</v>
      </c>
      <c r="C311" s="91" t="s">
        <v>269</v>
      </c>
      <c r="D311" s="131" t="str">
        <f>IF(G277="","W188",IF(G277&gt;I277,_xlfn.CONCAT("W188-",RIGHT(F277,LEN(F277) - FIND("-",F277))), _xlfn.CONCAT("W188-",RIGHT(H277,LEN(H277) - FIND("-",H277)))))</f>
        <v>W188-LOYOLA</v>
      </c>
    </row>
    <row r="312" spans="1:4" ht="14.1" customHeight="1">
      <c r="A312" s="90" t="s">
        <v>313</v>
      </c>
      <c r="B312" s="133" t="str">
        <f>IF(G289="","L185",IF(G289&lt;I289,_xlfn.CONCAT("L185-",RIGHT(F289,LEN(F289) - FIND("-",F289))), _xlfn.CONCAT("L185-",RIGHT(H289,LEN(H289) - FIND("-",H289)))))</f>
        <v>L185-CMAC</v>
      </c>
      <c r="C312" s="91" t="s">
        <v>313</v>
      </c>
      <c r="D312" s="135" t="str">
        <f>IF(G277="","L188",IF(G277&lt;I277,_xlfn.CONCAT("L188-",RIGHT(F277,LEN(F277) - FIND("-",F277))), _xlfn.CONCAT("L188-",RIGHT(H277,LEN(H277) - FIND("-",H277)))))</f>
        <v>L188-HIELAND</v>
      </c>
    </row>
    <row r="313" spans="1:4" ht="14.1" customHeight="1">
      <c r="A313" s="90" t="s">
        <v>281</v>
      </c>
      <c r="B313" s="131" t="str">
        <f>IF(G290="","W182",IF(G290&gt;I290,_xlfn.CONCAT("W182-",RIGHT(F290,LEN(F290) - FIND("-",F290))), _xlfn.CONCAT("W182-",RIGHT(H290,LEN(H290) - FIND("-",H290)))))</f>
        <v>W182-680 BLUE</v>
      </c>
      <c r="C313" s="91" t="s">
        <v>281</v>
      </c>
      <c r="D313" s="131" t="str">
        <f>IF(G278="","W183",IF(G278&gt;I278,_xlfn.CONCAT("W183-",RIGHT(F278,LEN(F278) - FIND("-",F278))), _xlfn.CONCAT("W183-",RIGHT(H278,LEN(H278) - FIND("-",H278)))))</f>
        <v>W183-PALOS VERDES BLUE</v>
      </c>
    </row>
    <row r="314" spans="1:4" ht="14.1" customHeight="1">
      <c r="A314" s="90" t="s">
        <v>315</v>
      </c>
      <c r="B314" s="133" t="str">
        <f>IF(G290="","L182",IF(G290&lt;I290,_xlfn.CONCAT("L182-",RIGHT(F290,LEN(F290) - FIND("-",F290))), _xlfn.CONCAT("L182-",RIGHT(H290,LEN(H290) - FIND("-",H290)))))</f>
        <v>L182-BLUE CRUSH</v>
      </c>
      <c r="C314" s="91" t="s">
        <v>315</v>
      </c>
      <c r="D314" s="135" t="str">
        <f>IF(G278="","L183",IF(G278&lt;I278,_xlfn.CONCAT("L183-",RIGHT(F278,LEN(F278) - FIND("-",F278))), _xlfn.CONCAT("L183-",RIGHT(H278,LEN(H278) - FIND("-",H278)))))</f>
        <v>L183-SOVA</v>
      </c>
    </row>
    <row r="315" spans="1:4" ht="14.1" customHeight="1">
      <c r="A315" s="90" t="s">
        <v>284</v>
      </c>
      <c r="B315" s="131" t="str">
        <f>IF(G291="","W181",IF(G291&gt;I291,_xlfn.CONCAT("W181-",RIGHT(F291,LEN(F291) - FIND("-",F291))), _xlfn.CONCAT("W181-",RIGHT(H291,LEN(H291) - FIND("-",H291)))))</f>
        <v>W181-SUPREME</v>
      </c>
      <c r="C315" s="91" t="s">
        <v>284</v>
      </c>
      <c r="D315" s="131" t="str">
        <f>IF(G279="","W184",IF(G279&gt;I279,_xlfn.CONCAT("W184-",RIGHT(F279,LEN(F279) - FIND("-",F279))), _xlfn.CONCAT("W184-",RIGHT(H279,LEN(H279) - FIND("-",H279)))))</f>
        <v>W184-ELITE</v>
      </c>
    </row>
    <row r="316" spans="1:4" ht="14.1" customHeight="1">
      <c r="A316" s="90" t="s">
        <v>318</v>
      </c>
      <c r="B316" s="133" t="str">
        <f>IF(G291="","L181",IF(G291&lt;I291,_xlfn.CONCAT("L181-",RIGHT(F291,LEN(F291) - FIND("-",F291))), _xlfn.CONCAT("L181-",RIGHT(H291,LEN(H291) - FIND("-",H291)))))</f>
        <v>L181-SACRAMENTO BLACK</v>
      </c>
      <c r="C316" s="91" t="s">
        <v>318</v>
      </c>
      <c r="D316" s="134" t="str">
        <f>IF(G279="","L184",IF(G279&lt;I279,_xlfn.CONCAT("L184-",RIGHT(F279,LEN(F279) - FIND("-",F279))), _xlfn.CONCAT("L184-",RIGHT(H279,LEN(H279) - FIND("-",H279)))))</f>
        <v>L184-ECA B</v>
      </c>
    </row>
    <row r="317" spans="1:4" ht="14.1" customHeight="1">
      <c r="A317" s="90" t="s">
        <v>287</v>
      </c>
      <c r="B317" s="131" t="str">
        <f>IF(G271="","W178",IF(G271&gt;I271,_xlfn.CONCAT("W178-",RIGHT(F271,LEN(F271) - FIND("-",F271))), _xlfn.CONCAT("W178-",RIGHT(H271,LEN(H271) - FIND("-",H271)))))</f>
        <v>W178-PRINCETON</v>
      </c>
      <c r="C317" s="91" t="s">
        <v>287</v>
      </c>
      <c r="D317" s="131" t="str">
        <f>IF(G280="","W179",IF(G280&gt;I280,_xlfn.CONCAT("W179-",RIGHT(F280,LEN(F280) - FIND("-",F280))), _xlfn.CONCAT("W179-",RIGHT(H280,LEN(H280) - FIND("-",H280)))))</f>
        <v>W179-CCU WHITE</v>
      </c>
    </row>
    <row r="318" spans="1:4" ht="14.1" customHeight="1">
      <c r="A318" s="90" t="s">
        <v>319</v>
      </c>
      <c r="B318" s="133" t="str">
        <f>IF(G271="","L178",IF(G271&lt;I271,_xlfn.CONCAT("L178-",RIGHT(F271,LEN(F271) - FIND("-",F271))), _xlfn.CONCAT("L178-",RIGHT(H271,LEN(H271) - FIND("-",H271)))))</f>
        <v>L178-CARMEL</v>
      </c>
      <c r="C318" s="91" t="s">
        <v>319</v>
      </c>
      <c r="D318" s="135" t="str">
        <f>IF(G280="","L179",IF(G280&lt;I280,_xlfn.CONCAT("L179-",RIGHT(F280,LEN(F280) - FIND("-",F280))), _xlfn.CONCAT("L179-",RIGHT(H280,LEN(H280) - FIND("-",H280)))))</f>
        <v>L179-SAND CANYON RED</v>
      </c>
    </row>
    <row r="319" spans="1:4" ht="14.1" customHeight="1">
      <c r="A319" s="90" t="s">
        <v>290</v>
      </c>
      <c r="B319" s="131" t="str">
        <f>IF(G270="","W177",IF(G270&gt;I270,_xlfn.CONCAT("W177-",RIGHT(F270,LEN(F270) - FIND("-",F270))), _xlfn.CONCAT("W177-",RIGHT(H270,LEN(H270) - FIND("-",H270)))))</f>
        <v>W177-SMAC</v>
      </c>
      <c r="C319" s="91" t="s">
        <v>290</v>
      </c>
      <c r="D319" s="131" t="str">
        <f>IF(G281="","W180",IF(G281&gt;I281,_xlfn.CONCAT("W180-",RIGHT(F281,LEN(F281) - FIND("-",F281))), _xlfn.CONCAT("W180-",RIGHT(H281,LEN(H281) - FIND("-",H281)))))</f>
        <v>W180-BREA OLINDA</v>
      </c>
    </row>
    <row r="320" spans="1:4" ht="14.1" customHeight="1">
      <c r="A320" s="90" t="s">
        <v>320</v>
      </c>
      <c r="B320" s="133" t="str">
        <f>IF(G270="","L177",IF(G270&lt;I270,_xlfn.CONCAT("L177-",RIGHT(F270,LEN(F270) - FIND("-",F270))), _xlfn.CONCAT("L177-",RIGHT(H270,LEN(H270) - FIND("-",H270)))))</f>
        <v>L177-DEVILS GATE</v>
      </c>
      <c r="C320" s="91" t="s">
        <v>320</v>
      </c>
      <c r="D320" s="135" t="str">
        <f>IF(G281="","L180",IF(G281&lt;I281,_xlfn.CONCAT("L180-",RIGHT(F281,LEN(F281) - FIND("-",F281))), _xlfn.CONCAT("L180-",RIGHT(H281,LEN(H281) - FIND("-",H281)))))</f>
        <v>L180-NEWBERG</v>
      </c>
    </row>
    <row r="321" spans="1:4" ht="14.1" customHeight="1">
      <c r="A321" s="90" t="s">
        <v>293</v>
      </c>
      <c r="B321" s="131" t="str">
        <f>IF(G269="","W170",IF(G269&gt;I269,_xlfn.CONCAT("W170-",RIGHT(F269,LEN(F269) - FIND("-",F269))), _xlfn.CONCAT("W170-",RIGHT(H269,LEN(H269) - FIND("-",H269)))))</f>
        <v>W170-VANGUARD WHITE</v>
      </c>
      <c r="C321" s="91" t="s">
        <v>293</v>
      </c>
      <c r="D321" s="131" t="str">
        <f>IF(G287="","W175",IF(G287&gt;I287,_xlfn.CONCAT("W175-",RIGHT(F287,LEN(F287) - FIND("-",F287))), _xlfn.CONCAT("W175-",RIGHT(H287,LEN(H287) - FIND("-",H287)))))</f>
        <v>W175-TRILOGY B</v>
      </c>
    </row>
    <row r="322" spans="1:4" ht="14.1" customHeight="1">
      <c r="A322" s="90" t="s">
        <v>321</v>
      </c>
      <c r="B322" s="133" t="str">
        <f>IF(G269="","L170",IF(G269&lt;I269,_xlfn.CONCAT("L170-",RIGHT(F269,LEN(F269) - FIND("-",F269))), _xlfn.CONCAT("L170-",RIGHT(H269,LEN(H269) - FIND("-",H269)))))</f>
        <v>L170-CLOVIS B</v>
      </c>
      <c r="C322" s="91" t="s">
        <v>321</v>
      </c>
      <c r="D322" s="135" t="str">
        <f>IF(G287="","L175",IF(G287&lt;I287,_xlfn.CONCAT("L175-",RIGHT(F287,LEN(F287) - FIND("-",F287))), _xlfn.CONCAT("L175-",RIGHT(H287,LEN(H287) - FIND("-",H287)))))</f>
        <v>L175-SAN JOSE FOUNDATION B</v>
      </c>
    </row>
    <row r="323" spans="1:4" ht="14.1" customHeight="1">
      <c r="A323" s="90" t="s">
        <v>296</v>
      </c>
      <c r="B323" s="132" t="str">
        <f>IF(G268="","W169",IF(G268&gt;I268,_xlfn.CONCAT("W169-",RIGHT(F268,LEN(F268) - FIND("-",F268))), _xlfn.CONCAT("W169-",RIGHT(H268,LEN(H268) - FIND("-",H268)))))</f>
        <v>W169-NAVY</v>
      </c>
      <c r="C323" s="91" t="s">
        <v>296</v>
      </c>
      <c r="D323" s="132" t="str">
        <f>IF(G286="","W176",IF(G286&gt;I286,_xlfn.CONCAT("W176-",RIGHT(F286,LEN(F286) - FIND("-",F286))), _xlfn.CONCAT("W176-",RIGHT(H286,LEN(H286) - FIND("-",H286)))))</f>
        <v>W176-BROOKLYN HUSTLE</v>
      </c>
    </row>
    <row r="324" spans="1:4" ht="14.1" customHeight="1">
      <c r="A324" s="102" t="s">
        <v>322</v>
      </c>
      <c r="B324" s="132" t="str">
        <f>IF(G268="","L169",IF(G268&lt;I268,_xlfn.CONCAT("L169-",RIGHT(F268,LEN(F268) - FIND("-",F268))), _xlfn.CONCAT("L169-",RIGHT(H268,LEN(H268) - FIND("-",H268)))))</f>
        <v>L169-AMERICAN RIVER GOLD</v>
      </c>
      <c r="C324" s="101" t="s">
        <v>322</v>
      </c>
      <c r="D324" s="131" t="str">
        <f>IF(G286="","L176",IF(G286&lt;I286,_xlfn.CONCAT("L176-",RIGHT(F286,LEN(F286) - FIND("-",F286))), _xlfn.CONCAT("L176-",RIGHT(H286,LEN(H286) - FIND("-",H286)))))</f>
        <v>L176-NORCAL TEAL</v>
      </c>
    </row>
    <row r="325" spans="1:4" ht="14.1" customHeight="1">
      <c r="A325" s="102" t="s">
        <v>323</v>
      </c>
      <c r="B325" s="103" t="s">
        <v>1872</v>
      </c>
      <c r="C325" s="104" t="s">
        <v>323</v>
      </c>
      <c r="D325" s="105" t="s">
        <v>1547</v>
      </c>
    </row>
    <row r="326" spans="1:4" ht="14.1" customHeight="1">
      <c r="A326" s="102" t="s">
        <v>325</v>
      </c>
      <c r="B326" s="106" t="s">
        <v>1337</v>
      </c>
      <c r="C326" s="104" t="s">
        <v>325</v>
      </c>
      <c r="D326" s="107" t="s">
        <v>1873</v>
      </c>
    </row>
    <row r="327" spans="1:4" ht="14.1" customHeight="1">
      <c r="A327" s="102" t="s">
        <v>327</v>
      </c>
      <c r="B327" s="106" t="s">
        <v>1874</v>
      </c>
      <c r="C327" s="104" t="s">
        <v>327</v>
      </c>
      <c r="D327" s="107" t="s">
        <v>1875</v>
      </c>
    </row>
    <row r="328" spans="1:4" ht="14.1" customHeight="1">
      <c r="A328" s="102" t="s">
        <v>329</v>
      </c>
      <c r="B328" s="106" t="s">
        <v>1876</v>
      </c>
      <c r="C328" s="104" t="s">
        <v>329</v>
      </c>
      <c r="D328" s="107" t="s">
        <v>1877</v>
      </c>
    </row>
  </sheetData>
  <hyperlinks>
    <hyperlink ref="B1" r:id="rId1" xr:uid="{A716D203-A1DF-4F14-BD77-90650482FEFB}"/>
    <hyperlink ref="C1" r:id="rId2" xr:uid="{33A2ED02-4B8A-4FA3-8F40-C61DF2ED3028}"/>
    <hyperlink ref="E1" r:id="rId3" xr:uid="{9B63595E-5B3A-4CB8-AB76-A358ABAEBC05}"/>
  </hyperlinks>
  <pageMargins left="0.75" right="0.75" top="1" bottom="1" header="0.25" footer="0.5"/>
  <pageSetup fitToHeight="0" orientation="landscape" r:id="rId4"/>
  <rowBreaks count="5" manualBreakCount="5">
    <brk id="61" max="16383" man="1"/>
    <brk id="99" max="16383" man="1"/>
    <brk id="161" max="16383" man="1"/>
    <brk id="199" max="16383" man="1"/>
    <brk id="26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6CE4-C961-4D58-8D7F-A67F17DB4AE8}">
  <sheetPr>
    <tabColor rgb="FFFFABAB"/>
    <pageSetUpPr fitToPage="1"/>
  </sheetPr>
  <dimension ref="A1:N169"/>
  <sheetViews>
    <sheetView workbookViewId="0"/>
  </sheetViews>
  <sheetFormatPr defaultColWidth="12.85546875" defaultRowHeight="14.1" customHeight="1"/>
  <cols>
    <col min="1" max="1" width="22.7109375" style="1" bestFit="1" customWidth="1"/>
    <col min="2" max="2" width="23.85546875" style="1" bestFit="1" customWidth="1"/>
    <col min="3" max="3" width="33" style="1" customWidth="1"/>
    <col min="4" max="4" width="29.5703125" style="1" customWidth="1"/>
    <col min="5" max="5" width="23.7109375" style="1" bestFit="1" customWidth="1"/>
    <col min="6" max="6" width="31.85546875" style="1" bestFit="1" customWidth="1"/>
    <col min="7" max="7" width="4.28515625" style="1" customWidth="1"/>
    <col min="8" max="8" width="31.85546875" style="1" bestFit="1" customWidth="1"/>
    <col min="9" max="9" width="4" style="1" bestFit="1" customWidth="1"/>
    <col min="10" max="11" width="6.7109375" style="1" bestFit="1" customWidth="1"/>
    <col min="12" max="12" width="7.140625" style="1" bestFit="1" customWidth="1"/>
    <col min="13" max="13" width="10.28515625" style="1" customWidth="1"/>
    <col min="14" max="14" width="12.7109375" style="1" customWidth="1"/>
    <col min="15" max="15" width="9.28515625" style="1" bestFit="1" customWidth="1"/>
    <col min="16" max="16384" width="12.85546875" style="1"/>
  </cols>
  <sheetData>
    <row r="1" spans="1:12" ht="14.1" customHeight="1" thickTop="1" thickBot="1">
      <c r="A1" s="19" t="s">
        <v>68</v>
      </c>
      <c r="B1" s="52" t="s">
        <v>69</v>
      </c>
      <c r="C1" s="53" t="s">
        <v>70</v>
      </c>
      <c r="D1" s="29" t="s">
        <v>71</v>
      </c>
      <c r="E1" s="54" t="s">
        <v>72</v>
      </c>
      <c r="F1" s="20"/>
      <c r="G1" s="20"/>
      <c r="H1" s="20"/>
      <c r="I1" s="20"/>
      <c r="J1" s="20"/>
      <c r="K1" s="20"/>
      <c r="L1" s="20"/>
    </row>
    <row r="2" spans="1:12" ht="14.1" customHeight="1" thickBot="1">
      <c r="A2" s="2">
        <v>46226</v>
      </c>
      <c r="D2" s="21" t="s">
        <v>484</v>
      </c>
    </row>
    <row r="3" spans="1:12" ht="14.1" customHeight="1" thickBot="1">
      <c r="D3" s="22" t="s">
        <v>74</v>
      </c>
    </row>
    <row r="4" spans="1:12" ht="14.1" customHeight="1">
      <c r="A4" s="35" t="s">
        <v>75</v>
      </c>
      <c r="B4" s="35" t="s">
        <v>76</v>
      </c>
      <c r="C4" s="35" t="s">
        <v>77</v>
      </c>
      <c r="D4" s="35" t="s">
        <v>78</v>
      </c>
    </row>
    <row r="5" spans="1:12" ht="14.1" customHeight="1">
      <c r="A5" s="3" t="s">
        <v>1878</v>
      </c>
      <c r="B5" s="3" t="s">
        <v>1879</v>
      </c>
      <c r="C5" s="3" t="s">
        <v>1880</v>
      </c>
      <c r="D5" s="3" t="s">
        <v>1881</v>
      </c>
    </row>
    <row r="6" spans="1:12" ht="14.1" customHeight="1">
      <c r="A6" s="3" t="s">
        <v>1882</v>
      </c>
      <c r="B6" s="3" t="s">
        <v>1883</v>
      </c>
      <c r="C6" s="3" t="s">
        <v>1884</v>
      </c>
      <c r="D6" s="3" t="s">
        <v>1885</v>
      </c>
    </row>
    <row r="7" spans="1:12" ht="14.1" customHeight="1">
      <c r="A7" s="3" t="s">
        <v>1886</v>
      </c>
      <c r="B7" s="3" t="s">
        <v>1887</v>
      </c>
      <c r="C7" s="3" t="s">
        <v>1888</v>
      </c>
      <c r="D7" s="3" t="s">
        <v>1889</v>
      </c>
    </row>
    <row r="9" spans="1:12" ht="14.1" customHeight="1">
      <c r="A9" s="35" t="s">
        <v>79</v>
      </c>
      <c r="B9" s="35" t="s">
        <v>80</v>
      </c>
      <c r="C9" s="35" t="s">
        <v>100</v>
      </c>
      <c r="D9" s="35" t="s">
        <v>101</v>
      </c>
    </row>
    <row r="10" spans="1:12" ht="14.1" customHeight="1">
      <c r="A10" s="3" t="s">
        <v>1890</v>
      </c>
      <c r="B10" s="3" t="s">
        <v>1891</v>
      </c>
      <c r="C10" s="3" t="s">
        <v>1892</v>
      </c>
      <c r="D10" s="3" t="s">
        <v>1893</v>
      </c>
    </row>
    <row r="11" spans="1:12" ht="14.1" customHeight="1">
      <c r="A11" s="3" t="s">
        <v>1894</v>
      </c>
      <c r="B11" s="3" t="s">
        <v>1895</v>
      </c>
      <c r="C11" s="3" t="s">
        <v>1896</v>
      </c>
      <c r="D11" s="3" t="s">
        <v>1897</v>
      </c>
    </row>
    <row r="12" spans="1:12" ht="14.1" customHeight="1">
      <c r="A12" s="3" t="s">
        <v>1898</v>
      </c>
      <c r="B12" s="3" t="s">
        <v>1899</v>
      </c>
      <c r="C12" s="3" t="s">
        <v>1900</v>
      </c>
      <c r="D12" s="3" t="s">
        <v>1901</v>
      </c>
    </row>
    <row r="13" spans="1:12" ht="14.1" customHeight="1">
      <c r="L13" s="1" t="s">
        <v>1902</v>
      </c>
    </row>
    <row r="14" spans="1:12" ht="14.1" customHeight="1" thickBot="1"/>
    <row r="15" spans="1:12" ht="14.1" customHeight="1" thickBot="1">
      <c r="D15" s="22" t="str">
        <f>'CHICLETS MASTER S2'!$AS$3</f>
        <v>ANAHEIM HS</v>
      </c>
    </row>
    <row r="16" spans="1:12" ht="14.1" customHeight="1">
      <c r="A16" s="36" t="s">
        <v>124</v>
      </c>
      <c r="B16" s="36" t="s">
        <v>125</v>
      </c>
      <c r="C16" s="36" t="s">
        <v>126</v>
      </c>
      <c r="D16" s="36" t="s">
        <v>127</v>
      </c>
      <c r="E16" s="36" t="s">
        <v>128</v>
      </c>
      <c r="F16" s="36" t="s">
        <v>129</v>
      </c>
      <c r="G16" s="36" t="s">
        <v>130</v>
      </c>
      <c r="H16" s="36" t="s">
        <v>131</v>
      </c>
      <c r="I16" s="36" t="s">
        <v>130</v>
      </c>
      <c r="J16" s="36" t="s">
        <v>132</v>
      </c>
      <c r="K16" s="36" t="s">
        <v>133</v>
      </c>
      <c r="L16" s="36" t="s">
        <v>134</v>
      </c>
    </row>
    <row r="17" spans="1:12" ht="14.1" customHeight="1">
      <c r="A17" s="4">
        <f>$A$2</f>
        <v>46226</v>
      </c>
      <c r="B17" s="5">
        <f>'CHICLETS MASTER S2'!X4</f>
        <v>0.29166666666666669</v>
      </c>
      <c r="C17" s="6" t="s">
        <v>218</v>
      </c>
      <c r="D17" s="7" t="str">
        <f t="shared" ref="D17:D22" si="0">$D$15</f>
        <v>ANAHEIM HS</v>
      </c>
      <c r="E17" s="6">
        <v>1</v>
      </c>
      <c r="F17" s="6" t="str">
        <f>A5</f>
        <v>A1(1)-CHAWP BLUE</v>
      </c>
      <c r="G17" s="6"/>
      <c r="H17" s="6" t="str">
        <f>A7</f>
        <v>A3(17)-TRI VALLEY TRITONS</v>
      </c>
      <c r="I17" s="6"/>
      <c r="J17" s="6"/>
      <c r="K17" s="6"/>
      <c r="L17" s="6" t="str">
        <f>IF(E17="","",$L$13&amp;"-"&amp;TEXT(E17,"000"))</f>
        <v>18BQ-001</v>
      </c>
    </row>
    <row r="18" spans="1:12" ht="14.1" customHeight="1">
      <c r="A18" s="4">
        <f t="shared" ref="A18:A30" si="1">$A$2</f>
        <v>46226</v>
      </c>
      <c r="B18" s="5">
        <f>'CHICLETS MASTER S2'!X5</f>
        <v>0.3263888888888889</v>
      </c>
      <c r="C18" s="6" t="s">
        <v>218</v>
      </c>
      <c r="D18" s="7" t="str">
        <f t="shared" si="0"/>
        <v>ANAHEIM HS</v>
      </c>
      <c r="E18" s="6">
        <v>3</v>
      </c>
      <c r="F18" s="6" t="str">
        <f>D10</f>
        <v>H1(8)-SOUTH COUNTY</v>
      </c>
      <c r="G18" s="6"/>
      <c r="H18" s="6" t="str">
        <f>D12</f>
        <v>H3(24)-VALLEY UNITED</v>
      </c>
      <c r="I18" s="6"/>
      <c r="J18" s="6"/>
      <c r="K18" s="6"/>
      <c r="L18" s="6" t="str">
        <f t="shared" ref="L18:L33" si="2">IF(E18="","",$L$13&amp;"-"&amp;TEXT(E18,"000"))</f>
        <v>18BQ-003</v>
      </c>
    </row>
    <row r="19" spans="1:12" ht="14.1" customHeight="1">
      <c r="A19" s="4">
        <f t="shared" si="1"/>
        <v>46226</v>
      </c>
      <c r="B19" s="5">
        <f>'CHICLETS MASTER S2'!X6</f>
        <v>0.36111111111111099</v>
      </c>
      <c r="C19" s="6" t="s">
        <v>218</v>
      </c>
      <c r="D19" s="7" t="str">
        <f t="shared" si="0"/>
        <v>ANAHEIM HS</v>
      </c>
      <c r="E19" s="6">
        <v>5</v>
      </c>
      <c r="F19" s="6" t="str">
        <f>B5</f>
        <v>B1(2)-TROJAN GOLD</v>
      </c>
      <c r="G19" s="6"/>
      <c r="H19" s="6" t="str">
        <f>B7</f>
        <v>B3(18)-AMP</v>
      </c>
      <c r="I19" s="6"/>
      <c r="J19" s="6"/>
      <c r="K19" s="6"/>
      <c r="L19" s="6" t="str">
        <f t="shared" si="2"/>
        <v>18BQ-005</v>
      </c>
    </row>
    <row r="20" spans="1:12" ht="14.1" customHeight="1">
      <c r="A20" s="4">
        <f t="shared" si="1"/>
        <v>46226</v>
      </c>
      <c r="B20" s="5">
        <f>'CHICLETS MASTER S2'!X7</f>
        <v>0.39583333333333398</v>
      </c>
      <c r="C20" s="6" t="s">
        <v>218</v>
      </c>
      <c r="D20" s="7" t="str">
        <f t="shared" si="0"/>
        <v>ANAHEIM HS</v>
      </c>
      <c r="E20" s="6">
        <v>7</v>
      </c>
      <c r="F20" s="6" t="str">
        <f>C10</f>
        <v>G1(7)-SACRAMENTO</v>
      </c>
      <c r="G20" s="6"/>
      <c r="H20" s="6" t="str">
        <f>C12</f>
        <v>G3(23)-SFV</v>
      </c>
      <c r="I20" s="6"/>
      <c r="J20" s="6"/>
      <c r="K20" s="6"/>
      <c r="L20" s="6" t="str">
        <f t="shared" si="2"/>
        <v>18BQ-007</v>
      </c>
    </row>
    <row r="21" spans="1:12" ht="14.1" customHeight="1">
      <c r="A21" s="4">
        <f t="shared" si="1"/>
        <v>46226</v>
      </c>
      <c r="B21" s="5">
        <f>'CHICLETS MASTER S2'!X8</f>
        <v>0.43055555555555602</v>
      </c>
      <c r="C21" s="6" t="s">
        <v>218</v>
      </c>
      <c r="D21" s="7" t="str">
        <f t="shared" si="0"/>
        <v>ANAHEIM HS</v>
      </c>
      <c r="E21" s="6">
        <v>9</v>
      </c>
      <c r="F21" s="6" t="str">
        <f>A6</f>
        <v>A2(16)-NGEN</v>
      </c>
      <c r="G21" s="6"/>
      <c r="H21" s="6" t="str">
        <f>A7</f>
        <v>A3(17)-TRI VALLEY TRITONS</v>
      </c>
      <c r="I21" s="6"/>
      <c r="J21" s="6"/>
      <c r="K21" s="6"/>
      <c r="L21" s="6" t="str">
        <f t="shared" si="2"/>
        <v>18BQ-009</v>
      </c>
    </row>
    <row r="22" spans="1:12" ht="14.1" customHeight="1">
      <c r="A22" s="4">
        <f t="shared" si="1"/>
        <v>46226</v>
      </c>
      <c r="B22" s="5">
        <f>'CHICLETS MASTER S2'!X9</f>
        <v>0.46527777777777801</v>
      </c>
      <c r="C22" s="6" t="s">
        <v>218</v>
      </c>
      <c r="D22" s="7" t="str">
        <f t="shared" si="0"/>
        <v>ANAHEIM HS</v>
      </c>
      <c r="E22" s="6">
        <v>11</v>
      </c>
      <c r="F22" s="6" t="str">
        <f>D11</f>
        <v>H2(9)-ROUTE 66</v>
      </c>
      <c r="G22" s="8"/>
      <c r="H22" s="6" t="str">
        <f>D12</f>
        <v>H3(24)-VALLEY UNITED</v>
      </c>
      <c r="I22" s="8"/>
      <c r="J22" s="6"/>
      <c r="K22" s="6"/>
      <c r="L22" s="6" t="str">
        <f t="shared" si="2"/>
        <v>18BQ-011</v>
      </c>
    </row>
    <row r="23" spans="1:12" ht="14.1" customHeight="1" thickBot="1">
      <c r="A23" s="9"/>
      <c r="B23" s="10"/>
    </row>
    <row r="24" spans="1:12" ht="14.1" customHeight="1" thickBot="1">
      <c r="B24" s="27" t="s">
        <v>1903</v>
      </c>
      <c r="D24" s="22" t="s">
        <v>1904</v>
      </c>
    </row>
    <row r="25" spans="1:12" ht="14.1" customHeight="1">
      <c r="A25" s="36" t="s">
        <v>124</v>
      </c>
      <c r="B25" s="36" t="s">
        <v>125</v>
      </c>
      <c r="C25" s="36" t="s">
        <v>126</v>
      </c>
      <c r="D25" s="36" t="s">
        <v>127</v>
      </c>
      <c r="E25" s="36" t="s">
        <v>128</v>
      </c>
      <c r="F25" s="36" t="s">
        <v>129</v>
      </c>
      <c r="G25" s="36" t="s">
        <v>130</v>
      </c>
      <c r="H25" s="36" t="s">
        <v>131</v>
      </c>
      <c r="I25" s="36" t="s">
        <v>130</v>
      </c>
      <c r="J25" s="36" t="s">
        <v>132</v>
      </c>
      <c r="K25" s="36" t="s">
        <v>133</v>
      </c>
      <c r="L25" s="36" t="s">
        <v>134</v>
      </c>
    </row>
    <row r="26" spans="1:12" ht="14.1" customHeight="1">
      <c r="A26" s="4">
        <f t="shared" si="1"/>
        <v>46226</v>
      </c>
      <c r="B26" s="33">
        <v>0.54166666666666663</v>
      </c>
      <c r="C26" s="6" t="s">
        <v>218</v>
      </c>
      <c r="D26" s="7" t="str">
        <f>$D$24</f>
        <v>SADDLEBACK COLLEGE</v>
      </c>
      <c r="E26" s="6">
        <v>13</v>
      </c>
      <c r="F26" s="6" t="str">
        <f>B6</f>
        <v>B2(15)-KERN PREMIER</v>
      </c>
      <c r="G26" s="6"/>
      <c r="H26" s="6" t="str">
        <f>B7</f>
        <v>B3(18)-AMP</v>
      </c>
      <c r="I26" s="6"/>
      <c r="J26" s="6"/>
      <c r="K26" s="6"/>
      <c r="L26" s="6" t="str">
        <f t="shared" si="2"/>
        <v>18BQ-013</v>
      </c>
    </row>
    <row r="27" spans="1:12" ht="14.1" customHeight="1">
      <c r="A27" s="4">
        <f t="shared" si="1"/>
        <v>46226</v>
      </c>
      <c r="B27" s="33">
        <v>0.57638888888888884</v>
      </c>
      <c r="C27" s="6" t="s">
        <v>218</v>
      </c>
      <c r="D27" s="7" t="str">
        <f>$D$24</f>
        <v>SADDLEBACK COLLEGE</v>
      </c>
      <c r="E27" s="6">
        <v>15</v>
      </c>
      <c r="F27" s="6" t="str">
        <f>C11</f>
        <v>G2(10)-BIG VALLEY</v>
      </c>
      <c r="G27" s="6"/>
      <c r="H27" s="6" t="str">
        <f>C12</f>
        <v>G3(23)-SFV</v>
      </c>
      <c r="I27" s="6"/>
      <c r="J27" s="6"/>
      <c r="K27" s="6"/>
      <c r="L27" s="6" t="str">
        <f t="shared" si="2"/>
        <v>18BQ-015</v>
      </c>
    </row>
    <row r="28" spans="1:12" ht="14.1" customHeight="1">
      <c r="A28" s="4">
        <f t="shared" si="1"/>
        <v>46226</v>
      </c>
      <c r="B28" s="33">
        <v>0.61111111111111105</v>
      </c>
      <c r="C28" s="6" t="s">
        <v>218</v>
      </c>
      <c r="D28" s="7" t="str">
        <f>$D$24</f>
        <v>SADDLEBACK COLLEGE</v>
      </c>
      <c r="E28" s="6">
        <v>17</v>
      </c>
      <c r="F28" s="6" t="str">
        <f>A5</f>
        <v>A1(1)-CHAWP BLUE</v>
      </c>
      <c r="G28" s="6"/>
      <c r="H28" s="6" t="str">
        <f>A6</f>
        <v>A2(16)-NGEN</v>
      </c>
      <c r="I28" s="6"/>
      <c r="J28" s="6"/>
      <c r="K28" s="6"/>
      <c r="L28" s="6" t="str">
        <f t="shared" si="2"/>
        <v>18BQ-017</v>
      </c>
    </row>
    <row r="29" spans="1:12" ht="14.1" customHeight="1">
      <c r="A29" s="4">
        <f t="shared" si="1"/>
        <v>46226</v>
      </c>
      <c r="B29" s="33">
        <v>0.64583333333333404</v>
      </c>
      <c r="C29" s="6" t="s">
        <v>218</v>
      </c>
      <c r="D29" s="7" t="str">
        <f>$D$24</f>
        <v>SADDLEBACK COLLEGE</v>
      </c>
      <c r="E29" s="6">
        <v>19</v>
      </c>
      <c r="F29" s="6" t="str">
        <f>D10</f>
        <v>H1(8)-SOUTH COUNTY</v>
      </c>
      <c r="G29" s="37"/>
      <c r="H29" s="6" t="str">
        <f>D11</f>
        <v>H2(9)-ROUTE 66</v>
      </c>
      <c r="I29" s="6"/>
      <c r="J29" s="6"/>
      <c r="K29" s="6"/>
      <c r="L29" s="6" t="str">
        <f t="shared" si="2"/>
        <v>18BQ-019</v>
      </c>
    </row>
    <row r="30" spans="1:12" ht="14.1" customHeight="1">
      <c r="A30" s="4">
        <f t="shared" si="1"/>
        <v>46226</v>
      </c>
      <c r="B30" s="33">
        <v>0.68055555555555602</v>
      </c>
      <c r="C30" s="6" t="s">
        <v>218</v>
      </c>
      <c r="D30" s="7" t="str">
        <f>$D$24</f>
        <v>SADDLEBACK COLLEGE</v>
      </c>
      <c r="E30" s="6">
        <v>21</v>
      </c>
      <c r="F30" s="6" t="str">
        <f>B5</f>
        <v>B1(2)-TROJAN GOLD</v>
      </c>
      <c r="G30" s="6"/>
      <c r="H30" s="6" t="str">
        <f>B6</f>
        <v>B2(15)-KERN PREMIER</v>
      </c>
      <c r="I30" s="6"/>
      <c r="J30" s="6"/>
      <c r="K30" s="6"/>
      <c r="L30" s="6" t="str">
        <f t="shared" si="2"/>
        <v>18BQ-021</v>
      </c>
    </row>
    <row r="31" spans="1:12" ht="14.1" customHeight="1">
      <c r="B31" s="1" t="s">
        <v>139</v>
      </c>
    </row>
    <row r="32" spans="1:12" ht="14.1" customHeight="1">
      <c r="A32" s="4">
        <f>$A$2</f>
        <v>46226</v>
      </c>
      <c r="B32" s="33">
        <v>0.75</v>
      </c>
      <c r="C32" s="6" t="s">
        <v>218</v>
      </c>
      <c r="D32" s="7" t="str">
        <f>$D$24</f>
        <v>SADDLEBACK COLLEGE</v>
      </c>
      <c r="E32" s="6">
        <v>23</v>
      </c>
      <c r="F32" s="6" t="str">
        <f>C10</f>
        <v>G1(7)-SACRAMENTO</v>
      </c>
      <c r="G32" s="6"/>
      <c r="H32" s="6" t="str">
        <f>C11</f>
        <v>G2(10)-BIG VALLEY</v>
      </c>
      <c r="I32" s="6"/>
      <c r="J32" s="6"/>
      <c r="K32" s="6"/>
      <c r="L32" s="6" t="str">
        <f>IF(E32="","",$L$13&amp;"-"&amp;TEXT(E32,"000"))</f>
        <v>18BQ-023</v>
      </c>
    </row>
    <row r="33" spans="1:12" ht="14.1" customHeight="1">
      <c r="A33" s="4">
        <f>$A$2</f>
        <v>46226</v>
      </c>
      <c r="B33" s="33">
        <v>0.78472222222222199</v>
      </c>
      <c r="C33" s="6" t="s">
        <v>1905</v>
      </c>
      <c r="D33" s="7" t="str">
        <f>$D$24</f>
        <v>SADDLEBACK COLLEGE</v>
      </c>
      <c r="E33" s="6">
        <v>25</v>
      </c>
      <c r="F33" s="6" t="s">
        <v>1906</v>
      </c>
      <c r="G33" s="6"/>
      <c r="H33" s="6" t="s">
        <v>1907</v>
      </c>
      <c r="I33" s="6"/>
      <c r="J33" s="6" t="s">
        <v>1908</v>
      </c>
      <c r="K33" s="6" t="s">
        <v>1909</v>
      </c>
      <c r="L33" s="6" t="str">
        <f t="shared" si="2"/>
        <v>18BQ-025</v>
      </c>
    </row>
    <row r="34" spans="1:12" ht="14.1" customHeight="1">
      <c r="A34" s="4">
        <f>$A$2</f>
        <v>46226</v>
      </c>
      <c r="B34" s="33">
        <v>0.81944444444444497</v>
      </c>
      <c r="C34" s="6" t="s">
        <v>1905</v>
      </c>
      <c r="D34" s="7" t="str">
        <f>$D$24</f>
        <v>SADDLEBACK COLLEGE</v>
      </c>
      <c r="E34" s="6">
        <v>27</v>
      </c>
      <c r="F34" s="6" t="s">
        <v>1910</v>
      </c>
      <c r="G34" s="6"/>
      <c r="H34" s="6" t="s">
        <v>1911</v>
      </c>
      <c r="I34" s="6"/>
      <c r="J34" s="6" t="s">
        <v>1912</v>
      </c>
      <c r="K34" s="6" t="s">
        <v>1913</v>
      </c>
      <c r="L34" s="6" t="str">
        <f>IF(E34="","",$L$13&amp;"-"&amp;TEXT(E34,"000"))</f>
        <v>18BQ-027</v>
      </c>
    </row>
    <row r="36" spans="1:12" ht="14.1" customHeight="1" thickBot="1">
      <c r="A36" s="9"/>
      <c r="B36" s="10"/>
    </row>
    <row r="37" spans="1:12" ht="14.1" customHeight="1" thickBot="1">
      <c r="D37" s="22" t="str">
        <f>'CHICLETS MASTER S2'!$AT$3</f>
        <v>LA SERNA HS</v>
      </c>
    </row>
    <row r="38" spans="1:12" ht="14.1" customHeight="1">
      <c r="A38" s="36" t="s">
        <v>124</v>
      </c>
      <c r="B38" s="36" t="s">
        <v>125</v>
      </c>
      <c r="C38" s="36" t="s">
        <v>126</v>
      </c>
      <c r="D38" s="36" t="s">
        <v>127</v>
      </c>
      <c r="E38" s="36" t="s">
        <v>128</v>
      </c>
      <c r="F38" s="36" t="s">
        <v>129</v>
      </c>
      <c r="G38" s="36" t="s">
        <v>130</v>
      </c>
      <c r="H38" s="36" t="s">
        <v>131</v>
      </c>
      <c r="I38" s="36" t="s">
        <v>130</v>
      </c>
      <c r="J38" s="36" t="s">
        <v>132</v>
      </c>
      <c r="K38" s="36" t="s">
        <v>133</v>
      </c>
      <c r="L38" s="36" t="s">
        <v>134</v>
      </c>
    </row>
    <row r="39" spans="1:12" ht="14.1" customHeight="1">
      <c r="A39" s="4">
        <f t="shared" ref="A39:A50" si="3">$A$2</f>
        <v>46226</v>
      </c>
      <c r="B39" s="5">
        <f>'CHICLETS MASTER S2'!X4</f>
        <v>0.29166666666666669</v>
      </c>
      <c r="C39" s="6" t="s">
        <v>218</v>
      </c>
      <c r="D39" s="7" t="str">
        <f>$D$37</f>
        <v>LA SERNA HS</v>
      </c>
      <c r="E39" s="6">
        <v>2</v>
      </c>
      <c r="F39" s="6" t="str">
        <f>C5</f>
        <v>C1(3)-TEAM SANTA MONICA</v>
      </c>
      <c r="G39" s="6"/>
      <c r="H39" s="6" t="str">
        <f>C7</f>
        <v>C3(19)-SAN JOSE ALMADEN</v>
      </c>
      <c r="I39" s="6"/>
      <c r="J39" s="6"/>
      <c r="K39" s="6"/>
      <c r="L39" s="6" t="str">
        <f t="shared" ref="L39:L50" si="4">IF(E39="","",$L$13&amp;"-"&amp;TEXT(E39,"000"))</f>
        <v>18BQ-002</v>
      </c>
    </row>
    <row r="40" spans="1:12" ht="14.1" customHeight="1">
      <c r="A40" s="4">
        <f t="shared" si="3"/>
        <v>46226</v>
      </c>
      <c r="B40" s="5">
        <f>'CHICLETS MASTER S2'!X5</f>
        <v>0.3263888888888889</v>
      </c>
      <c r="C40" s="6" t="s">
        <v>218</v>
      </c>
      <c r="D40" s="7" t="str">
        <f t="shared" ref="D40:D53" si="5">$D$37</f>
        <v>LA SERNA HS</v>
      </c>
      <c r="E40" s="6">
        <v>4</v>
      </c>
      <c r="F40" s="6" t="str">
        <f>B10</f>
        <v>F1(6)-YETI</v>
      </c>
      <c r="G40" s="6"/>
      <c r="H40" s="23" t="str">
        <f>B12</f>
        <v>F3(22)-ECA</v>
      </c>
      <c r="I40" s="6"/>
      <c r="J40" s="6"/>
      <c r="K40" s="6"/>
      <c r="L40" s="6" t="str">
        <f t="shared" si="4"/>
        <v>18BQ-004</v>
      </c>
    </row>
    <row r="41" spans="1:12" ht="14.1" customHeight="1">
      <c r="A41" s="4">
        <f t="shared" si="3"/>
        <v>46226</v>
      </c>
      <c r="B41" s="5">
        <f>'CHICLETS MASTER S2'!X6</f>
        <v>0.36111111111111099</v>
      </c>
      <c r="C41" s="6" t="s">
        <v>218</v>
      </c>
      <c r="D41" s="7" t="str">
        <f t="shared" si="5"/>
        <v>LA SERNA HS</v>
      </c>
      <c r="E41" s="6">
        <v>6</v>
      </c>
      <c r="F41" s="6" t="str">
        <f>D5</f>
        <v>D1(4)-NSD STARS</v>
      </c>
      <c r="G41" s="6"/>
      <c r="H41" s="6" t="str">
        <f>D7</f>
        <v>D3(20)-TRILOGY</v>
      </c>
      <c r="I41" s="6"/>
      <c r="J41" s="6"/>
      <c r="K41" s="6"/>
      <c r="L41" s="6" t="str">
        <f t="shared" si="4"/>
        <v>18BQ-006</v>
      </c>
    </row>
    <row r="42" spans="1:12" ht="14.1" customHeight="1">
      <c r="A42" s="4">
        <f t="shared" si="3"/>
        <v>46226</v>
      </c>
      <c r="B42" s="5">
        <f>'CHICLETS MASTER S2'!X7</f>
        <v>0.39583333333333398</v>
      </c>
      <c r="C42" s="6" t="s">
        <v>218</v>
      </c>
      <c r="D42" s="7" t="str">
        <f t="shared" si="5"/>
        <v>LA SERNA HS</v>
      </c>
      <c r="E42" s="6">
        <v>8</v>
      </c>
      <c r="F42" s="6" t="str">
        <f>A10</f>
        <v>E1(5)-FOOTHILL BLACK B</v>
      </c>
      <c r="G42" s="6"/>
      <c r="H42" s="6" t="str">
        <f>A12</f>
        <v>E3(21)-TUALATIN HILLS</v>
      </c>
      <c r="I42" s="6"/>
      <c r="J42" s="6"/>
      <c r="K42" s="6"/>
      <c r="L42" s="6" t="str">
        <f t="shared" si="4"/>
        <v>18BQ-008</v>
      </c>
    </row>
    <row r="43" spans="1:12" ht="14.1" customHeight="1">
      <c r="A43" s="4">
        <f t="shared" si="3"/>
        <v>46226</v>
      </c>
      <c r="B43" s="5">
        <f>'CHICLETS MASTER S2'!X8</f>
        <v>0.43055555555555602</v>
      </c>
      <c r="C43" s="6" t="s">
        <v>218</v>
      </c>
      <c r="D43" s="7" t="str">
        <f t="shared" si="5"/>
        <v>LA SERNA HS</v>
      </c>
      <c r="E43" s="6">
        <v>10</v>
      </c>
      <c r="F43" s="6" t="str">
        <f>C6</f>
        <v>C2(14)-LAMORINDA BRENTWOOD</v>
      </c>
      <c r="G43" s="6"/>
      <c r="H43" s="6" t="str">
        <f>C7</f>
        <v>C3(19)-SAN JOSE ALMADEN</v>
      </c>
      <c r="I43" s="6"/>
      <c r="J43" s="6"/>
      <c r="K43" s="6"/>
      <c r="L43" s="6" t="str">
        <f t="shared" si="4"/>
        <v>18BQ-010</v>
      </c>
    </row>
    <row r="44" spans="1:12" ht="14.1" customHeight="1">
      <c r="A44" s="4">
        <f t="shared" si="3"/>
        <v>46226</v>
      </c>
      <c r="B44" s="5">
        <f>'CHICLETS MASTER S2'!X9</f>
        <v>0.46527777777777801</v>
      </c>
      <c r="C44" s="6" t="s">
        <v>218</v>
      </c>
      <c r="D44" s="7" t="str">
        <f t="shared" si="5"/>
        <v>LA SERNA HS</v>
      </c>
      <c r="E44" s="6">
        <v>12</v>
      </c>
      <c r="F44" s="6" t="str">
        <f>B11</f>
        <v>F2(11)-PAC ORANGE</v>
      </c>
      <c r="G44" s="6"/>
      <c r="H44" s="6" t="str">
        <f>B12</f>
        <v>F3(22)-ECA</v>
      </c>
      <c r="I44" s="6"/>
      <c r="J44" s="6"/>
      <c r="K44" s="6"/>
      <c r="L44" s="6" t="str">
        <f t="shared" si="4"/>
        <v>18BQ-012</v>
      </c>
    </row>
    <row r="45" spans="1:12" ht="14.1" customHeight="1">
      <c r="A45" s="4">
        <f t="shared" si="3"/>
        <v>46226</v>
      </c>
      <c r="B45" s="5">
        <f>'CHICLETS MASTER S2'!X10</f>
        <v>0.5</v>
      </c>
      <c r="C45" s="6" t="s">
        <v>218</v>
      </c>
      <c r="D45" s="7" t="str">
        <f t="shared" si="5"/>
        <v>LA SERNA HS</v>
      </c>
      <c r="E45" s="6">
        <v>14</v>
      </c>
      <c r="F45" s="6" t="str">
        <f>D6</f>
        <v>D2(13)-SOVA</v>
      </c>
      <c r="G45" s="6"/>
      <c r="H45" s="6" t="str">
        <f>D7</f>
        <v>D3(20)-TRILOGY</v>
      </c>
      <c r="I45" s="12"/>
      <c r="J45" s="6"/>
      <c r="K45" s="6"/>
      <c r="L45" s="6" t="str">
        <f t="shared" si="4"/>
        <v>18BQ-014</v>
      </c>
    </row>
    <row r="46" spans="1:12" ht="14.1" customHeight="1">
      <c r="A46" s="4">
        <f t="shared" si="3"/>
        <v>46226</v>
      </c>
      <c r="B46" s="5">
        <f>'CHICLETS MASTER S2'!X11</f>
        <v>0.53472222222222199</v>
      </c>
      <c r="C46" s="6" t="s">
        <v>218</v>
      </c>
      <c r="D46" s="7" t="str">
        <f t="shared" si="5"/>
        <v>LA SERNA HS</v>
      </c>
      <c r="E46" s="6">
        <v>16</v>
      </c>
      <c r="F46" s="6" t="str">
        <f>A11</f>
        <v>E2(12)-TRI VALLEY</v>
      </c>
      <c r="G46" s="6"/>
      <c r="H46" s="6" t="str">
        <f>A12</f>
        <v>E3(21)-TUALATIN HILLS</v>
      </c>
      <c r="I46" s="6"/>
      <c r="J46" s="6"/>
      <c r="K46" s="6"/>
      <c r="L46" s="6" t="str">
        <f t="shared" si="4"/>
        <v>18BQ-016</v>
      </c>
    </row>
    <row r="47" spans="1:12" ht="14.1" customHeight="1">
      <c r="A47" s="4">
        <f t="shared" si="3"/>
        <v>46226</v>
      </c>
      <c r="B47" s="5">
        <f>'CHICLETS MASTER S2'!X12</f>
        <v>0.56944444444444497</v>
      </c>
      <c r="C47" s="6" t="s">
        <v>218</v>
      </c>
      <c r="D47" s="7" t="str">
        <f t="shared" si="5"/>
        <v>LA SERNA HS</v>
      </c>
      <c r="E47" s="6">
        <v>18</v>
      </c>
      <c r="F47" s="6" t="str">
        <f>C5</f>
        <v>C1(3)-TEAM SANTA MONICA</v>
      </c>
      <c r="G47" s="6"/>
      <c r="H47" s="6" t="str">
        <f>C6</f>
        <v>C2(14)-LAMORINDA BRENTWOOD</v>
      </c>
      <c r="I47" s="6"/>
      <c r="J47" s="6"/>
      <c r="K47" s="6"/>
      <c r="L47" s="6" t="str">
        <f t="shared" si="4"/>
        <v>18BQ-018</v>
      </c>
    </row>
    <row r="48" spans="1:12" ht="14.1" customHeight="1">
      <c r="A48" s="4">
        <f t="shared" si="3"/>
        <v>46226</v>
      </c>
      <c r="B48" s="5">
        <f>'CHICLETS MASTER S2'!X13</f>
        <v>0.60416666666666696</v>
      </c>
      <c r="C48" s="6" t="s">
        <v>218</v>
      </c>
      <c r="D48" s="7" t="str">
        <f t="shared" si="5"/>
        <v>LA SERNA HS</v>
      </c>
      <c r="E48" s="6">
        <v>20</v>
      </c>
      <c r="F48" s="6" t="str">
        <f>B10</f>
        <v>F1(6)-YETI</v>
      </c>
      <c r="G48" s="6"/>
      <c r="H48" s="6" t="str">
        <f>B11</f>
        <v>F2(11)-PAC ORANGE</v>
      </c>
      <c r="I48" s="6"/>
      <c r="J48" s="6"/>
      <c r="K48" s="6"/>
      <c r="L48" s="6" t="str">
        <f t="shared" si="4"/>
        <v>18BQ-020</v>
      </c>
    </row>
    <row r="49" spans="1:12" ht="14.1" customHeight="1">
      <c r="A49" s="4">
        <f t="shared" si="3"/>
        <v>46226</v>
      </c>
      <c r="B49" s="5">
        <f>'CHICLETS MASTER S2'!X14</f>
        <v>0.63888888888888895</v>
      </c>
      <c r="C49" s="6" t="s">
        <v>218</v>
      </c>
      <c r="D49" s="7" t="str">
        <f t="shared" si="5"/>
        <v>LA SERNA HS</v>
      </c>
      <c r="E49" s="6">
        <v>22</v>
      </c>
      <c r="F49" s="6" t="str">
        <f>D5</f>
        <v>D1(4)-NSD STARS</v>
      </c>
      <c r="G49" s="6"/>
      <c r="H49" s="6" t="str">
        <f>D6</f>
        <v>D2(13)-SOVA</v>
      </c>
      <c r="I49" s="6"/>
      <c r="J49" s="6"/>
      <c r="K49" s="6"/>
      <c r="L49" s="6" t="str">
        <f t="shared" si="4"/>
        <v>18BQ-022</v>
      </c>
    </row>
    <row r="50" spans="1:12" ht="14.1" customHeight="1">
      <c r="A50" s="4">
        <f t="shared" si="3"/>
        <v>46226</v>
      </c>
      <c r="B50" s="5">
        <f>'CHICLETS MASTER S2'!X15</f>
        <v>0.67361111111111105</v>
      </c>
      <c r="C50" s="6" t="s">
        <v>218</v>
      </c>
      <c r="D50" s="7" t="str">
        <f t="shared" si="5"/>
        <v>LA SERNA HS</v>
      </c>
      <c r="E50" s="6">
        <v>24</v>
      </c>
      <c r="F50" s="6" t="str">
        <f>A10</f>
        <v>E1(5)-FOOTHILL BLACK B</v>
      </c>
      <c r="G50" s="6"/>
      <c r="H50" s="6" t="str">
        <f>A11</f>
        <v>E2(12)-TRI VALLEY</v>
      </c>
      <c r="I50" s="6"/>
      <c r="J50" s="6"/>
      <c r="K50" s="6"/>
      <c r="L50" s="6" t="str">
        <f t="shared" si="4"/>
        <v>18BQ-024</v>
      </c>
    </row>
    <row r="51" spans="1:12" ht="14.1" customHeight="1">
      <c r="B51" s="1" t="s">
        <v>139</v>
      </c>
    </row>
    <row r="52" spans="1:12" ht="14.1" customHeight="1">
      <c r="A52" s="4">
        <f t="shared" ref="A52:A53" si="6">$A$2</f>
        <v>46226</v>
      </c>
      <c r="B52" s="5">
        <f>'CHICLETS MASTER S2'!X17</f>
        <v>0.74305555555555602</v>
      </c>
      <c r="C52" s="6" t="s">
        <v>1905</v>
      </c>
      <c r="D52" s="7" t="str">
        <f t="shared" si="5"/>
        <v>LA SERNA HS</v>
      </c>
      <c r="E52" s="6">
        <v>26</v>
      </c>
      <c r="F52" s="6" t="s">
        <v>1914</v>
      </c>
      <c r="G52" s="6"/>
      <c r="H52" s="6" t="s">
        <v>1915</v>
      </c>
      <c r="I52" s="6"/>
      <c r="J52" s="6" t="s">
        <v>1916</v>
      </c>
      <c r="K52" s="6" t="s">
        <v>1917</v>
      </c>
      <c r="L52" s="6" t="str">
        <f>IF(E52="","",$L$13&amp;"-"&amp;TEXT(E52,"000"))</f>
        <v>18BQ-026</v>
      </c>
    </row>
    <row r="53" spans="1:12" ht="14.1" customHeight="1">
      <c r="A53" s="4">
        <f t="shared" si="6"/>
        <v>46226</v>
      </c>
      <c r="B53" s="5">
        <f>'CHICLETS MASTER S2'!X18</f>
        <v>0.77777777777777801</v>
      </c>
      <c r="C53" s="6" t="s">
        <v>1905</v>
      </c>
      <c r="D53" s="7" t="str">
        <f t="shared" si="5"/>
        <v>LA SERNA HS</v>
      </c>
      <c r="E53" s="6">
        <v>28</v>
      </c>
      <c r="F53" s="6" t="s">
        <v>1918</v>
      </c>
      <c r="G53" s="8"/>
      <c r="H53" s="6" t="s">
        <v>1919</v>
      </c>
      <c r="I53" s="8"/>
      <c r="J53" s="6" t="s">
        <v>1920</v>
      </c>
      <c r="K53" s="6" t="s">
        <v>1921</v>
      </c>
      <c r="L53" s="6" t="str">
        <f>IF(E53="","",$L$13&amp;"-"&amp;TEXT(E53,"000"))</f>
        <v>18BQ-028</v>
      </c>
    </row>
    <row r="54" spans="1:12" ht="14.1" customHeight="1" thickBot="1"/>
    <row r="55" spans="1:12" ht="14.1" customHeight="1" thickTop="1" thickBot="1">
      <c r="A55" s="19" t="s">
        <v>196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</row>
    <row r="56" spans="1:12" ht="14.1" customHeight="1">
      <c r="A56" s="2">
        <v>46227</v>
      </c>
    </row>
    <row r="57" spans="1:12" ht="14.1" customHeight="1">
      <c r="B57" s="30" t="s">
        <v>1637</v>
      </c>
    </row>
    <row r="58" spans="1:12" ht="14.1" customHeight="1">
      <c r="B58" s="24" t="s">
        <v>1922</v>
      </c>
      <c r="C58" s="24" t="s">
        <v>1923</v>
      </c>
      <c r="D58" s="24" t="s">
        <v>1924</v>
      </c>
      <c r="E58" s="24" t="s">
        <v>1925</v>
      </c>
    </row>
    <row r="59" spans="1:12" ht="14.1" customHeight="1">
      <c r="A59" s="1">
        <v>1</v>
      </c>
      <c r="B59" s="3" t="s">
        <v>1926</v>
      </c>
      <c r="C59" s="3" t="s">
        <v>1927</v>
      </c>
      <c r="D59" s="3" t="s">
        <v>1928</v>
      </c>
      <c r="E59" s="3" t="s">
        <v>1929</v>
      </c>
    </row>
    <row r="60" spans="1:12" ht="14.1" customHeight="1">
      <c r="A60" s="1">
        <v>2</v>
      </c>
      <c r="B60" s="3" t="s">
        <v>1930</v>
      </c>
      <c r="C60" s="3" t="s">
        <v>1931</v>
      </c>
      <c r="D60" s="3" t="s">
        <v>1932</v>
      </c>
      <c r="E60" s="3" t="s">
        <v>1933</v>
      </c>
    </row>
    <row r="61" spans="1:12" ht="14.1" customHeight="1">
      <c r="A61" s="1">
        <v>3</v>
      </c>
      <c r="B61" s="3" t="str">
        <f>IF(G52="","W26",IF(G52&gt;I52,_xlfn.CONCAT("W26-",RIGHT(F52,LEN(F52)-FIND("-",F52))),_xlfn.CONCAT("W26-",RIGHT(H52,LEN(H52)-FIND("-",H52)))))</f>
        <v>W26</v>
      </c>
      <c r="C61" s="3" t="str">
        <f>IF(G53="","W28",IF(G53&gt;I53,_xlfn.CONCAT("W28-",RIGHT(F53,LEN(F53)-FIND("-",F53))),_xlfn.CONCAT("W28-",RIGHT(H53,LEN(H53)-FIND("-",H53)))))</f>
        <v>W28</v>
      </c>
      <c r="D61" s="3" t="str">
        <f>IF(G33="","W25",IF(G33&gt;I33,_xlfn.CONCAT("W25-",RIGHT(F33,LEN(F33)-FIND("-",F33))),_xlfn.CONCAT("W25-",RIGHT(H33,LEN(H33)-FIND("-",H33)))))</f>
        <v>W25</v>
      </c>
      <c r="E61" s="3" t="str">
        <f>IF(G34="","W27",IF(G34&gt;I34,_xlfn.CONCAT("W27-",RIGHT(F34,LEN(F34)-FIND("-",F34))),_xlfn.CONCAT("W27-",RIGHT(H34,LEN(H34)-FIND("-",H34)))))</f>
        <v>W27</v>
      </c>
    </row>
    <row r="64" spans="1:12" ht="14.1" customHeight="1">
      <c r="B64" s="30" t="s">
        <v>1666</v>
      </c>
    </row>
    <row r="65" spans="1:14" ht="14.1" customHeight="1">
      <c r="B65" s="32" t="s">
        <v>1934</v>
      </c>
      <c r="C65" s="32" t="s">
        <v>1935</v>
      </c>
      <c r="D65" s="32" t="s">
        <v>1936</v>
      </c>
      <c r="E65" s="32" t="s">
        <v>1937</v>
      </c>
    </row>
    <row r="66" spans="1:14" ht="14.1" customHeight="1">
      <c r="A66" s="1">
        <v>1</v>
      </c>
      <c r="B66" s="3" t="str">
        <f>IF(G53="","L28",IF(G53&lt;I53,_xlfn.CONCAT("L28-",RIGHT(F53,LEN(F53)-FIND("-",F53))),_xlfn.CONCAT("L28-",RIGHT(H53,LEN(H53)-FIND("-",H53)))))</f>
        <v>L28</v>
      </c>
      <c r="C66" s="3" t="str">
        <f>IF(G52="","L26",IF(G52&lt;I52,_xlfn.CONCAT("L26-",RIGHT(F52,LEN(F52)-FIND("-",F52))),_xlfn.CONCAT("L26-",RIGHT(H52,LEN(H52)-FIND("-",H52)))))</f>
        <v>L26</v>
      </c>
      <c r="D66" s="3" t="str">
        <f>IF(G34="","L27",IF(G34&lt;I34,_xlfn.CONCAT("L27-",RIGHT(F34,LEN(F34)-FIND("-",F34))),_xlfn.CONCAT("L27-",RIGHT(H34,LEN(H34)-FIND("-",H34)))))</f>
        <v>L27</v>
      </c>
      <c r="E66" s="3" t="str">
        <f>IF(G33="","L25",IF(G33&lt;I33,_xlfn.CONCAT("L25-",RIGHT(F33,LEN(F33)-FIND("-",F33))),_xlfn.CONCAT("L25-",RIGHT(H33,LEN(H33)-FIND("-",H33)))))</f>
        <v>L25</v>
      </c>
    </row>
    <row r="67" spans="1:14" ht="14.1" customHeight="1">
      <c r="A67" s="1">
        <v>2</v>
      </c>
      <c r="B67" s="3" t="s">
        <v>1938</v>
      </c>
      <c r="C67" s="3" t="s">
        <v>1939</v>
      </c>
      <c r="D67" s="3" t="s">
        <v>1940</v>
      </c>
      <c r="E67" s="3" t="s">
        <v>1941</v>
      </c>
    </row>
    <row r="68" spans="1:14" ht="14.1" customHeight="1">
      <c r="A68" s="1">
        <v>3</v>
      </c>
      <c r="B68" s="3" t="s">
        <v>1942</v>
      </c>
      <c r="C68" s="3" t="s">
        <v>1943</v>
      </c>
      <c r="D68" s="3" t="s">
        <v>1944</v>
      </c>
      <c r="E68" s="3" t="s">
        <v>1945</v>
      </c>
    </row>
    <row r="70" spans="1:14" ht="14.1" customHeight="1" thickBot="1"/>
    <row r="71" spans="1:14" ht="14.1" customHeight="1" thickBot="1">
      <c r="D71" s="22" t="str">
        <f>'CHICLETS MASTER S2'!$AF$27</f>
        <v>YORBA LINDA HS</v>
      </c>
    </row>
    <row r="72" spans="1:14" ht="14.1" customHeight="1">
      <c r="A72" s="36" t="s">
        <v>124</v>
      </c>
      <c r="B72" s="36" t="s">
        <v>125</v>
      </c>
      <c r="C72" s="36" t="s">
        <v>126</v>
      </c>
      <c r="D72" s="36" t="s">
        <v>127</v>
      </c>
      <c r="E72" s="36" t="s">
        <v>128</v>
      </c>
      <c r="F72" s="36" t="s">
        <v>129</v>
      </c>
      <c r="G72" s="36" t="s">
        <v>130</v>
      </c>
      <c r="H72" s="36" t="s">
        <v>131</v>
      </c>
      <c r="I72" s="36" t="s">
        <v>130</v>
      </c>
      <c r="J72" s="36" t="s">
        <v>132</v>
      </c>
      <c r="K72" s="36" t="s">
        <v>133</v>
      </c>
      <c r="L72" s="36" t="s">
        <v>134</v>
      </c>
    </row>
    <row r="73" spans="1:14" ht="14.1" customHeight="1">
      <c r="A73" s="4">
        <f t="shared" ref="A73:A84" si="7">$A$56</f>
        <v>46227</v>
      </c>
      <c r="B73" s="5">
        <f>'CHICLETS MASTER S2'!X28</f>
        <v>0.29166666666666669</v>
      </c>
      <c r="C73" s="6" t="s">
        <v>218</v>
      </c>
      <c r="D73" s="7" t="str">
        <f>$D$71</f>
        <v>YORBA LINDA HS</v>
      </c>
      <c r="E73" s="6">
        <v>29</v>
      </c>
      <c r="F73" s="13" t="s">
        <v>1946</v>
      </c>
      <c r="G73" s="13"/>
      <c r="H73" s="13" t="s">
        <v>1947</v>
      </c>
      <c r="I73" s="13"/>
      <c r="J73" s="13"/>
      <c r="K73" s="13"/>
      <c r="L73" s="13" t="str">
        <f t="shared" ref="L73:L74" si="8">IF(E73="","",$L$13&amp;"-"&amp;TEXT(E73,"000"))</f>
        <v>18BQ-029</v>
      </c>
      <c r="N73" s="1" t="str">
        <f t="shared" ref="N73:N84" si="9">$K$134&amp;C73</f>
        <v>ni_Group</v>
      </c>
    </row>
    <row r="74" spans="1:14" ht="14.1" customHeight="1">
      <c r="A74" s="4">
        <f t="shared" si="7"/>
        <v>46227</v>
      </c>
      <c r="B74" s="5">
        <f>'CHICLETS MASTER S2'!X29</f>
        <v>0.3263888888888889</v>
      </c>
      <c r="C74" s="6" t="s">
        <v>218</v>
      </c>
      <c r="D74" s="7" t="str">
        <f t="shared" ref="D74:D84" si="10">$D$71</f>
        <v>YORBA LINDA HS</v>
      </c>
      <c r="E74" s="6">
        <v>31</v>
      </c>
      <c r="F74" s="13" t="s">
        <v>1948</v>
      </c>
      <c r="G74" s="13"/>
      <c r="H74" s="13" t="s">
        <v>1949</v>
      </c>
      <c r="I74" s="13"/>
      <c r="J74" s="13"/>
      <c r="K74" s="13"/>
      <c r="L74" s="13" t="str">
        <f t="shared" si="8"/>
        <v>18BQ-031</v>
      </c>
      <c r="N74" s="1" t="str">
        <f t="shared" si="9"/>
        <v>ni_Group</v>
      </c>
    </row>
    <row r="75" spans="1:14" ht="14.1" customHeight="1">
      <c r="A75" s="4">
        <f t="shared" si="7"/>
        <v>46227</v>
      </c>
      <c r="B75" s="5">
        <f>'CHICLETS MASTER S2'!X30</f>
        <v>0.36111111111111099</v>
      </c>
      <c r="C75" s="6" t="s">
        <v>218</v>
      </c>
      <c r="D75" s="7" t="str">
        <f t="shared" si="10"/>
        <v>YORBA LINDA HS</v>
      </c>
      <c r="E75" s="6">
        <v>33</v>
      </c>
      <c r="F75" s="13" t="s">
        <v>1950</v>
      </c>
      <c r="G75" s="13"/>
      <c r="H75" s="13" t="s">
        <v>1951</v>
      </c>
      <c r="I75" s="13"/>
      <c r="J75" s="13"/>
      <c r="K75" s="13"/>
      <c r="L75" s="13" t="str">
        <f>IF(E75="","",$L$13&amp;"-"&amp;TEXT(E75,"000"))</f>
        <v>18BQ-033</v>
      </c>
      <c r="N75" s="1" t="str">
        <f t="shared" si="9"/>
        <v>ni_Group</v>
      </c>
    </row>
    <row r="76" spans="1:14" ht="14.1" customHeight="1">
      <c r="A76" s="4">
        <f t="shared" si="7"/>
        <v>46227</v>
      </c>
      <c r="B76" s="5">
        <f>'CHICLETS MASTER S2'!X31</f>
        <v>0.39583333333333398</v>
      </c>
      <c r="C76" s="6" t="s">
        <v>218</v>
      </c>
      <c r="D76" s="7" t="str">
        <f t="shared" si="10"/>
        <v>YORBA LINDA HS</v>
      </c>
      <c r="E76" s="6">
        <v>35</v>
      </c>
      <c r="F76" s="13" t="s">
        <v>1952</v>
      </c>
      <c r="G76" s="13"/>
      <c r="H76" s="13" t="s">
        <v>1953</v>
      </c>
      <c r="I76" s="13"/>
      <c r="J76" s="13"/>
      <c r="K76" s="13"/>
      <c r="L76" s="13" t="str">
        <f t="shared" ref="L76:L84" si="11">IF(E76="","",$L$13&amp;"-"&amp;TEXT(E76,"000"))</f>
        <v>18BQ-035</v>
      </c>
      <c r="N76" s="1" t="str">
        <f t="shared" si="9"/>
        <v>ni_Group</v>
      </c>
    </row>
    <row r="77" spans="1:14" ht="14.1" customHeight="1">
      <c r="A77" s="4">
        <f t="shared" si="7"/>
        <v>46227</v>
      </c>
      <c r="B77" s="5">
        <f>'CHICLETS MASTER S2'!X32</f>
        <v>0.43055555555555602</v>
      </c>
      <c r="C77" s="6" t="s">
        <v>218</v>
      </c>
      <c r="D77" s="7" t="str">
        <f t="shared" si="10"/>
        <v>YORBA LINDA HS</v>
      </c>
      <c r="E77" s="6">
        <v>37</v>
      </c>
      <c r="F77" s="13" t="s">
        <v>1946</v>
      </c>
      <c r="G77" s="13"/>
      <c r="H77" s="13" t="str">
        <f>IF(G52="","ni_A3",IF(G52&gt;I52,_xlfn.CONCAT("ni_A3-",RIGHT(F52,LEN(F52)-FIND("-",F52))),_xlfn.CONCAT("ni_A3-",RIGHT(H52,LEN(H52)-FIND("-",H52)))))</f>
        <v>ni_A3</v>
      </c>
      <c r="I77" s="13"/>
      <c r="J77" s="13"/>
      <c r="K77" s="13"/>
      <c r="L77" s="13" t="str">
        <f t="shared" si="11"/>
        <v>18BQ-037</v>
      </c>
      <c r="N77" s="1" t="str">
        <f t="shared" si="9"/>
        <v>ni_Group</v>
      </c>
    </row>
    <row r="78" spans="1:14" ht="14.1" customHeight="1">
      <c r="A78" s="4">
        <f t="shared" si="7"/>
        <v>46227</v>
      </c>
      <c r="B78" s="5">
        <f>'CHICLETS MASTER S2'!X33</f>
        <v>0.46527777777777801</v>
      </c>
      <c r="C78" s="6" t="s">
        <v>218</v>
      </c>
      <c r="D78" s="7" t="str">
        <f t="shared" si="10"/>
        <v>YORBA LINDA HS</v>
      </c>
      <c r="E78" s="6">
        <v>39</v>
      </c>
      <c r="F78" s="13" t="s">
        <v>1948</v>
      </c>
      <c r="G78" s="13"/>
      <c r="H78" s="13" t="str">
        <f>IF(G34="","ni_D3",IF(G34&gt;I34,_xlfn.CONCAT("ni_D3-",RIGHT(F34,LEN(F34)-FIND("-",F34))),_xlfn.CONCAT("ni_D3-",RIGHT(H34,LEN(H34)-FIND("-",H34)))))</f>
        <v>ni_D3</v>
      </c>
      <c r="I78" s="13"/>
      <c r="J78" s="13"/>
      <c r="K78" s="13"/>
      <c r="L78" s="13" t="str">
        <f t="shared" si="11"/>
        <v>18BQ-039</v>
      </c>
      <c r="N78" s="1" t="str">
        <f t="shared" si="9"/>
        <v>ni_Group</v>
      </c>
    </row>
    <row r="79" spans="1:14" ht="14.1" customHeight="1">
      <c r="A79" s="4">
        <f t="shared" si="7"/>
        <v>46227</v>
      </c>
      <c r="B79" s="5">
        <f>'CHICLETS MASTER S2'!X34</f>
        <v>0.5</v>
      </c>
      <c r="C79" s="6" t="s">
        <v>218</v>
      </c>
      <c r="D79" s="7" t="str">
        <f t="shared" si="10"/>
        <v>YORBA LINDA HS</v>
      </c>
      <c r="E79" s="6">
        <v>41</v>
      </c>
      <c r="F79" s="13" t="s">
        <v>1950</v>
      </c>
      <c r="G79" s="13"/>
      <c r="H79" s="13" t="str">
        <f>IF(G53="","ni_B3",IF(G53&gt;I53,_xlfn.CONCAT("ni_B3-",RIGHT(F53,LEN(F53)-FIND("-",F53))),_xlfn.CONCAT("ni_B3-",RIGHT(H53,LEN(H53)-FIND("-",H53)))))</f>
        <v>ni_B3</v>
      </c>
      <c r="I79" s="13"/>
      <c r="J79" s="13"/>
      <c r="K79" s="13"/>
      <c r="L79" s="13" t="str">
        <f t="shared" si="11"/>
        <v>18BQ-041</v>
      </c>
      <c r="N79" s="1" t="str">
        <f t="shared" si="9"/>
        <v>ni_Group</v>
      </c>
    </row>
    <row r="80" spans="1:14" ht="14.1" customHeight="1">
      <c r="A80" s="4">
        <f t="shared" si="7"/>
        <v>46227</v>
      </c>
      <c r="B80" s="5">
        <f>'CHICLETS MASTER S2'!X35</f>
        <v>0.53472222222222199</v>
      </c>
      <c r="C80" s="6" t="s">
        <v>218</v>
      </c>
      <c r="D80" s="7" t="str">
        <f t="shared" si="10"/>
        <v>YORBA LINDA HS</v>
      </c>
      <c r="E80" s="6">
        <v>43</v>
      </c>
      <c r="F80" s="13" t="s">
        <v>1952</v>
      </c>
      <c r="G80" s="13"/>
      <c r="H80" s="13" t="str">
        <f>IF(G33="","ni_C3",IF(G33&gt;I33,_xlfn.CONCAT("ni_C3-",RIGHT(F33,LEN(F33)-FIND("-",F33))),_xlfn.CONCAT("ni_C3-",RIGHT(H33,LEN(H33)-FIND("-",H33)))))</f>
        <v>ni_C3</v>
      </c>
      <c r="I80" s="13"/>
      <c r="J80" s="13"/>
      <c r="K80" s="13"/>
      <c r="L80" s="13" t="str">
        <f t="shared" si="11"/>
        <v>18BQ-043</v>
      </c>
      <c r="N80" s="1" t="str">
        <f t="shared" si="9"/>
        <v>ni_Group</v>
      </c>
    </row>
    <row r="81" spans="1:14" ht="14.1" customHeight="1">
      <c r="A81" s="4">
        <f t="shared" si="7"/>
        <v>46227</v>
      </c>
      <c r="B81" s="5">
        <f>'CHICLETS MASTER S2'!X36</f>
        <v>0.56944444444444497</v>
      </c>
      <c r="C81" s="6" t="s">
        <v>218</v>
      </c>
      <c r="D81" s="7" t="str">
        <f t="shared" si="10"/>
        <v>YORBA LINDA HS</v>
      </c>
      <c r="E81" s="6">
        <v>45</v>
      </c>
      <c r="F81" s="13" t="s">
        <v>1947</v>
      </c>
      <c r="G81" s="13"/>
      <c r="H81" s="13" t="str">
        <f>IF(G52="","ni_A3",IF(G52&gt;I52,_xlfn.CONCAT("ni_A3-",RIGHT(F52,LEN(F52)-FIND("-",F52))),_xlfn.CONCAT("ni_A3-",RIGHT(H52,LEN(H52)-FIND("-",H52)))))</f>
        <v>ni_A3</v>
      </c>
      <c r="I81" s="13"/>
      <c r="J81" s="13"/>
      <c r="K81" s="13"/>
      <c r="L81" s="13" t="str">
        <f t="shared" si="11"/>
        <v>18BQ-045</v>
      </c>
      <c r="N81" s="1" t="str">
        <f t="shared" si="9"/>
        <v>ni_Group</v>
      </c>
    </row>
    <row r="82" spans="1:14" ht="14.1" customHeight="1">
      <c r="A82" s="4">
        <f t="shared" si="7"/>
        <v>46227</v>
      </c>
      <c r="B82" s="5">
        <f>'CHICLETS MASTER S2'!X37</f>
        <v>0.60416666666666696</v>
      </c>
      <c r="C82" s="6" t="s">
        <v>218</v>
      </c>
      <c r="D82" s="7" t="str">
        <f t="shared" si="10"/>
        <v>YORBA LINDA HS</v>
      </c>
      <c r="E82" s="6">
        <v>47</v>
      </c>
      <c r="F82" s="13" t="s">
        <v>1949</v>
      </c>
      <c r="G82" s="13"/>
      <c r="H82" s="13" t="str">
        <f>IF(G34="","ni_D3",IF(G34&gt;I34,_xlfn.CONCAT("ni_D3-",RIGHT(F34,LEN(F34)-FIND("-",F34))),_xlfn.CONCAT("ni_D3-",RIGHT(H34,LEN(H34)-FIND("-",H34)))))</f>
        <v>ni_D3</v>
      </c>
      <c r="I82" s="13"/>
      <c r="J82" s="13"/>
      <c r="K82" s="13"/>
      <c r="L82" s="13" t="str">
        <f t="shared" si="11"/>
        <v>18BQ-047</v>
      </c>
      <c r="N82" s="1" t="str">
        <f t="shared" si="9"/>
        <v>ni_Group</v>
      </c>
    </row>
    <row r="83" spans="1:14" ht="14.1" customHeight="1">
      <c r="A83" s="4">
        <f t="shared" si="7"/>
        <v>46227</v>
      </c>
      <c r="B83" s="5">
        <f>'CHICLETS MASTER S2'!X38</f>
        <v>0.63888888888888895</v>
      </c>
      <c r="C83" s="6" t="s">
        <v>218</v>
      </c>
      <c r="D83" s="7" t="str">
        <f t="shared" si="10"/>
        <v>YORBA LINDA HS</v>
      </c>
      <c r="E83" s="6">
        <v>49</v>
      </c>
      <c r="F83" s="13" t="s">
        <v>1951</v>
      </c>
      <c r="G83" s="13"/>
      <c r="H83" s="13" t="str">
        <f>IF(G53="","ni_B3",IF(G53&gt;I53,_xlfn.CONCAT("ni_B3-",RIGHT(F53,LEN(F53)-FIND("-",F53))),_xlfn.CONCAT("ni_B3-",RIGHT(H53,LEN(H53)-FIND("-",H53)))))</f>
        <v>ni_B3</v>
      </c>
      <c r="I83" s="13"/>
      <c r="J83" s="13"/>
      <c r="K83" s="13"/>
      <c r="L83" s="13" t="str">
        <f t="shared" si="11"/>
        <v>18BQ-049</v>
      </c>
      <c r="N83" s="1" t="str">
        <f t="shared" si="9"/>
        <v>ni_Group</v>
      </c>
    </row>
    <row r="84" spans="1:14" ht="14.1" customHeight="1">
      <c r="A84" s="4">
        <f t="shared" si="7"/>
        <v>46227</v>
      </c>
      <c r="B84" s="5">
        <f>'CHICLETS MASTER S2'!X39</f>
        <v>0.67361111111111105</v>
      </c>
      <c r="C84" s="6" t="s">
        <v>218</v>
      </c>
      <c r="D84" s="7" t="str">
        <f t="shared" si="10"/>
        <v>YORBA LINDA HS</v>
      </c>
      <c r="E84" s="6">
        <v>51</v>
      </c>
      <c r="F84" s="13" t="s">
        <v>1953</v>
      </c>
      <c r="G84" s="13"/>
      <c r="H84" s="13" t="str">
        <f>IF(G33="","ni_C3",IF(G33&gt;I33,_xlfn.CONCAT("ni_C3-",RIGHT(F33,LEN(F33)-FIND("-",F33))),_xlfn.CONCAT("ni_C3-",RIGHT(H33,LEN(H33)-FIND("-",H33)))))</f>
        <v>ni_C3</v>
      </c>
      <c r="I84" s="13"/>
      <c r="J84" s="13"/>
      <c r="K84" s="13"/>
      <c r="L84" s="13" t="str">
        <f t="shared" si="11"/>
        <v>18BQ-051</v>
      </c>
      <c r="N84" s="1" t="str">
        <f t="shared" si="9"/>
        <v>ni_Group</v>
      </c>
    </row>
    <row r="85" spans="1:14" ht="14.1" customHeight="1" thickBot="1">
      <c r="A85" s="9"/>
      <c r="B85" s="10"/>
    </row>
    <row r="86" spans="1:14" ht="14.1" customHeight="1" thickBot="1">
      <c r="D86" s="22" t="str">
        <f>'CHICLETS MASTER S2'!AT27</f>
        <v>LA SERNA HS</v>
      </c>
    </row>
    <row r="87" spans="1:14" ht="14.1" customHeight="1">
      <c r="A87" s="36" t="s">
        <v>124</v>
      </c>
      <c r="B87" s="36" t="s">
        <v>125</v>
      </c>
      <c r="C87" s="36" t="s">
        <v>126</v>
      </c>
      <c r="D87" s="36" t="s">
        <v>127</v>
      </c>
      <c r="E87" s="36" t="s">
        <v>128</v>
      </c>
      <c r="F87" s="36" t="s">
        <v>129</v>
      </c>
      <c r="G87" s="36" t="s">
        <v>130</v>
      </c>
      <c r="H87" s="36" t="s">
        <v>131</v>
      </c>
      <c r="I87" s="36" t="s">
        <v>130</v>
      </c>
      <c r="J87" s="36" t="s">
        <v>132</v>
      </c>
      <c r="K87" s="36" t="s">
        <v>133</v>
      </c>
      <c r="L87" s="36" t="s">
        <v>134</v>
      </c>
    </row>
    <row r="88" spans="1:14" ht="14.1" customHeight="1">
      <c r="A88" s="4">
        <f t="shared" ref="A88:A99" si="12">$A$56</f>
        <v>46227</v>
      </c>
      <c r="B88" s="5">
        <f>'CHICLETS MASTER S2'!X28</f>
        <v>0.29166666666666669</v>
      </c>
      <c r="C88" s="6" t="s">
        <v>218</v>
      </c>
      <c r="D88" s="7" t="str">
        <f>$D$86</f>
        <v>LA SERNA HS</v>
      </c>
      <c r="E88" s="6">
        <v>30</v>
      </c>
      <c r="F88" s="31" t="s">
        <v>1954</v>
      </c>
      <c r="G88" s="31"/>
      <c r="H88" s="31" t="s">
        <v>1955</v>
      </c>
      <c r="I88" s="31"/>
      <c r="J88" s="31"/>
      <c r="K88" s="31"/>
      <c r="L88" s="31" t="str">
        <f t="shared" ref="L88:L99" si="13">IF(E88="","",$L$13&amp;"-"&amp;TEXT(E88,"000"))</f>
        <v>18BQ-030</v>
      </c>
      <c r="N88" s="1" t="str">
        <f t="shared" ref="N88:N99" si="14">$L$134&amp;C88</f>
        <v>cu_Group</v>
      </c>
    </row>
    <row r="89" spans="1:14" ht="14.1" customHeight="1">
      <c r="A89" s="4">
        <f t="shared" si="12"/>
        <v>46227</v>
      </c>
      <c r="B89" s="5">
        <f>'CHICLETS MASTER S2'!X29</f>
        <v>0.3263888888888889</v>
      </c>
      <c r="C89" s="6" t="s">
        <v>218</v>
      </c>
      <c r="D89" s="7" t="str">
        <f t="shared" ref="D89:D99" si="15">$D$86</f>
        <v>LA SERNA HS</v>
      </c>
      <c r="E89" s="6">
        <v>32</v>
      </c>
      <c r="F89" s="31" t="s">
        <v>1956</v>
      </c>
      <c r="G89" s="31"/>
      <c r="H89" s="31" t="s">
        <v>1957</v>
      </c>
      <c r="I89" s="31"/>
      <c r="J89" s="31"/>
      <c r="K89" s="31"/>
      <c r="L89" s="31" t="str">
        <f t="shared" si="13"/>
        <v>18BQ-032</v>
      </c>
      <c r="N89" s="1" t="str">
        <f t="shared" si="14"/>
        <v>cu_Group</v>
      </c>
    </row>
    <row r="90" spans="1:14" ht="14.1" customHeight="1">
      <c r="A90" s="4">
        <f t="shared" si="12"/>
        <v>46227</v>
      </c>
      <c r="B90" s="5">
        <f>'CHICLETS MASTER S2'!X30</f>
        <v>0.36111111111111099</v>
      </c>
      <c r="C90" s="6" t="s">
        <v>218</v>
      </c>
      <c r="D90" s="7" t="str">
        <f t="shared" si="15"/>
        <v>LA SERNA HS</v>
      </c>
      <c r="E90" s="6">
        <v>34</v>
      </c>
      <c r="F90" s="31" t="s">
        <v>1958</v>
      </c>
      <c r="G90" s="31"/>
      <c r="H90" s="31" t="s">
        <v>1959</v>
      </c>
      <c r="I90" s="31"/>
      <c r="J90" s="31"/>
      <c r="K90" s="31"/>
      <c r="L90" s="31" t="str">
        <f t="shared" si="13"/>
        <v>18BQ-034</v>
      </c>
      <c r="N90" s="1" t="str">
        <f t="shared" si="14"/>
        <v>cu_Group</v>
      </c>
    </row>
    <row r="91" spans="1:14" ht="14.1" customHeight="1">
      <c r="A91" s="4">
        <f t="shared" si="12"/>
        <v>46227</v>
      </c>
      <c r="B91" s="5">
        <f>'CHICLETS MASTER S2'!X31</f>
        <v>0.39583333333333398</v>
      </c>
      <c r="C91" s="6" t="s">
        <v>218</v>
      </c>
      <c r="D91" s="7" t="str">
        <f t="shared" si="15"/>
        <v>LA SERNA HS</v>
      </c>
      <c r="E91" s="6">
        <v>36</v>
      </c>
      <c r="F91" s="31" t="s">
        <v>1960</v>
      </c>
      <c r="G91" s="31"/>
      <c r="H91" s="31" t="s">
        <v>1961</v>
      </c>
      <c r="I91" s="31"/>
      <c r="J91" s="31"/>
      <c r="K91" s="31"/>
      <c r="L91" s="31" t="str">
        <f t="shared" si="13"/>
        <v>18BQ-036</v>
      </c>
      <c r="N91" s="1" t="str">
        <f t="shared" si="14"/>
        <v>cu_Group</v>
      </c>
    </row>
    <row r="92" spans="1:14" ht="14.1" customHeight="1">
      <c r="A92" s="4">
        <f t="shared" si="12"/>
        <v>46227</v>
      </c>
      <c r="B92" s="5">
        <f>'CHICLETS MASTER S2'!X32</f>
        <v>0.43055555555555602</v>
      </c>
      <c r="C92" s="6" t="s">
        <v>218</v>
      </c>
      <c r="D92" s="7" t="str">
        <f t="shared" si="15"/>
        <v>LA SERNA HS</v>
      </c>
      <c r="E92" s="6">
        <v>38</v>
      </c>
      <c r="F92" s="31" t="str">
        <f>IF(G53="","cu_A1",IF(G53&lt;I53,_xlfn.CONCAT("cu_A1-",RIGHT(F53,LEN(F53)-FIND("-",F53))),_xlfn.CONCAT("cu_A1-",RIGHT(H53,LEN(H53)-FIND("-",H53)))))</f>
        <v>cu_A1</v>
      </c>
      <c r="G92" s="31"/>
      <c r="H92" s="31" t="s">
        <v>1955</v>
      </c>
      <c r="I92" s="31"/>
      <c r="J92" s="31"/>
      <c r="K92" s="31"/>
      <c r="L92" s="31" t="str">
        <f t="shared" si="13"/>
        <v>18BQ-038</v>
      </c>
      <c r="N92" s="1" t="str">
        <f t="shared" si="14"/>
        <v>cu_Group</v>
      </c>
    </row>
    <row r="93" spans="1:14" ht="14.1" customHeight="1">
      <c r="A93" s="4">
        <f t="shared" si="12"/>
        <v>46227</v>
      </c>
      <c r="B93" s="5">
        <f>'CHICLETS MASTER S2'!X33</f>
        <v>0.46527777777777801</v>
      </c>
      <c r="C93" s="6" t="s">
        <v>218</v>
      </c>
      <c r="D93" s="7" t="str">
        <f t="shared" si="15"/>
        <v>LA SERNA HS</v>
      </c>
      <c r="E93" s="6">
        <v>40</v>
      </c>
      <c r="F93" s="31" t="str">
        <f>IF(G33="","cu_D1",IF(G33&lt;I33,_xlfn.CONCAT("cu_D1-",RIGHT(F33,LEN(F33)-FIND("-",F33))),_xlfn.CONCAT("cu_D1-",RIGHT(H33,LEN(H33)-FIND("-",H33)))))</f>
        <v>cu_D1</v>
      </c>
      <c r="G93" s="31"/>
      <c r="H93" s="31" t="s">
        <v>1957</v>
      </c>
      <c r="I93" s="31"/>
      <c r="J93" s="31"/>
      <c r="K93" s="31"/>
      <c r="L93" s="31" t="str">
        <f t="shared" si="13"/>
        <v>18BQ-040</v>
      </c>
      <c r="N93" s="1" t="str">
        <f t="shared" si="14"/>
        <v>cu_Group</v>
      </c>
    </row>
    <row r="94" spans="1:14" ht="14.1" customHeight="1">
      <c r="A94" s="4">
        <f t="shared" si="12"/>
        <v>46227</v>
      </c>
      <c r="B94" s="5">
        <f>'CHICLETS MASTER S2'!X34</f>
        <v>0.5</v>
      </c>
      <c r="C94" s="6" t="s">
        <v>218</v>
      </c>
      <c r="D94" s="7" t="str">
        <f t="shared" si="15"/>
        <v>LA SERNA HS</v>
      </c>
      <c r="E94" s="6">
        <v>42</v>
      </c>
      <c r="F94" s="31" t="str">
        <f>IF(G52="","cu_B1",IF(G52&lt;I52,_xlfn.CONCAT("cu_B1-",RIGHT(F52,LEN(F52)-FIND("-",F52))),_xlfn.CONCAT("cu_B1-",RIGHT(H52,LEN(H52)-FIND("-",H52)))))</f>
        <v>cu_B1</v>
      </c>
      <c r="G94" s="31"/>
      <c r="H94" s="31" t="s">
        <v>1959</v>
      </c>
      <c r="I94" s="31"/>
      <c r="J94" s="31"/>
      <c r="K94" s="31"/>
      <c r="L94" s="31" t="str">
        <f t="shared" si="13"/>
        <v>18BQ-042</v>
      </c>
      <c r="N94" s="1" t="str">
        <f t="shared" si="14"/>
        <v>cu_Group</v>
      </c>
    </row>
    <row r="95" spans="1:14" ht="14.1" customHeight="1">
      <c r="A95" s="4">
        <f t="shared" si="12"/>
        <v>46227</v>
      </c>
      <c r="B95" s="5">
        <f>'CHICLETS MASTER S2'!X35</f>
        <v>0.53472222222222199</v>
      </c>
      <c r="C95" s="6" t="s">
        <v>218</v>
      </c>
      <c r="D95" s="7" t="str">
        <f t="shared" si="15"/>
        <v>LA SERNA HS</v>
      </c>
      <c r="E95" s="6">
        <v>44</v>
      </c>
      <c r="F95" s="31" t="str">
        <f>IF(G34="","cu_C1",IF(G34&lt;I34,_xlfn.CONCAT("cu_C1-",RIGHT(F34,LEN(F34)-FIND("-",F34))),_xlfn.CONCAT("cu_C1-",RIGHT(H34,LEN(H34)-FIND("-",H34)))))</f>
        <v>cu_C1</v>
      </c>
      <c r="G95" s="31"/>
      <c r="H95" s="31" t="s">
        <v>1961</v>
      </c>
      <c r="I95" s="31"/>
      <c r="J95" s="31"/>
      <c r="K95" s="31"/>
      <c r="L95" s="31" t="str">
        <f t="shared" si="13"/>
        <v>18BQ-044</v>
      </c>
      <c r="N95" s="1" t="str">
        <f t="shared" si="14"/>
        <v>cu_Group</v>
      </c>
    </row>
    <row r="96" spans="1:14" ht="14.1" customHeight="1">
      <c r="A96" s="4">
        <f t="shared" si="12"/>
        <v>46227</v>
      </c>
      <c r="B96" s="5">
        <f>'CHICLETS MASTER S2'!X36</f>
        <v>0.56944444444444497</v>
      </c>
      <c r="C96" s="6" t="s">
        <v>218</v>
      </c>
      <c r="D96" s="7" t="str">
        <f t="shared" si="15"/>
        <v>LA SERNA HS</v>
      </c>
      <c r="E96" s="6">
        <v>46</v>
      </c>
      <c r="F96" s="31" t="str">
        <f>IF(G53="","cu_A1",IF(G53&lt;I53,_xlfn.CONCAT("cu_A1-",RIGHT(F53,LEN(F53)-FIND("-",F53))),_xlfn.CONCAT("cu_A1-",RIGHT(H53,LEN(H53)-FIND("-",H53)))))</f>
        <v>cu_A1</v>
      </c>
      <c r="G96" s="31"/>
      <c r="H96" s="31" t="s">
        <v>1954</v>
      </c>
      <c r="I96" s="31"/>
      <c r="J96" s="31"/>
      <c r="K96" s="31"/>
      <c r="L96" s="31" t="str">
        <f t="shared" si="13"/>
        <v>18BQ-046</v>
      </c>
      <c r="N96" s="1" t="str">
        <f t="shared" si="14"/>
        <v>cu_Group</v>
      </c>
    </row>
    <row r="97" spans="1:14" ht="14.1" customHeight="1">
      <c r="A97" s="4">
        <f t="shared" si="12"/>
        <v>46227</v>
      </c>
      <c r="B97" s="5">
        <f>'CHICLETS MASTER S2'!X37</f>
        <v>0.60416666666666696</v>
      </c>
      <c r="C97" s="6" t="s">
        <v>218</v>
      </c>
      <c r="D97" s="7" t="str">
        <f t="shared" si="15"/>
        <v>LA SERNA HS</v>
      </c>
      <c r="E97" s="6">
        <v>48</v>
      </c>
      <c r="F97" s="31" t="str">
        <f>IF(G33="","cu_D1",IF(G33&lt;I33,_xlfn.CONCAT("cu_D1-",RIGHT(F33,LEN(F33)-FIND("-",F33))),_xlfn.CONCAT("cu_D1-",RIGHT(H33,LEN(H33)-FIND("-",H33)))))</f>
        <v>cu_D1</v>
      </c>
      <c r="G97" s="31"/>
      <c r="H97" s="31" t="s">
        <v>1956</v>
      </c>
      <c r="I97" s="31"/>
      <c r="J97" s="31"/>
      <c r="K97" s="31"/>
      <c r="L97" s="31" t="str">
        <f t="shared" si="13"/>
        <v>18BQ-048</v>
      </c>
      <c r="N97" s="1" t="str">
        <f t="shared" si="14"/>
        <v>cu_Group</v>
      </c>
    </row>
    <row r="98" spans="1:14" ht="14.1" customHeight="1">
      <c r="A98" s="4">
        <f t="shared" si="12"/>
        <v>46227</v>
      </c>
      <c r="B98" s="5">
        <f>'CHICLETS MASTER S2'!X38</f>
        <v>0.63888888888888895</v>
      </c>
      <c r="C98" s="6" t="s">
        <v>218</v>
      </c>
      <c r="D98" s="7" t="str">
        <f t="shared" si="15"/>
        <v>LA SERNA HS</v>
      </c>
      <c r="E98" s="6">
        <v>50</v>
      </c>
      <c r="F98" s="31" t="str">
        <f>IF(G52="","cu_B1",IF(G52&lt;I52,_xlfn.CONCAT("cu_B1-",RIGHT(F52,LEN(F52)-FIND("-",F52))),_xlfn.CONCAT("cu_B1-",RIGHT(H52,LEN(H52)-FIND("-",H52)))))</f>
        <v>cu_B1</v>
      </c>
      <c r="G98" s="31"/>
      <c r="H98" s="31" t="s">
        <v>1958</v>
      </c>
      <c r="I98" s="31"/>
      <c r="J98" s="31"/>
      <c r="K98" s="31"/>
      <c r="L98" s="31" t="str">
        <f t="shared" si="13"/>
        <v>18BQ-050</v>
      </c>
      <c r="N98" s="1" t="str">
        <f t="shared" si="14"/>
        <v>cu_Group</v>
      </c>
    </row>
    <row r="99" spans="1:14" ht="14.1" customHeight="1">
      <c r="A99" s="4">
        <f t="shared" si="12"/>
        <v>46227</v>
      </c>
      <c r="B99" s="5">
        <f>'CHICLETS MASTER S2'!X39</f>
        <v>0.67361111111111105</v>
      </c>
      <c r="C99" s="6" t="s">
        <v>218</v>
      </c>
      <c r="D99" s="7" t="str">
        <f t="shared" si="15"/>
        <v>LA SERNA HS</v>
      </c>
      <c r="E99" s="6">
        <v>52</v>
      </c>
      <c r="F99" s="31" t="str">
        <f>IF(G34="","cu_C1",IF(G34&lt;I34,_xlfn.CONCAT("cu_C1-",RIGHT(F34,LEN(F34)-FIND("-",F34))),_xlfn.CONCAT("cu_C1-",RIGHT(H34,LEN(H34)-FIND("-",H34)))))</f>
        <v>cu_C1</v>
      </c>
      <c r="G99" s="31"/>
      <c r="H99" s="31" t="s">
        <v>1960</v>
      </c>
      <c r="I99" s="31"/>
      <c r="J99" s="31"/>
      <c r="K99" s="31"/>
      <c r="L99" s="31" t="str">
        <f t="shared" si="13"/>
        <v>18BQ-052</v>
      </c>
      <c r="N99" s="1" t="str">
        <f t="shared" si="14"/>
        <v>cu_Group</v>
      </c>
    </row>
    <row r="100" spans="1:14" ht="14.1" customHeight="1" thickBot="1">
      <c r="A100" s="9"/>
      <c r="B100" s="10"/>
    </row>
    <row r="101" spans="1:14" ht="14.1" customHeight="1" thickTop="1" thickBot="1">
      <c r="A101" s="19" t="s">
        <v>236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</row>
    <row r="102" spans="1:14" ht="14.1" customHeight="1" thickBot="1">
      <c r="A102" s="2">
        <v>46228</v>
      </c>
    </row>
    <row r="103" spans="1:14" ht="14.1" customHeight="1" thickBot="1">
      <c r="D103" s="22" t="str">
        <f>'CHICLETS MASTER S2'!AF51</f>
        <v>YORBA LINDA HS</v>
      </c>
    </row>
    <row r="104" spans="1:14" ht="14.1" customHeight="1">
      <c r="A104" s="36" t="s">
        <v>124</v>
      </c>
      <c r="B104" s="36" t="s">
        <v>125</v>
      </c>
      <c r="C104" s="36" t="s">
        <v>126</v>
      </c>
      <c r="D104" s="36" t="s">
        <v>127</v>
      </c>
      <c r="E104" s="36" t="s">
        <v>128</v>
      </c>
      <c r="F104" s="36" t="s">
        <v>129</v>
      </c>
      <c r="G104" s="36" t="s">
        <v>130</v>
      </c>
      <c r="H104" s="36" t="s">
        <v>131</v>
      </c>
      <c r="I104" s="36" t="s">
        <v>130</v>
      </c>
      <c r="J104" s="36" t="s">
        <v>132</v>
      </c>
      <c r="K104" s="36" t="s">
        <v>133</v>
      </c>
      <c r="L104" s="36" t="s">
        <v>134</v>
      </c>
    </row>
    <row r="105" spans="1:14" ht="14.1" customHeight="1">
      <c r="A105" s="4">
        <f>$A$102</f>
        <v>46228</v>
      </c>
      <c r="B105" s="5">
        <f>'CHICLETS MASTER S2'!X53</f>
        <v>0.33333333333333331</v>
      </c>
      <c r="C105" s="6" t="s">
        <v>237</v>
      </c>
      <c r="D105" s="7" t="str">
        <f>$D$103</f>
        <v>YORBA LINDA HS</v>
      </c>
      <c r="E105" s="6">
        <v>53</v>
      </c>
      <c r="F105" s="13" t="s">
        <v>1962</v>
      </c>
      <c r="G105" s="13"/>
      <c r="H105" s="13" t="s">
        <v>1963</v>
      </c>
      <c r="I105" s="13"/>
      <c r="J105" s="13">
        <v>63</v>
      </c>
      <c r="K105" s="13">
        <v>69</v>
      </c>
      <c r="L105" s="13" t="str">
        <f t="shared" ref="L105:L116" si="16">IF(E105="","",$L$13&amp;"-"&amp;TEXT(E105,"000"))</f>
        <v>18BQ-053</v>
      </c>
      <c r="N105" s="1" t="str">
        <f t="shared" ref="N105:N116" si="17">$K$134&amp;C105</f>
        <v>ni_5-8 v 9-12</v>
      </c>
    </row>
    <row r="106" spans="1:14" ht="14.1" customHeight="1">
      <c r="A106" s="4">
        <f t="shared" ref="A106:A116" si="18">$A$102</f>
        <v>46228</v>
      </c>
      <c r="B106" s="5">
        <f>'CHICLETS MASTER S2'!X54</f>
        <v>0.375</v>
      </c>
      <c r="C106" s="6" t="s">
        <v>237</v>
      </c>
      <c r="D106" s="7" t="str">
        <f t="shared" ref="D106:D116" si="19">$D$103</f>
        <v>YORBA LINDA HS</v>
      </c>
      <c r="E106" s="6">
        <v>55</v>
      </c>
      <c r="F106" s="13" t="s">
        <v>1964</v>
      </c>
      <c r="G106" s="13"/>
      <c r="H106" s="13" t="s">
        <v>1965</v>
      </c>
      <c r="I106" s="13"/>
      <c r="J106" s="13">
        <v>63</v>
      </c>
      <c r="K106" s="13">
        <v>69</v>
      </c>
      <c r="L106" s="13" t="str">
        <f t="shared" si="16"/>
        <v>18BQ-055</v>
      </c>
      <c r="N106" s="1" t="str">
        <f t="shared" si="17"/>
        <v>ni_5-8 v 9-12</v>
      </c>
    </row>
    <row r="107" spans="1:14" ht="14.1" customHeight="1">
      <c r="A107" s="4">
        <f t="shared" si="18"/>
        <v>46228</v>
      </c>
      <c r="B107" s="5">
        <f>'CHICLETS MASTER S2'!X55</f>
        <v>0.41666666666666702</v>
      </c>
      <c r="C107" s="6" t="s">
        <v>237</v>
      </c>
      <c r="D107" s="7" t="str">
        <f t="shared" si="19"/>
        <v>YORBA LINDA HS</v>
      </c>
      <c r="E107" s="6">
        <v>57</v>
      </c>
      <c r="F107" s="13" t="s">
        <v>1966</v>
      </c>
      <c r="G107" s="13"/>
      <c r="H107" s="13" t="s">
        <v>1967</v>
      </c>
      <c r="I107" s="13"/>
      <c r="J107" s="13">
        <v>67</v>
      </c>
      <c r="K107" s="13">
        <v>71</v>
      </c>
      <c r="L107" s="13" t="str">
        <f t="shared" si="16"/>
        <v>18BQ-057</v>
      </c>
      <c r="N107" s="1" t="str">
        <f t="shared" si="17"/>
        <v>ni_5-8 v 9-12</v>
      </c>
    </row>
    <row r="108" spans="1:14" ht="14.1" customHeight="1">
      <c r="A108" s="4">
        <f t="shared" si="18"/>
        <v>46228</v>
      </c>
      <c r="B108" s="5">
        <f>'CHICLETS MASTER S2'!X56</f>
        <v>0.45833333333333298</v>
      </c>
      <c r="C108" s="6" t="s">
        <v>237</v>
      </c>
      <c r="D108" s="7" t="str">
        <f t="shared" si="19"/>
        <v>YORBA LINDA HS</v>
      </c>
      <c r="E108" s="6">
        <v>59</v>
      </c>
      <c r="F108" s="13" t="s">
        <v>1968</v>
      </c>
      <c r="G108" s="13"/>
      <c r="H108" s="13" t="s">
        <v>1969</v>
      </c>
      <c r="I108" s="13"/>
      <c r="J108" s="13">
        <v>67</v>
      </c>
      <c r="K108" s="13">
        <v>71</v>
      </c>
      <c r="L108" s="13" t="str">
        <f t="shared" si="16"/>
        <v>18BQ-059</v>
      </c>
      <c r="N108" s="1" t="str">
        <f t="shared" si="17"/>
        <v>ni_5-8 v 9-12</v>
      </c>
    </row>
    <row r="109" spans="1:14" ht="14.1" customHeight="1">
      <c r="A109" s="4">
        <f t="shared" si="18"/>
        <v>46228</v>
      </c>
      <c r="B109" s="5">
        <f>'CHICLETS MASTER S2'!X57</f>
        <v>0.5</v>
      </c>
      <c r="C109" s="6" t="s">
        <v>242</v>
      </c>
      <c r="D109" s="7" t="str">
        <f t="shared" si="19"/>
        <v>YORBA LINDA HS</v>
      </c>
      <c r="E109" s="6">
        <v>61</v>
      </c>
      <c r="F109" s="13" t="s">
        <v>1970</v>
      </c>
      <c r="G109" s="13"/>
      <c r="H109" s="13" t="s">
        <v>1971</v>
      </c>
      <c r="I109" s="13"/>
      <c r="J109" s="13">
        <v>80</v>
      </c>
      <c r="K109" s="13">
        <v>73</v>
      </c>
      <c r="L109" s="13" t="str">
        <f t="shared" si="16"/>
        <v>18BQ-061</v>
      </c>
      <c r="N109" s="1" t="str">
        <f t="shared" si="17"/>
        <v>ni_1-2 v 3-4</v>
      </c>
    </row>
    <row r="110" spans="1:14" ht="14.1" customHeight="1">
      <c r="A110" s="4">
        <f t="shared" si="18"/>
        <v>46228</v>
      </c>
      <c r="B110" s="5">
        <f>'CHICLETS MASTER S2'!X58</f>
        <v>0.54166666666666696</v>
      </c>
      <c r="C110" s="6" t="s">
        <v>247</v>
      </c>
      <c r="D110" s="7" t="str">
        <f t="shared" si="19"/>
        <v>YORBA LINDA HS</v>
      </c>
      <c r="E110" s="6">
        <v>63</v>
      </c>
      <c r="F110" s="13" t="str">
        <f>IF(G105="","W53",IF(G105&gt;I105,_xlfn.CONCAT("W53-",RIGHT(F105,LEN(F105)-FIND("-",F105))),_xlfn.CONCAT("W53-",RIGHT(H105,LEN(H105)-FIND("-",H105)))))</f>
        <v>W53</v>
      </c>
      <c r="G110" s="13"/>
      <c r="H110" s="13" t="str">
        <f>IF(G106="","W55",IF(G106&gt;I106,_xlfn.CONCAT("W55-",RIGHT(F106,LEN(F106)-FIND("-",F106))),_xlfn.CONCAT("W55-",RIGHT(H106,LEN(H106)-FIND("-",H106)))))</f>
        <v>W55</v>
      </c>
      <c r="I110" s="13"/>
      <c r="J110" s="13">
        <v>73</v>
      </c>
      <c r="K110" s="13">
        <v>85</v>
      </c>
      <c r="L110" s="13" t="str">
        <f t="shared" si="16"/>
        <v>18BQ-063</v>
      </c>
      <c r="N110" s="1" t="str">
        <f t="shared" si="17"/>
        <v>ni_5-6 v 7-8</v>
      </c>
    </row>
    <row r="111" spans="1:14" ht="14.1" customHeight="1">
      <c r="A111" s="4">
        <f t="shared" si="18"/>
        <v>46228</v>
      </c>
      <c r="B111" s="5">
        <f>'CHICLETS MASTER S2'!X59</f>
        <v>0.58333333333333304</v>
      </c>
      <c r="C111" s="6" t="s">
        <v>242</v>
      </c>
      <c r="D111" s="7" t="str">
        <f t="shared" si="19"/>
        <v>YORBA LINDA HS</v>
      </c>
      <c r="E111" s="6">
        <v>65</v>
      </c>
      <c r="F111" s="13" t="s">
        <v>1972</v>
      </c>
      <c r="G111" s="13"/>
      <c r="H111" s="13" t="s">
        <v>1973</v>
      </c>
      <c r="I111" s="13"/>
      <c r="J111" s="13">
        <v>79</v>
      </c>
      <c r="K111" s="13">
        <v>75</v>
      </c>
      <c r="L111" s="13" t="str">
        <f t="shared" si="16"/>
        <v>18BQ-065</v>
      </c>
      <c r="N111" s="1" t="str">
        <f t="shared" si="17"/>
        <v>ni_1-2 v 3-4</v>
      </c>
    </row>
    <row r="112" spans="1:14" ht="14.1" customHeight="1">
      <c r="A112" s="4">
        <f t="shared" si="18"/>
        <v>46228</v>
      </c>
      <c r="B112" s="5">
        <f>'CHICLETS MASTER S2'!X60</f>
        <v>0.625</v>
      </c>
      <c r="C112" s="6" t="s">
        <v>247</v>
      </c>
      <c r="D112" s="7" t="str">
        <f t="shared" si="19"/>
        <v>YORBA LINDA HS</v>
      </c>
      <c r="E112" s="6">
        <v>67</v>
      </c>
      <c r="F112" s="13" t="str">
        <f>IF(G107="","W57",IF(G107&gt;I107,_xlfn.CONCAT("W57-",RIGHT(F107,LEN(F107)-FIND("-",F107))),_xlfn.CONCAT("W57-",RIGHT(H107,LEN(H107)-FIND("-",H107)))))</f>
        <v>W57</v>
      </c>
      <c r="G112" s="13"/>
      <c r="H112" s="13" t="str">
        <f>IF(G108="","W59",IF(G108&gt;I108,_xlfn.CONCAT("W59-",RIGHT(F108,LEN(F108)-FIND("-",F108))),_xlfn.CONCAT("W59-",RIGHT(H108,LEN(H108)-FIND("-",H108)))))</f>
        <v>W59</v>
      </c>
      <c r="I112" s="13"/>
      <c r="J112" s="13">
        <v>75</v>
      </c>
      <c r="K112" s="13">
        <v>85</v>
      </c>
      <c r="L112" s="13" t="str">
        <f t="shared" si="16"/>
        <v>18BQ-067</v>
      </c>
      <c r="N112" s="1" t="str">
        <f t="shared" si="17"/>
        <v>ni_5-6 v 7-8</v>
      </c>
    </row>
    <row r="113" spans="1:14" ht="14.1" customHeight="1">
      <c r="A113" s="4">
        <f t="shared" si="18"/>
        <v>46228</v>
      </c>
      <c r="B113" s="5">
        <f>'CHICLETS MASTER S2'!X61</f>
        <v>0.66666666666666696</v>
      </c>
      <c r="C113" s="6" t="s">
        <v>248</v>
      </c>
      <c r="D113" s="7" t="str">
        <f t="shared" si="19"/>
        <v>YORBA LINDA HS</v>
      </c>
      <c r="E113" s="6">
        <v>69</v>
      </c>
      <c r="F113" s="13" t="str">
        <f>IF(G106="","L55",IF(G106&lt;I106,_xlfn.CONCAT("L55-",RIGHT(F106,LEN(F106)-FIND("-",F106))),_xlfn.CONCAT("L55-",RIGHT(H106,LEN(H106)-FIND("-",H106)))))</f>
        <v>L55</v>
      </c>
      <c r="G113" s="13"/>
      <c r="H113" s="13" t="str">
        <f>IF(G105="","L53",IF(G105&lt;I105,_xlfn.CONCAT("L53-",RIGHT(F105,LEN(F105)-FIND("-",F105))),_xlfn.CONCAT("L53-",RIGHT(H105,LEN(H105)-FIND("-",H105)))))</f>
        <v>L53</v>
      </c>
      <c r="I113" s="13"/>
      <c r="J113" s="13">
        <v>82</v>
      </c>
      <c r="K113" s="13">
        <v>81</v>
      </c>
      <c r="L113" s="13" t="str">
        <f t="shared" si="16"/>
        <v>18BQ-069</v>
      </c>
      <c r="N113" s="1" t="str">
        <f t="shared" si="17"/>
        <v>ni_9-12 semi</v>
      </c>
    </row>
    <row r="114" spans="1:14" ht="14.1" customHeight="1">
      <c r="A114" s="4">
        <f t="shared" si="18"/>
        <v>46228</v>
      </c>
      <c r="B114" s="5">
        <f>'CHICLETS MASTER S2'!X62</f>
        <v>0.70833333333333304</v>
      </c>
      <c r="C114" s="6" t="s">
        <v>248</v>
      </c>
      <c r="D114" s="7" t="str">
        <f t="shared" si="19"/>
        <v>YORBA LINDA HS</v>
      </c>
      <c r="E114" s="6">
        <v>71</v>
      </c>
      <c r="F114" s="13" t="str">
        <f>IF(G108="","L59",IF(G108&lt;I108,_xlfn.CONCAT("L59-",RIGHT(F108,LEN(F108)-FIND("-",F108))),_xlfn.CONCAT("L59-",RIGHT(H108,LEN(H108)-FIND("-",H108)))))</f>
        <v>L59</v>
      </c>
      <c r="G114" s="13"/>
      <c r="H114" s="28" t="str">
        <f>IF(G107="","L57",IF(G107&lt;I107,_xlfn.CONCAT("L57-",RIGHT(F107,LEN(F107)-FIND("-",F107))),_xlfn.CONCAT("L57-",RIGHT(H107,LEN(H107)-FIND("-",H107)))))</f>
        <v>L57</v>
      </c>
      <c r="I114" s="13"/>
      <c r="J114" s="13">
        <v>82</v>
      </c>
      <c r="K114" s="13">
        <v>81</v>
      </c>
      <c r="L114" s="13" t="str">
        <f t="shared" si="16"/>
        <v>18BQ-071</v>
      </c>
      <c r="N114" s="1" t="str">
        <f t="shared" si="17"/>
        <v>ni_9-12 semi</v>
      </c>
    </row>
    <row r="115" spans="1:14" ht="14.1" customHeight="1">
      <c r="A115" s="4">
        <f t="shared" si="18"/>
        <v>46228</v>
      </c>
      <c r="B115" s="5">
        <f>'CHICLETS MASTER S2'!X63</f>
        <v>0.75</v>
      </c>
      <c r="C115" s="6" t="s">
        <v>266</v>
      </c>
      <c r="D115" s="7" t="str">
        <f t="shared" si="19"/>
        <v>YORBA LINDA HS</v>
      </c>
      <c r="E115" s="6">
        <v>73</v>
      </c>
      <c r="F115" s="13" t="str">
        <f>IF(G109="","L61",IF(G109&lt;I109,_xlfn.CONCAT("L61-",RIGHT(F109,LEN(F109)-FIND("-",F109))),_xlfn.CONCAT("L61-",RIGHT(H109,LEN(H109)-FIND("-",H109)))))</f>
        <v>L61</v>
      </c>
      <c r="G115" s="18"/>
      <c r="H115" s="25" t="str">
        <f>IF(G110="","W63",IF(G110&gt;I110,_xlfn.CONCAT("W63-",RIGHT(F110,LEN(F110)-FIND("-",F110))),_xlfn.CONCAT("W63-",RIGHT(H110,LEN(H110)-FIND("-",H110)))))</f>
        <v>W63</v>
      </c>
      <c r="I115" s="38"/>
      <c r="J115" s="13">
        <v>79</v>
      </c>
      <c r="K115" s="13">
        <v>86</v>
      </c>
      <c r="L115" s="13" t="str">
        <f t="shared" si="16"/>
        <v>18BQ-073</v>
      </c>
      <c r="N115" s="1" t="str">
        <f t="shared" si="17"/>
        <v>ni_qtr final</v>
      </c>
    </row>
    <row r="116" spans="1:14" ht="14.1" customHeight="1">
      <c r="A116" s="4">
        <f t="shared" si="18"/>
        <v>46228</v>
      </c>
      <c r="B116" s="5">
        <f>'CHICLETS MASTER S2'!X64</f>
        <v>0.79166666666666696</v>
      </c>
      <c r="C116" s="6" t="s">
        <v>266</v>
      </c>
      <c r="D116" s="7" t="str">
        <f t="shared" si="19"/>
        <v>YORBA LINDA HS</v>
      </c>
      <c r="E116" s="6">
        <v>75</v>
      </c>
      <c r="F116" s="13" t="str">
        <f>IF(G111="","L65",IF(G111&lt;I111,_xlfn.CONCAT("L65-",RIGHT(F111,LEN(F111)-FIND("-",F111))),_xlfn.CONCAT("L65-",RIGHT(H111,LEN(H111)-FIND("-",H111)))))</f>
        <v>L65</v>
      </c>
      <c r="G116" s="13"/>
      <c r="H116" s="39" t="str">
        <f>IF(G112="","W67",IF(G112&gt;I112,_xlfn.CONCAT("W67-",RIGHT(F112,LEN(F112)-FIND("-",F112))),_xlfn.CONCAT("W67-",RIGHT(H112,LEN(H112)-FIND("-",H112)))))</f>
        <v>W67</v>
      </c>
      <c r="I116" s="13"/>
      <c r="J116" s="13">
        <v>80</v>
      </c>
      <c r="K116" s="13">
        <v>86</v>
      </c>
      <c r="L116" s="13" t="str">
        <f t="shared" si="16"/>
        <v>18BQ-075</v>
      </c>
      <c r="N116" s="1" t="str">
        <f t="shared" si="17"/>
        <v>ni_qtr final</v>
      </c>
    </row>
    <row r="117" spans="1:14" ht="14.1" customHeight="1" thickBot="1">
      <c r="A117" s="9"/>
      <c r="B117" s="10"/>
    </row>
    <row r="118" spans="1:14" ht="14.1" customHeight="1" thickBot="1">
      <c r="D118" s="22" t="str">
        <f>'CHICLETS MASTER S2'!$AT$51</f>
        <v>LA SERNA HS</v>
      </c>
    </row>
    <row r="119" spans="1:14" ht="14.1" customHeight="1">
      <c r="A119" s="36" t="s">
        <v>124</v>
      </c>
      <c r="B119" s="36" t="s">
        <v>125</v>
      </c>
      <c r="C119" s="36" t="s">
        <v>126</v>
      </c>
      <c r="D119" s="36" t="s">
        <v>127</v>
      </c>
      <c r="E119" s="36" t="s">
        <v>128</v>
      </c>
      <c r="F119" s="36" t="s">
        <v>129</v>
      </c>
      <c r="G119" s="36" t="s">
        <v>130</v>
      </c>
      <c r="H119" s="36" t="s">
        <v>131</v>
      </c>
      <c r="I119" s="36" t="s">
        <v>130</v>
      </c>
      <c r="J119" s="36" t="s">
        <v>132</v>
      </c>
      <c r="K119" s="36" t="s">
        <v>133</v>
      </c>
      <c r="L119" s="36" t="s">
        <v>134</v>
      </c>
    </row>
    <row r="120" spans="1:14" ht="14.1" customHeight="1">
      <c r="A120" s="4">
        <f t="shared" ref="A120:A131" si="20">$A$102</f>
        <v>46228</v>
      </c>
      <c r="B120" s="5">
        <f>'CHICLETS MASTER S2'!X53</f>
        <v>0.33333333333333331</v>
      </c>
      <c r="C120" s="6" t="s">
        <v>237</v>
      </c>
      <c r="D120" s="7" t="str">
        <f>$D$118</f>
        <v>LA SERNA HS</v>
      </c>
      <c r="E120" s="6">
        <v>54</v>
      </c>
      <c r="F120" s="31" t="s">
        <v>1974</v>
      </c>
      <c r="G120" s="31"/>
      <c r="H120" s="31" t="s">
        <v>1975</v>
      </c>
      <c r="I120" s="31"/>
      <c r="J120" s="31">
        <v>64</v>
      </c>
      <c r="K120" s="31">
        <v>70</v>
      </c>
      <c r="L120" s="31" t="str">
        <f t="shared" ref="L120:L129" si="21">IF(E120="","",$L$13&amp;"-"&amp;TEXT(E120,"000"))</f>
        <v>18BQ-054</v>
      </c>
      <c r="N120" s="1" t="str">
        <f t="shared" ref="N120:N131" si="22">$L$134&amp;C120</f>
        <v>cu_5-8 v 9-12</v>
      </c>
    </row>
    <row r="121" spans="1:14" ht="14.1" customHeight="1">
      <c r="A121" s="4">
        <f t="shared" si="20"/>
        <v>46228</v>
      </c>
      <c r="B121" s="5">
        <f>'CHICLETS MASTER S2'!X54</f>
        <v>0.375</v>
      </c>
      <c r="C121" s="6" t="s">
        <v>237</v>
      </c>
      <c r="D121" s="7" t="str">
        <f t="shared" ref="D121:D131" si="23">$D$118</f>
        <v>LA SERNA HS</v>
      </c>
      <c r="E121" s="6">
        <v>56</v>
      </c>
      <c r="F121" s="31" t="s">
        <v>1976</v>
      </c>
      <c r="G121" s="31"/>
      <c r="H121" s="31" t="s">
        <v>1977</v>
      </c>
      <c r="I121" s="31"/>
      <c r="J121" s="31">
        <v>64</v>
      </c>
      <c r="K121" s="31">
        <v>70</v>
      </c>
      <c r="L121" s="31" t="str">
        <f t="shared" si="21"/>
        <v>18BQ-056</v>
      </c>
      <c r="N121" s="1" t="str">
        <f t="shared" si="22"/>
        <v>cu_5-8 v 9-12</v>
      </c>
    </row>
    <row r="122" spans="1:14" ht="14.1" customHeight="1">
      <c r="A122" s="4">
        <f t="shared" si="20"/>
        <v>46228</v>
      </c>
      <c r="B122" s="5">
        <f>'CHICLETS MASTER S2'!X55</f>
        <v>0.41666666666666702</v>
      </c>
      <c r="C122" s="6" t="s">
        <v>237</v>
      </c>
      <c r="D122" s="7" t="str">
        <f t="shared" si="23"/>
        <v>LA SERNA HS</v>
      </c>
      <c r="E122" s="6">
        <v>58</v>
      </c>
      <c r="F122" s="31" t="s">
        <v>1978</v>
      </c>
      <c r="G122" s="31"/>
      <c r="H122" s="31" t="s">
        <v>1979</v>
      </c>
      <c r="I122" s="31"/>
      <c r="J122" s="31">
        <v>68</v>
      </c>
      <c r="K122" s="31">
        <v>72</v>
      </c>
      <c r="L122" s="31" t="str">
        <f t="shared" si="21"/>
        <v>18BQ-058</v>
      </c>
      <c r="N122" s="1" t="str">
        <f t="shared" si="22"/>
        <v>cu_5-8 v 9-12</v>
      </c>
    </row>
    <row r="123" spans="1:14" ht="14.1" customHeight="1">
      <c r="A123" s="4">
        <f t="shared" si="20"/>
        <v>46228</v>
      </c>
      <c r="B123" s="5">
        <f>'CHICLETS MASTER S2'!X56</f>
        <v>0.45833333333333298</v>
      </c>
      <c r="C123" s="6" t="s">
        <v>237</v>
      </c>
      <c r="D123" s="7" t="str">
        <f t="shared" si="23"/>
        <v>LA SERNA HS</v>
      </c>
      <c r="E123" s="6">
        <v>60</v>
      </c>
      <c r="F123" s="31" t="s">
        <v>1980</v>
      </c>
      <c r="G123" s="31"/>
      <c r="H123" s="31" t="s">
        <v>1981</v>
      </c>
      <c r="I123" s="31"/>
      <c r="J123" s="31">
        <v>68</v>
      </c>
      <c r="K123" s="31">
        <v>72</v>
      </c>
      <c r="L123" s="31" t="str">
        <f t="shared" si="21"/>
        <v>18BQ-060</v>
      </c>
      <c r="N123" s="1" t="str">
        <f t="shared" si="22"/>
        <v>cu_5-8 v 9-12</v>
      </c>
    </row>
    <row r="124" spans="1:14" ht="14.1" customHeight="1">
      <c r="A124" s="4">
        <f t="shared" si="20"/>
        <v>46228</v>
      </c>
      <c r="B124" s="5">
        <f>'CHICLETS MASTER S2'!X57</f>
        <v>0.5</v>
      </c>
      <c r="C124" s="6" t="s">
        <v>242</v>
      </c>
      <c r="D124" s="7" t="str">
        <f t="shared" si="23"/>
        <v>LA SERNA HS</v>
      </c>
      <c r="E124" s="6">
        <v>62</v>
      </c>
      <c r="F124" s="31" t="s">
        <v>1982</v>
      </c>
      <c r="G124" s="31"/>
      <c r="H124" s="31" t="s">
        <v>1983</v>
      </c>
      <c r="I124" s="31"/>
      <c r="J124" s="31">
        <v>78</v>
      </c>
      <c r="K124" s="31">
        <v>74</v>
      </c>
      <c r="L124" s="31" t="str">
        <f t="shared" si="21"/>
        <v>18BQ-062</v>
      </c>
      <c r="N124" s="1" t="str">
        <f t="shared" si="22"/>
        <v>cu_1-2 v 3-4</v>
      </c>
    </row>
    <row r="125" spans="1:14" ht="14.1" customHeight="1">
      <c r="A125" s="4">
        <f t="shared" si="20"/>
        <v>46228</v>
      </c>
      <c r="B125" s="5">
        <f>'CHICLETS MASTER S2'!X58</f>
        <v>0.54166666666666696</v>
      </c>
      <c r="C125" s="6" t="s">
        <v>247</v>
      </c>
      <c r="D125" s="7" t="str">
        <f t="shared" si="23"/>
        <v>LA SERNA HS</v>
      </c>
      <c r="E125" s="6">
        <v>64</v>
      </c>
      <c r="F125" s="31" t="str">
        <f>IF(G120="","W54",IF(G120&gt;I120,_xlfn.CONCAT("W54-",RIGHT(F120,LEN(F120)-FIND("-",F120))),_xlfn.CONCAT("W54-",RIGHT(H120,LEN(H120)-FIND("-",H120)))))</f>
        <v>W54</v>
      </c>
      <c r="G125" s="31"/>
      <c r="H125" s="31" t="str">
        <f>IF(G121="","W56",IF(G121&gt;I121,_xlfn.CONCAT("W56-",RIGHT(F121,LEN(F121)-FIND("-",F121))),_xlfn.CONCAT("W56-",RIGHT(H121,LEN(H121)-FIND("-",H121)))))</f>
        <v>W56</v>
      </c>
      <c r="I125" s="31"/>
      <c r="J125" s="31">
        <v>74</v>
      </c>
      <c r="K125" s="31">
        <v>88</v>
      </c>
      <c r="L125" s="31" t="str">
        <f t="shared" si="21"/>
        <v>18BQ-064</v>
      </c>
      <c r="N125" s="1" t="str">
        <f t="shared" si="22"/>
        <v>cu_5-6 v 7-8</v>
      </c>
    </row>
    <row r="126" spans="1:14" ht="14.1" customHeight="1">
      <c r="A126" s="4">
        <f t="shared" si="20"/>
        <v>46228</v>
      </c>
      <c r="B126" s="5">
        <f>'CHICLETS MASTER S2'!X59</f>
        <v>0.58333333333333304</v>
      </c>
      <c r="C126" s="6" t="s">
        <v>242</v>
      </c>
      <c r="D126" s="7" t="str">
        <f t="shared" si="23"/>
        <v>LA SERNA HS</v>
      </c>
      <c r="E126" s="6">
        <v>66</v>
      </c>
      <c r="F126" s="31" t="s">
        <v>1984</v>
      </c>
      <c r="G126" s="31"/>
      <c r="H126" s="31" t="s">
        <v>1985</v>
      </c>
      <c r="I126" s="31"/>
      <c r="J126" s="31">
        <v>77</v>
      </c>
      <c r="K126" s="31">
        <v>76</v>
      </c>
      <c r="L126" s="31" t="str">
        <f t="shared" si="21"/>
        <v>18BQ-066</v>
      </c>
      <c r="N126" s="1" t="str">
        <f t="shared" si="22"/>
        <v>cu_1-2 v 3-4</v>
      </c>
    </row>
    <row r="127" spans="1:14" ht="14.1" customHeight="1">
      <c r="A127" s="4">
        <f t="shared" si="20"/>
        <v>46228</v>
      </c>
      <c r="B127" s="5">
        <f>'CHICLETS MASTER S2'!X60</f>
        <v>0.625</v>
      </c>
      <c r="C127" s="6" t="s">
        <v>247</v>
      </c>
      <c r="D127" s="7" t="str">
        <f t="shared" si="23"/>
        <v>LA SERNA HS</v>
      </c>
      <c r="E127" s="6">
        <v>68</v>
      </c>
      <c r="F127" s="31" t="str">
        <f>IF(G122="","W58",IF(G122&gt;I122,_xlfn.CONCAT("W58-",RIGHT(F122,LEN(F122)-FIND("-",F122))),_xlfn.CONCAT("W58-",RIGHT(H122,LEN(H122)-FIND("-",H122)))))</f>
        <v>W58</v>
      </c>
      <c r="G127" s="31"/>
      <c r="H127" s="31" t="str">
        <f>IF(G123="","W60",IF(G123&gt;I123,_xlfn.CONCAT("W60-",RIGHT(F123,LEN(F123)-FIND("-",F123))),_xlfn.CONCAT("W60-",RIGHT(H123,LEN(H123)-FIND("-",H123)))))</f>
        <v>W60</v>
      </c>
      <c r="I127" s="31"/>
      <c r="J127" s="31">
        <v>76</v>
      </c>
      <c r="K127" s="31">
        <v>88</v>
      </c>
      <c r="L127" s="31" t="str">
        <f t="shared" si="21"/>
        <v>18BQ-068</v>
      </c>
      <c r="N127" s="1" t="str">
        <f t="shared" si="22"/>
        <v>cu_5-6 v 7-8</v>
      </c>
    </row>
    <row r="128" spans="1:14" ht="14.1" customHeight="1">
      <c r="A128" s="4">
        <f t="shared" si="20"/>
        <v>46228</v>
      </c>
      <c r="B128" s="5">
        <f>'CHICLETS MASTER S2'!X61</f>
        <v>0.66666666666666696</v>
      </c>
      <c r="C128" s="6" t="s">
        <v>248</v>
      </c>
      <c r="D128" s="7" t="str">
        <f t="shared" si="23"/>
        <v>LA SERNA HS</v>
      </c>
      <c r="E128" s="6">
        <v>70</v>
      </c>
      <c r="F128" s="31" t="str">
        <f>IF(G121="","L56",IF(G121&lt;I121,_xlfn.CONCAT("L56-",RIGHT(F121,LEN(F121)-FIND("-",F121))),_xlfn.CONCAT("L56-",RIGHT(H121,LEN(H121)-FIND("-",H121)))))</f>
        <v>L56</v>
      </c>
      <c r="G128" s="31"/>
      <c r="H128" s="31" t="str">
        <f>IF(G120="","L54",IF(G120&lt;I120,_xlfn.CONCAT("L54-",RIGHT(F120,LEN(F120)-FIND("-",F120))),_xlfn.CONCAT("L54-",RIGHT(H120,LEN(H120)-FIND("-",H120)))))</f>
        <v>L54</v>
      </c>
      <c r="I128" s="31"/>
      <c r="J128" s="31">
        <v>83</v>
      </c>
      <c r="K128" s="31">
        <v>84</v>
      </c>
      <c r="L128" s="31" t="str">
        <f t="shared" si="21"/>
        <v>18BQ-070</v>
      </c>
      <c r="N128" s="1" t="str">
        <f t="shared" si="22"/>
        <v>cu_9-12 semi</v>
      </c>
    </row>
    <row r="129" spans="1:14" ht="14.1" customHeight="1">
      <c r="A129" s="4">
        <f t="shared" si="20"/>
        <v>46228</v>
      </c>
      <c r="B129" s="5">
        <f>'CHICLETS MASTER S2'!X62</f>
        <v>0.70833333333333304</v>
      </c>
      <c r="C129" s="6" t="s">
        <v>248</v>
      </c>
      <c r="D129" s="7" t="str">
        <f t="shared" si="23"/>
        <v>LA SERNA HS</v>
      </c>
      <c r="E129" s="6">
        <v>72</v>
      </c>
      <c r="F129" s="31" t="str">
        <f>IF(G123="","L60",IF(G123&lt;I123,_xlfn.CONCAT("L60-",RIGHT(F123,LEN(F123)-FIND("-",F123))),_xlfn.CONCAT("L60-",RIGHT(H123,LEN(H123)-FIND("-",H123)))))</f>
        <v>L60</v>
      </c>
      <c r="G129" s="31"/>
      <c r="H129" s="31" t="str">
        <f>IF(G122="","L58",IF(G122&lt;I122,_xlfn.CONCAT("L58-",RIGHT(F122,LEN(F122)-FIND("-",F122))),_xlfn.CONCAT("L58-",RIGHT(H122,LEN(H122)-FIND("-",H122)))))</f>
        <v>L58</v>
      </c>
      <c r="I129" s="31"/>
      <c r="J129" s="31">
        <v>83</v>
      </c>
      <c r="K129" s="31">
        <v>84</v>
      </c>
      <c r="L129" s="31" t="str">
        <f t="shared" si="21"/>
        <v>18BQ-072</v>
      </c>
      <c r="N129" s="1" t="str">
        <f t="shared" si="22"/>
        <v>cu_9-12 semi</v>
      </c>
    </row>
    <row r="130" spans="1:14" ht="14.1" customHeight="1">
      <c r="A130" s="4">
        <f t="shared" si="20"/>
        <v>46228</v>
      </c>
      <c r="B130" s="5">
        <f>'CHICLETS MASTER S2'!X63</f>
        <v>0.75</v>
      </c>
      <c r="C130" s="6" t="s">
        <v>266</v>
      </c>
      <c r="D130" s="7" t="str">
        <f t="shared" si="23"/>
        <v>LA SERNA HS</v>
      </c>
      <c r="E130" s="6">
        <v>74</v>
      </c>
      <c r="F130" s="31" t="str">
        <f>IF(G124="","L62",IF(G124&lt;I124,_xlfn.CONCAT("L62-",RIGHT(F124,LEN(F124)-FIND("-",F124))),_xlfn.CONCAT("L62-",RIGHT(H124,LEN(H124)-FIND("-",H124)))))</f>
        <v>L62</v>
      </c>
      <c r="G130" s="31"/>
      <c r="H130" s="31" t="str">
        <f>IF(G125="","W64",IF(G125&gt;I125,_xlfn.CONCAT("W64-",RIGHT(F125,LEN(F125)-FIND("-",F125))),_xlfn.CONCAT("W64-",RIGHT(H125,LEN(H125)-FIND("-",H125)))))</f>
        <v>W64</v>
      </c>
      <c r="I130" s="31"/>
      <c r="J130" s="31">
        <v>77</v>
      </c>
      <c r="K130" s="31">
        <v>87</v>
      </c>
      <c r="L130" s="31" t="str">
        <f>IF(E130="","",$L$13&amp;"-"&amp;TEXT(E130,"000"))</f>
        <v>18BQ-074</v>
      </c>
      <c r="N130" s="1" t="str">
        <f t="shared" si="22"/>
        <v>cu_qtr final</v>
      </c>
    </row>
    <row r="131" spans="1:14" ht="14.1" customHeight="1">
      <c r="A131" s="4">
        <f t="shared" si="20"/>
        <v>46228</v>
      </c>
      <c r="B131" s="5">
        <f>'CHICLETS MASTER S2'!X64</f>
        <v>0.79166666666666696</v>
      </c>
      <c r="C131" s="6" t="s">
        <v>266</v>
      </c>
      <c r="D131" s="7" t="str">
        <f t="shared" si="23"/>
        <v>LA SERNA HS</v>
      </c>
      <c r="E131" s="6">
        <v>76</v>
      </c>
      <c r="F131" s="31" t="str">
        <f>IF(G126="","L66",IF(G126&lt;I126,_xlfn.CONCAT("L66-",RIGHT(F126,LEN(F126)-FIND("-",F126))),_xlfn.CONCAT("L66-",RIGHT(H126,LEN(H126)-FIND("-",H126)))))</f>
        <v>L66</v>
      </c>
      <c r="G131" s="31"/>
      <c r="H131" s="31" t="str">
        <f>IF(G127="","W68",IF(G127&gt;I127,_xlfn.CONCAT("W68-",RIGHT(F127,LEN(F127)-FIND("-",F127))),_xlfn.CONCAT("W68-",RIGHT(H127,LEN(H127)-FIND("-",H127)))))</f>
        <v>W68</v>
      </c>
      <c r="I131" s="31"/>
      <c r="J131" s="31">
        <v>78</v>
      </c>
      <c r="K131" s="31">
        <v>87</v>
      </c>
      <c r="L131" s="31" t="str">
        <f>IF(E131="","",$L$13&amp;"-"&amp;TEXT(E131,"000"))</f>
        <v>18BQ-076</v>
      </c>
      <c r="N131" s="1" t="str">
        <f t="shared" si="22"/>
        <v>cu_qtr final</v>
      </c>
    </row>
    <row r="132" spans="1:14" ht="14.1" customHeight="1" thickBot="1">
      <c r="A132" s="9"/>
      <c r="B132" s="10"/>
    </row>
    <row r="133" spans="1:14" ht="14.1" customHeight="1" thickTop="1" thickBot="1">
      <c r="A133" s="19" t="s">
        <v>267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</row>
    <row r="134" spans="1:14" ht="14.1" customHeight="1" thickBot="1">
      <c r="A134" s="2">
        <v>46229</v>
      </c>
      <c r="K134" s="1" t="s">
        <v>1671</v>
      </c>
      <c r="L134" s="1" t="s">
        <v>1672</v>
      </c>
    </row>
    <row r="135" spans="1:14" ht="14.1" customHeight="1" thickBot="1">
      <c r="D135" s="22" t="str">
        <f>'CHICLETS MASTER S2'!$AF$72</f>
        <v>YORBA LINDA HS</v>
      </c>
    </row>
    <row r="136" spans="1:14" ht="14.1" customHeight="1">
      <c r="A136" s="36" t="s">
        <v>124</v>
      </c>
      <c r="B136" s="36" t="s">
        <v>125</v>
      </c>
      <c r="C136" s="36" t="s">
        <v>126</v>
      </c>
      <c r="D136" s="36" t="s">
        <v>127</v>
      </c>
      <c r="E136" s="36" t="s">
        <v>128</v>
      </c>
      <c r="F136" s="36" t="s">
        <v>129</v>
      </c>
      <c r="G136" s="36" t="s">
        <v>130</v>
      </c>
      <c r="H136" s="36" t="s">
        <v>131</v>
      </c>
      <c r="I136" s="36" t="s">
        <v>130</v>
      </c>
      <c r="J136" s="36" t="s">
        <v>132</v>
      </c>
      <c r="K136" s="36" t="s">
        <v>133</v>
      </c>
      <c r="L136" s="36" t="s">
        <v>134</v>
      </c>
    </row>
    <row r="137" spans="1:14" ht="14.1" customHeight="1">
      <c r="A137" s="4">
        <f>$A$134</f>
        <v>46229</v>
      </c>
      <c r="B137" s="5">
        <f>'CHICLETS MASTER S2'!X73</f>
        <v>0.29166666666666669</v>
      </c>
      <c r="C137" s="6" t="s">
        <v>268</v>
      </c>
      <c r="D137" s="7" t="str">
        <f t="shared" ref="D137:D144" si="24">$D$135</f>
        <v>YORBA LINDA HS</v>
      </c>
      <c r="E137" s="6">
        <v>77</v>
      </c>
      <c r="F137" s="31" t="str">
        <f>IF(G126="","W66",IF(G126&gt;I126,_xlfn.CONCAT("W66-",RIGHT(F126,LEN(F126)-FIND("-",F126))),_xlfn.CONCAT("W66-",RIGHT(H126,LEN(H126)-FIND("-",H126)))))</f>
        <v>W66</v>
      </c>
      <c r="G137" s="31"/>
      <c r="H137" s="31" t="str">
        <f>IF(G130="","W74",IF(G130&gt;I130,_xlfn.CONCAT("W74-",RIGHT(F130,LEN(F130)-FIND("-",F130))),_xlfn.CONCAT("W74-",RIGHT(H130,LEN(H130)-FIND("-",H130)))))</f>
        <v>W74</v>
      </c>
      <c r="I137" s="31"/>
      <c r="J137" s="31">
        <v>90</v>
      </c>
      <c r="K137" s="31">
        <v>89</v>
      </c>
      <c r="L137" s="31" t="str">
        <f t="shared" ref="L137:L144" si="25">IF(E137="","",$L$13&amp;"-"&amp;TEXT(E137,"000"))</f>
        <v>18BQ-077</v>
      </c>
      <c r="N137" s="1" t="str">
        <f>$L$134&amp;C137</f>
        <v>cu_semi</v>
      </c>
    </row>
    <row r="138" spans="1:14" ht="14.1" customHeight="1">
      <c r="A138" s="4">
        <f t="shared" ref="A138:A144" si="26">$A$134</f>
        <v>46229</v>
      </c>
      <c r="B138" s="5">
        <f>'CHICLETS MASTER S2'!X74</f>
        <v>0.33333333333333298</v>
      </c>
      <c r="C138" s="6" t="s">
        <v>268</v>
      </c>
      <c r="D138" s="7" t="str">
        <f t="shared" si="24"/>
        <v>YORBA LINDA HS</v>
      </c>
      <c r="E138" s="6">
        <v>78</v>
      </c>
      <c r="F138" s="31" t="str">
        <f>IF(G124="","W62",IF(G124&gt;I124,_xlfn.CONCAT("W62-",RIGHT(F124,LEN(F124)-FIND("-",F124))),_xlfn.CONCAT("W62-",RIGHT(H124,LEN(H124)-FIND("-",H124)))))</f>
        <v>W62</v>
      </c>
      <c r="G138" s="31"/>
      <c r="H138" s="31" t="str">
        <f>IF(G131="","W76",IF(G131&gt;I131,_xlfn.CONCAT("W76-",RIGHT(F131,LEN(F131)-FIND("-",F131))),_xlfn.CONCAT("W76-",RIGHT(H131,LEN(H131)-FIND("-",H131)))))</f>
        <v>W76</v>
      </c>
      <c r="I138" s="31"/>
      <c r="J138" s="31">
        <v>90</v>
      </c>
      <c r="K138" s="31">
        <v>89</v>
      </c>
      <c r="L138" s="31" t="str">
        <f t="shared" si="25"/>
        <v>18BQ-078</v>
      </c>
      <c r="N138" s="1" t="str">
        <f>$L$134&amp;C138</f>
        <v>cu_semi</v>
      </c>
    </row>
    <row r="139" spans="1:14" ht="14.1" customHeight="1">
      <c r="A139" s="4">
        <f t="shared" si="26"/>
        <v>46229</v>
      </c>
      <c r="B139" s="5">
        <f>'CHICLETS MASTER S2'!X75</f>
        <v>0.375</v>
      </c>
      <c r="C139" s="6" t="s">
        <v>268</v>
      </c>
      <c r="D139" s="7" t="str">
        <f t="shared" si="24"/>
        <v>YORBA LINDA HS</v>
      </c>
      <c r="E139" s="6">
        <v>79</v>
      </c>
      <c r="F139" s="13" t="str">
        <f>IF(G111="","W65",IF(G111&gt;I111,_xlfn.CONCAT("W65-",RIGHT(F111,LEN(F111)-FIND("-",F111))),_xlfn.CONCAT("W65-",RIGHT(H111,LEN(H111)-FIND("-",H111)))))</f>
        <v>W65</v>
      </c>
      <c r="G139" s="13"/>
      <c r="H139" s="13" t="str">
        <f>IF(G115="","W73",IF(G115&gt;I115,_xlfn.CONCAT("W73-",RIGHT(F115,LEN(F115)-FIND("-",F115))),_xlfn.CONCAT("W73-",RIGHT(H115,LEN(H115)-FIND("-",H115)))))</f>
        <v>W73</v>
      </c>
      <c r="I139" s="13"/>
      <c r="J139" s="13">
        <v>92</v>
      </c>
      <c r="K139" s="13">
        <v>91</v>
      </c>
      <c r="L139" s="13" t="str">
        <f t="shared" si="25"/>
        <v>18BQ-079</v>
      </c>
      <c r="N139" s="1" t="str">
        <f>$K$134&amp;C139</f>
        <v>ni_semi</v>
      </c>
    </row>
    <row r="140" spans="1:14" ht="14.1" customHeight="1">
      <c r="A140" s="4">
        <f t="shared" si="26"/>
        <v>46229</v>
      </c>
      <c r="B140" s="5">
        <f>'CHICLETS MASTER S2'!X76</f>
        <v>0.41666666666666702</v>
      </c>
      <c r="C140" s="6" t="s">
        <v>268</v>
      </c>
      <c r="D140" s="7" t="str">
        <f t="shared" si="24"/>
        <v>YORBA LINDA HS</v>
      </c>
      <c r="E140" s="6">
        <v>80</v>
      </c>
      <c r="F140" s="13" t="str">
        <f>IF(G109="","W61",IF(G109&gt;I109,_xlfn.CONCAT("W61-",RIGHT(F109,LEN(F109)-FIND("-",F109))),_xlfn.CONCAT("W61-",RIGHT(H109,LEN(H109)-FIND("-",H109)))))</f>
        <v>W61</v>
      </c>
      <c r="G140" s="13"/>
      <c r="H140" s="13" t="str">
        <f>IF(G116="","W75",IF(G116&gt;I116,_xlfn.CONCAT("W75-",RIGHT(F116,LEN(F116)-FIND("-",F116))),_xlfn.CONCAT("W75-",RIGHT(H116,LEN(H116)-FIND("-",H116)))))</f>
        <v>W75</v>
      </c>
      <c r="I140" s="13"/>
      <c r="J140" s="13">
        <v>92</v>
      </c>
      <c r="K140" s="13">
        <v>91</v>
      </c>
      <c r="L140" s="13" t="str">
        <f t="shared" si="25"/>
        <v>18BQ-080</v>
      </c>
      <c r="N140" s="1" t="str">
        <f>$K$134&amp;C140</f>
        <v>ni_semi</v>
      </c>
    </row>
    <row r="141" spans="1:14" ht="14.1" customHeight="1">
      <c r="A141" s="4">
        <f t="shared" si="26"/>
        <v>46229</v>
      </c>
      <c r="B141" s="5">
        <f>'CHICLETS MASTER S2'!X77</f>
        <v>0.45833333333333298</v>
      </c>
      <c r="C141" s="6" t="s">
        <v>275</v>
      </c>
      <c r="D141" s="7" t="str">
        <f t="shared" si="24"/>
        <v>YORBA LINDA HS</v>
      </c>
      <c r="E141" s="6">
        <v>89</v>
      </c>
      <c r="F141" s="31" t="str">
        <f>IF(G137="","L77",IF(G137&lt;I137,_xlfn.CONCAT("L77-",RIGHT(F137,LEN(F137)-FIND("-",F137))),_xlfn.CONCAT("L77-",RIGHT(H137,LEN(H137)-FIND("-",H137)))))</f>
        <v>L77</v>
      </c>
      <c r="G141" s="31"/>
      <c r="H141" s="31" t="str">
        <f>IF(G138="","L78",IF(G138&lt;I138,_xlfn.CONCAT("L78-",RIGHT(F138,LEN(F138)-FIND("-",F138))),_xlfn.CONCAT("L78-",RIGHT(H138,LEN(H138)-FIND("-",H138)))))</f>
        <v>L78</v>
      </c>
      <c r="I141" s="31"/>
      <c r="J141" s="31" t="s">
        <v>1721</v>
      </c>
      <c r="K141" s="31" t="s">
        <v>1722</v>
      </c>
      <c r="L141" s="31" t="str">
        <f t="shared" si="25"/>
        <v>18BQ-089</v>
      </c>
      <c r="N141" s="1" t="str">
        <f>$L$134&amp;C141</f>
        <v>cu_3rd</v>
      </c>
    </row>
    <row r="142" spans="1:14" ht="14.1" customHeight="1">
      <c r="A142" s="4">
        <f t="shared" si="26"/>
        <v>46229</v>
      </c>
      <c r="B142" s="5">
        <f>'CHICLETS MASTER S2'!X78</f>
        <v>0.5</v>
      </c>
      <c r="C142" s="6" t="s">
        <v>278</v>
      </c>
      <c r="D142" s="7" t="str">
        <f t="shared" si="24"/>
        <v>YORBA LINDA HS</v>
      </c>
      <c r="E142" s="6">
        <v>90</v>
      </c>
      <c r="F142" s="34" t="str">
        <f>IF(G137="","W77",IF(G137&gt;I137,_xlfn.CONCAT("W77-",RIGHT(F137,LEN(F137)-FIND("-",F137))),_xlfn.CONCAT("W77-",RIGHT(H137,LEN(H137)-FIND("-",H137)))))</f>
        <v>W77</v>
      </c>
      <c r="G142" s="34"/>
      <c r="H142" s="34" t="str">
        <f>IF(G138="","W78",IF(G138&gt;I138,_xlfn.CONCAT("W78-",RIGHT(F138,LEN(F138)-FIND("-",F138))),_xlfn.CONCAT("W78-",RIGHT(H138,LEN(H138)-FIND("-",H138)))))</f>
        <v>W78</v>
      </c>
      <c r="I142" s="31"/>
      <c r="J142" s="31" t="s">
        <v>1723</v>
      </c>
      <c r="K142" s="31" t="s">
        <v>1724</v>
      </c>
      <c r="L142" s="31" t="str">
        <f t="shared" si="25"/>
        <v>18BQ-090</v>
      </c>
      <c r="N142" s="1" t="str">
        <f>$L$134&amp;C142</f>
        <v>cu_1st</v>
      </c>
    </row>
    <row r="143" spans="1:14" ht="14.1" customHeight="1">
      <c r="A143" s="4">
        <f t="shared" si="26"/>
        <v>46229</v>
      </c>
      <c r="B143" s="5">
        <f>'CHICLETS MASTER S2'!X79</f>
        <v>0.54166666666666696</v>
      </c>
      <c r="C143" s="6" t="s">
        <v>275</v>
      </c>
      <c r="D143" s="7" t="str">
        <f t="shared" si="24"/>
        <v>YORBA LINDA HS</v>
      </c>
      <c r="E143" s="11">
        <v>91</v>
      </c>
      <c r="F143" s="25" t="str">
        <f>IF(G139="","L79",IF(G139&lt;I139,_xlfn.CONCAT("L79-",RIGHT(F139,LEN(F139)-FIND("-",F139))),_xlfn.CONCAT("L79-",RIGHT(H139,LEN(H139)-FIND("-",H139)))))</f>
        <v>L79</v>
      </c>
      <c r="G143" s="40"/>
      <c r="H143" s="25" t="str">
        <f>IF(G140="","L80",IF(G140&lt;I140,_xlfn.CONCAT("L80-",RIGHT(F140,LEN(F140)-FIND("-",F140))),_xlfn.CONCAT("L80-",RIGHT(H140,LEN(H140)-FIND("-",H140)))))</f>
        <v>L80</v>
      </c>
      <c r="I143" s="26"/>
      <c r="J143" s="13" t="s">
        <v>1705</v>
      </c>
      <c r="K143" s="13" t="s">
        <v>1706</v>
      </c>
      <c r="L143" s="13" t="str">
        <f t="shared" si="25"/>
        <v>18BQ-091</v>
      </c>
      <c r="N143" s="1" t="str">
        <f>$K$134&amp;C143</f>
        <v>ni_3rd</v>
      </c>
    </row>
    <row r="144" spans="1:14" ht="14.1" customHeight="1">
      <c r="A144" s="4">
        <f t="shared" si="26"/>
        <v>46229</v>
      </c>
      <c r="B144" s="5">
        <f>'CHICLETS MASTER S2'!X80</f>
        <v>0.58333333333333304</v>
      </c>
      <c r="C144" s="6" t="s">
        <v>278</v>
      </c>
      <c r="D144" s="7" t="str">
        <f t="shared" si="24"/>
        <v>YORBA LINDA HS</v>
      </c>
      <c r="E144" s="11">
        <v>92</v>
      </c>
      <c r="F144" s="25" t="str">
        <f>IF(G139="","W79",IF(G139&gt;I139,_xlfn.CONCAT("W79-",RIGHT(F139,LEN(F139)-FIND("-",F139))),_xlfn.CONCAT("W79-",RIGHT(H139,LEN(H139)-FIND("-",H139)))))</f>
        <v>W79</v>
      </c>
      <c r="G144" s="25"/>
      <c r="H144" s="25" t="str">
        <f>IF(G140="","W80",IF(G140&gt;I140,_xlfn.CONCAT("W80-",RIGHT(F140,LEN(F140)-FIND("-",F140))),_xlfn.CONCAT("W80-",RIGHT(H140,LEN(H140)-FIND("-",H140)))))</f>
        <v>W80</v>
      </c>
      <c r="I144" s="38"/>
      <c r="J144" s="13" t="s">
        <v>1707</v>
      </c>
      <c r="K144" s="13" t="s">
        <v>1708</v>
      </c>
      <c r="L144" s="13" t="str">
        <f t="shared" si="25"/>
        <v>18BQ-092</v>
      </c>
      <c r="N144" s="1" t="str">
        <f>$K$134&amp;C144</f>
        <v>ni_1st</v>
      </c>
    </row>
    <row r="145" spans="1:14" ht="14.1" customHeight="1" thickBot="1"/>
    <row r="146" spans="1:14" ht="14.1" customHeight="1" thickBot="1">
      <c r="D146" s="22" t="str">
        <f>'CHICLETS MASTER S2'!$AT$72</f>
        <v>LA SERNA HS</v>
      </c>
    </row>
    <row r="147" spans="1:14" ht="14.1" customHeight="1">
      <c r="A147" s="36" t="s">
        <v>124</v>
      </c>
      <c r="B147" s="36" t="s">
        <v>125</v>
      </c>
      <c r="C147" s="36" t="s">
        <v>126</v>
      </c>
      <c r="D147" s="36" t="s">
        <v>127</v>
      </c>
      <c r="E147" s="36" t="s">
        <v>128</v>
      </c>
      <c r="F147" s="36" t="s">
        <v>129</v>
      </c>
      <c r="G147" s="36" t="s">
        <v>130</v>
      </c>
      <c r="H147" s="36" t="s">
        <v>131</v>
      </c>
      <c r="I147" s="36" t="s">
        <v>130</v>
      </c>
      <c r="J147" s="36" t="s">
        <v>132</v>
      </c>
      <c r="K147" s="36" t="s">
        <v>133</v>
      </c>
      <c r="L147" s="36" t="s">
        <v>134</v>
      </c>
    </row>
    <row r="148" spans="1:14" ht="14.1" customHeight="1">
      <c r="A148" s="4">
        <f t="shared" ref="A148:A155" si="27">$A$134</f>
        <v>46229</v>
      </c>
      <c r="B148" s="5">
        <f>'CHICLETS MASTER S2'!X73</f>
        <v>0.29166666666666669</v>
      </c>
      <c r="C148" s="6" t="s">
        <v>284</v>
      </c>
      <c r="D148" s="7" t="str">
        <f t="shared" ref="D148:D155" si="28">$D$146</f>
        <v>LA SERNA HS</v>
      </c>
      <c r="E148" s="6">
        <v>81</v>
      </c>
      <c r="F148" s="13" t="str">
        <f>IF(G113="","L69",IF(G113&lt;I113,_xlfn.CONCAT("L69-",RIGHT(F113,LEN(F113)-FIND("-",F113))),_xlfn.CONCAT("L69-",RIGHT(H113,LEN(H113)-FIND("-",H113)))))</f>
        <v>L69</v>
      </c>
      <c r="G148" s="13"/>
      <c r="H148" s="13" t="str">
        <f>IF(G114="","L71",IF(G114&lt;I114,_xlfn.CONCAT("L71-",RIGHT(F114,LEN(F114)-FIND("-",F114))),_xlfn.CONCAT("L71-",RIGHT(H114,LEN(H114)-FIND("-",H114)))))</f>
        <v>L71</v>
      </c>
      <c r="I148" s="13"/>
      <c r="J148" s="13" t="s">
        <v>1715</v>
      </c>
      <c r="K148" s="13" t="s">
        <v>1716</v>
      </c>
      <c r="L148" s="13" t="str">
        <f t="shared" ref="L148:L155" si="29">IF(E148="","",$L$13&amp;"-"&amp;TEXT(E148,"000"))</f>
        <v>18BQ-081</v>
      </c>
      <c r="N148" s="1" t="str">
        <f>$K$134&amp;C148</f>
        <v>ni_11th</v>
      </c>
    </row>
    <row r="149" spans="1:14" ht="14.1" customHeight="1">
      <c r="A149" s="4">
        <f t="shared" si="27"/>
        <v>46229</v>
      </c>
      <c r="B149" s="5">
        <f>'CHICLETS MASTER S2'!X74</f>
        <v>0.33333333333333298</v>
      </c>
      <c r="C149" s="6" t="s">
        <v>281</v>
      </c>
      <c r="D149" s="7" t="str">
        <f t="shared" si="28"/>
        <v>LA SERNA HS</v>
      </c>
      <c r="E149" s="6">
        <v>82</v>
      </c>
      <c r="F149" s="13" t="str">
        <f>IF(G113="","W69",IF(G113&gt;I113,_xlfn.CONCAT("W69-",RIGHT(F113,LEN(F113)-FIND("-",F113))),_xlfn.CONCAT("W69-",RIGHT(H113,LEN(H113)-FIND("-",H113)))))</f>
        <v>W69</v>
      </c>
      <c r="G149" s="13"/>
      <c r="H149" s="13" t="str">
        <f>IF(G114="","W71",IF(G114&gt;I114,_xlfn.CONCAT("W71-",RIGHT(F114,LEN(F114)-FIND("-",F114))),_xlfn.CONCAT("W71-",RIGHT(H114,LEN(H114)-FIND("-",H114)))))</f>
        <v>W71</v>
      </c>
      <c r="I149" s="13"/>
      <c r="J149" s="13" t="s">
        <v>1713</v>
      </c>
      <c r="K149" s="13" t="s">
        <v>1714</v>
      </c>
      <c r="L149" s="13" t="str">
        <f t="shared" si="29"/>
        <v>18BQ-082</v>
      </c>
      <c r="N149" s="1" t="str">
        <f>$K$134&amp;C149</f>
        <v>ni_9th</v>
      </c>
    </row>
    <row r="150" spans="1:14" ht="14.1" customHeight="1">
      <c r="A150" s="4">
        <f t="shared" si="27"/>
        <v>46229</v>
      </c>
      <c r="B150" s="5">
        <f>'CHICLETS MASTER S2'!X75</f>
        <v>0.375</v>
      </c>
      <c r="C150" s="6" t="s">
        <v>269</v>
      </c>
      <c r="D150" s="7" t="str">
        <f t="shared" si="28"/>
        <v>LA SERNA HS</v>
      </c>
      <c r="E150" s="6">
        <v>85</v>
      </c>
      <c r="F150" s="13" t="str">
        <f>IF(G110="","L63",IF(G110&lt;I110,_xlfn.CONCAT("L63-",RIGHT(F110,LEN(F110)-FIND("-",F110))),_xlfn.CONCAT("L63-",RIGHT(H110,LEN(H110)-FIND("-",H110)))))</f>
        <v>L63</v>
      </c>
      <c r="G150" s="13"/>
      <c r="H150" s="13" t="str">
        <f>IF(G112="","L67",IF(G112&lt;I112,_xlfn.CONCAT("L67-",RIGHT(F112,LEN(F112)-FIND("-",F112))),_xlfn.CONCAT("L67-",RIGHT(H112,LEN(H112)-FIND("-",H112)))))</f>
        <v>L67</v>
      </c>
      <c r="I150" s="13"/>
      <c r="J150" s="13" t="s">
        <v>1701</v>
      </c>
      <c r="K150" s="13" t="s">
        <v>1702</v>
      </c>
      <c r="L150" s="13" t="str">
        <f t="shared" si="29"/>
        <v>18BQ-085</v>
      </c>
      <c r="N150" s="1" t="str">
        <f>$K$134&amp;C150</f>
        <v>ni_7th</v>
      </c>
    </row>
    <row r="151" spans="1:14" ht="14.1" customHeight="1">
      <c r="A151" s="4">
        <f t="shared" si="27"/>
        <v>46229</v>
      </c>
      <c r="B151" s="5">
        <f>'CHICLETS MASTER S2'!X76</f>
        <v>0.41666666666666702</v>
      </c>
      <c r="C151" s="6" t="s">
        <v>272</v>
      </c>
      <c r="D151" s="7" t="str">
        <f t="shared" si="28"/>
        <v>LA SERNA HS</v>
      </c>
      <c r="E151" s="6">
        <v>86</v>
      </c>
      <c r="F151" s="13" t="str">
        <f>IF(G115="","L73",IF(G115&lt;I115,_xlfn.CONCAT("L73-",RIGHT(F115,LEN(F115)-FIND("-",F115))),_xlfn.CONCAT("L73-",RIGHT(H115,LEN(H115)-FIND("-",H115)))))</f>
        <v>L73</v>
      </c>
      <c r="G151" s="13"/>
      <c r="H151" s="13" t="str">
        <f>IF(G116="","L75",IF(G116&lt;I116,_xlfn.CONCAT("L75-",RIGHT(F116,LEN(F116)-FIND("-",F116))),_xlfn.CONCAT("L75-",RIGHT(H116,LEN(H116)-FIND("-",H116)))))</f>
        <v>L75</v>
      </c>
      <c r="I151" s="13"/>
      <c r="J151" s="13" t="s">
        <v>1703</v>
      </c>
      <c r="K151" s="13" t="s">
        <v>1704</v>
      </c>
      <c r="L151" s="13" t="str">
        <f t="shared" si="29"/>
        <v>18BQ-086</v>
      </c>
      <c r="N151" s="1" t="str">
        <f>$K$134&amp;C151</f>
        <v>ni_5th</v>
      </c>
    </row>
    <row r="152" spans="1:14" ht="14.1" customHeight="1">
      <c r="A152" s="4">
        <f t="shared" si="27"/>
        <v>46229</v>
      </c>
      <c r="B152" s="5">
        <f>'CHICLETS MASTER S2'!X77</f>
        <v>0.45833333333333298</v>
      </c>
      <c r="C152" s="6" t="s">
        <v>272</v>
      </c>
      <c r="D152" s="7" t="str">
        <f t="shared" si="28"/>
        <v>LA SERNA HS</v>
      </c>
      <c r="E152" s="6">
        <v>87</v>
      </c>
      <c r="F152" s="31" t="str">
        <f>IF(G130="","L74",IF(G130&lt;I130,_xlfn.CONCAT("L74-",RIGHT(F130,LEN(F130)-FIND("-",F130))),_xlfn.CONCAT("L74-",RIGHT(H130,LEN(H130)-FIND("-",H130)))))</f>
        <v>L74</v>
      </c>
      <c r="G152" s="31"/>
      <c r="H152" s="31" t="str">
        <f>IF(G131="","L76",IF(G131&lt;I131,_xlfn.CONCAT("L76-",RIGHT(F131,LEN(F131)-FIND("-",F131))),_xlfn.CONCAT("L76-",RIGHT(H131,LEN(H131)-FIND("-",H131)))))</f>
        <v>L76</v>
      </c>
      <c r="I152" s="31"/>
      <c r="J152" s="31" t="s">
        <v>1719</v>
      </c>
      <c r="K152" s="31" t="s">
        <v>1720</v>
      </c>
      <c r="L152" s="31" t="str">
        <f t="shared" si="29"/>
        <v>18BQ-087</v>
      </c>
      <c r="N152" s="1" t="str">
        <f>$L$134&amp;C152</f>
        <v>cu_5th</v>
      </c>
    </row>
    <row r="153" spans="1:14" ht="14.1" customHeight="1">
      <c r="A153" s="4">
        <f t="shared" si="27"/>
        <v>46229</v>
      </c>
      <c r="B153" s="5">
        <f>'CHICLETS MASTER S2'!X78</f>
        <v>0.5</v>
      </c>
      <c r="C153" s="6" t="s">
        <v>269</v>
      </c>
      <c r="D153" s="7" t="str">
        <f t="shared" si="28"/>
        <v>LA SERNA HS</v>
      </c>
      <c r="E153" s="6">
        <v>88</v>
      </c>
      <c r="F153" s="31" t="str">
        <f>IF(G125="","L64",IF(G125&lt;I125,_xlfn.CONCAT("L64-",RIGHT(F125,LEN(F125)-FIND("-",F125))),_xlfn.CONCAT("L64-",RIGHT(H125,LEN(H125)-FIND("-",H125)))))</f>
        <v>L64</v>
      </c>
      <c r="G153" s="31"/>
      <c r="H153" s="31" t="str">
        <f>IF(G127="","L68",IF(G127&lt;I127,_xlfn.CONCAT("L68-",RIGHT(F127,LEN(F127)-FIND("-",F127))),_xlfn.CONCAT("L68-",RIGHT(H127,LEN(H127)-FIND("-",H127)))))</f>
        <v>L68</v>
      </c>
      <c r="I153" s="31"/>
      <c r="J153" s="31" t="s">
        <v>1717</v>
      </c>
      <c r="K153" s="31" t="s">
        <v>1718</v>
      </c>
      <c r="L153" s="31" t="str">
        <f t="shared" si="29"/>
        <v>18BQ-088</v>
      </c>
      <c r="N153" s="1" t="str">
        <f>$L$134&amp;C153</f>
        <v>cu_7th</v>
      </c>
    </row>
    <row r="154" spans="1:14" ht="14.1" customHeight="1">
      <c r="A154" s="4">
        <f t="shared" si="27"/>
        <v>46229</v>
      </c>
      <c r="B154" s="5">
        <f>'CHICLETS MASTER S2'!X79</f>
        <v>0.54166666666666696</v>
      </c>
      <c r="C154" s="6" t="s">
        <v>281</v>
      </c>
      <c r="D154" s="7" t="str">
        <f t="shared" si="28"/>
        <v>LA SERNA HS</v>
      </c>
      <c r="E154" s="6">
        <v>83</v>
      </c>
      <c r="F154" s="31" t="str">
        <f>IF(G128="","W70",IF(G128&gt;I128,_xlfn.CONCAT("W70-",RIGHT(F128,LEN(F128)-FIND("-",F128))),_xlfn.CONCAT("W70-",RIGHT(H128,LEN(H128)-FIND("-",H128)))))</f>
        <v>W70</v>
      </c>
      <c r="G154" s="31"/>
      <c r="H154" s="31" t="str">
        <f>IF(G129="","W72",IF(G129&gt;I129,_xlfn.CONCAT("W72-",RIGHT(F129,LEN(F129)-FIND("-",F129))),_xlfn.CONCAT("W72-",RIGHT(H129,LEN(H129)-FIND("-",H129)))))</f>
        <v>W72</v>
      </c>
      <c r="I154" s="31"/>
      <c r="J154" s="31" t="s">
        <v>1725</v>
      </c>
      <c r="K154" s="31" t="s">
        <v>1726</v>
      </c>
      <c r="L154" s="31" t="str">
        <f t="shared" si="29"/>
        <v>18BQ-083</v>
      </c>
      <c r="N154" s="1" t="str">
        <f>$L$134&amp;C154</f>
        <v>cu_9th</v>
      </c>
    </row>
    <row r="155" spans="1:14" ht="14.1" customHeight="1">
      <c r="A155" s="4">
        <f t="shared" si="27"/>
        <v>46229</v>
      </c>
      <c r="B155" s="5">
        <f>'CHICLETS MASTER S2'!X80</f>
        <v>0.58333333333333304</v>
      </c>
      <c r="C155" s="6" t="s">
        <v>284</v>
      </c>
      <c r="D155" s="7" t="str">
        <f t="shared" si="28"/>
        <v>LA SERNA HS</v>
      </c>
      <c r="E155" s="6">
        <v>84</v>
      </c>
      <c r="F155" s="31" t="str">
        <f>IF(G128="","L70",IF(G128&lt;I128,_xlfn.CONCAT("L70-",RIGHT(F128,LEN(F128)-FIND("-",F128))),_xlfn.CONCAT("L70-",RIGHT(H128,LEN(H128)-FIND("-",H128)))))</f>
        <v>L70</v>
      </c>
      <c r="G155" s="31"/>
      <c r="H155" s="31" t="str">
        <f>IF(G129="","L72",IF(G129&lt;I129,_xlfn.CONCAT("L72-",RIGHT(F129,LEN(F129)-FIND("-",F129))),_xlfn.CONCAT("L72-",RIGHT(H129,LEN(H129)-FIND("-",H129)))))</f>
        <v>L72</v>
      </c>
      <c r="I155" s="31"/>
      <c r="J155" s="31" t="s">
        <v>1727</v>
      </c>
      <c r="K155" s="31" t="s">
        <v>1728</v>
      </c>
      <c r="L155" s="31" t="str">
        <f t="shared" si="29"/>
        <v>18BQ-084</v>
      </c>
      <c r="N155" s="1" t="str">
        <f>$L$134&amp;C155</f>
        <v>cu_11th</v>
      </c>
    </row>
    <row r="157" spans="1:14" ht="14.1" customHeight="1">
      <c r="A157" s="13" t="s">
        <v>1733</v>
      </c>
      <c r="C157" s="41" t="s">
        <v>1734</v>
      </c>
    </row>
    <row r="158" spans="1:14" ht="14.1" customHeight="1">
      <c r="A158" s="13" t="s">
        <v>278</v>
      </c>
      <c r="B158" s="42" t="str">
        <f>IF(G144="","W92",IF(G144&gt;I144,_xlfn.CONCAT("W92-",RIGHT(F144,LEN(F144) - FIND("-",F144))), _xlfn.CONCAT("W92-",RIGHT(H144,LEN(H144) - FIND("-",H144)))))</f>
        <v>W92</v>
      </c>
      <c r="C158" s="41" t="s">
        <v>278</v>
      </c>
      <c r="D158" s="15" t="str">
        <f>IF(G142="","W90",IF(G142&gt;I142,_xlfn.CONCAT("W90-",RIGHT(F142,LEN(F142) - FIND("-",F142))), _xlfn.CONCAT("W90-",RIGHT(H142,LEN(H142) - FIND("-",H142)))))</f>
        <v>W90</v>
      </c>
    </row>
    <row r="159" spans="1:14" ht="14.1" customHeight="1">
      <c r="A159" s="13" t="s">
        <v>310</v>
      </c>
      <c r="B159" s="16" t="str">
        <f>IF(G144="","L92",IF(G144&lt;I144,_xlfn.CONCAT("L92-",RIGHT(F144,LEN(F144) - FIND("-",F144))), _xlfn.CONCAT("L92-",RIGHT(H144,LEN(H144) - FIND("-",H144)))))</f>
        <v>L92</v>
      </c>
      <c r="C159" s="41" t="s">
        <v>310</v>
      </c>
      <c r="D159" s="14" t="str">
        <f>IF(G142="","L90",IF(G142&lt;I142,_xlfn.CONCAT("L90-",RIGHT(F142,LEN(F142) - FIND("-",F142))), _xlfn.CONCAT("L90-",RIGHT(H142,LEN(H142) - FIND("-",H142)))))</f>
        <v>L90</v>
      </c>
    </row>
    <row r="160" spans="1:14" ht="14.1" customHeight="1">
      <c r="A160" s="13" t="s">
        <v>275</v>
      </c>
      <c r="B160" s="42" t="str">
        <f>IF(G143="","W91",IF(G143&gt;I143,_xlfn.CONCAT("W91-",RIGHT(F143,LEN(F143) - FIND("-",F143))), _xlfn.CONCAT("W91-",RIGHT(H143,LEN(H143) - FIND("-",H143)))))</f>
        <v>W91</v>
      </c>
      <c r="C160" s="41" t="s">
        <v>275</v>
      </c>
      <c r="D160" s="15" t="str">
        <f>IF(G141="","W89",IF(G141&gt;I141,_xlfn.CONCAT("W89-",RIGHT(F141,LEN(F141) - FIND("-",F141))), _xlfn.CONCAT("W89-",RIGHT(H141,LEN(H141) - FIND("-",H141)))))</f>
        <v>W89</v>
      </c>
    </row>
    <row r="161" spans="1:4" ht="14.1" customHeight="1">
      <c r="A161" s="13" t="s">
        <v>311</v>
      </c>
      <c r="B161" s="42" t="str">
        <f>IF(G143="","L91",IF(G143&lt;I143,_xlfn.CONCAT("L91-",RIGHT(F143,LEN(F143) - FIND("-",F143))), _xlfn.CONCAT("L91-",RIGHT(H143,LEN(H143) - FIND("-",H143)))))</f>
        <v>L91</v>
      </c>
      <c r="C161" s="41" t="s">
        <v>311</v>
      </c>
      <c r="D161" s="14" t="str">
        <f>IF(G141="","L89",IF(G141&lt;I141,_xlfn.CONCAT("L89-",RIGHT(F141,LEN(F141) - FIND("-",F141))), _xlfn.CONCAT("L89-",RIGHT(H141,LEN(H141) - FIND("-",H141)))))</f>
        <v>L89</v>
      </c>
    </row>
    <row r="162" spans="1:4" ht="14.1" customHeight="1">
      <c r="A162" s="13" t="s">
        <v>272</v>
      </c>
      <c r="B162" s="42" t="str">
        <f>IF(G151="","W86",IF(G151&gt;I151,_xlfn.CONCAT("W86-",RIGHT(F151,LEN(F151) - FIND("-",F151))), _xlfn.CONCAT("W86-",RIGHT(H151,LEN(H151) - FIND("-",H151)))))</f>
        <v>W86</v>
      </c>
      <c r="C162" s="41" t="s">
        <v>272</v>
      </c>
      <c r="D162" s="15" t="str">
        <f>IF(G152="","W87",IF(G152&gt;I152,_xlfn.CONCAT("W87-",RIGHT(F152,LEN(F152) - FIND("-",F152))), _xlfn.CONCAT("W87-",RIGHT(H152,LEN(H152) - FIND("-",H152)))))</f>
        <v>W87</v>
      </c>
    </row>
    <row r="163" spans="1:4" ht="14.1" customHeight="1">
      <c r="A163" s="13" t="s">
        <v>312</v>
      </c>
      <c r="B163" s="16" t="str">
        <f>IF(G151="","L86",IF(G151&lt;I151,_xlfn.CONCAT("L86-",RIGHT(F151,LEN(F151) - FIND("-",F151))), _xlfn.CONCAT("L86-",RIGHT(H151,LEN(H151) - FIND("-",H151)))))</f>
        <v>L86</v>
      </c>
      <c r="C163" s="41" t="s">
        <v>312</v>
      </c>
      <c r="D163" s="14" t="str">
        <f>IF(G152="","L87",IF(G152&lt;I152,_xlfn.CONCAT("L87-",RIGHT(F152,LEN(F152) - FIND("-",F152))), _xlfn.CONCAT("L87-",RIGHT(H152,LEN(H152) - FIND("-",H152)))))</f>
        <v>L87</v>
      </c>
    </row>
    <row r="164" spans="1:4" ht="14.1" customHeight="1">
      <c r="A164" s="13" t="s">
        <v>269</v>
      </c>
      <c r="B164" s="42" t="str">
        <f>IF(G150="","W85",IF(G150&gt;I150,_xlfn.CONCAT("W85-",RIGHT(F150,LEN(F150) - FIND("-",F150))), _xlfn.CONCAT("W85-",RIGHT(H150,LEN(H150) - FIND("-",H150)))))</f>
        <v>W85</v>
      </c>
      <c r="C164" s="41" t="s">
        <v>269</v>
      </c>
      <c r="D164" s="17" t="str">
        <f>IF(G153="","W88",IF(G153&gt;I153,_xlfn.CONCAT("W88-",RIGHT(F153,LEN(F153) - FIND("-",F153))), _xlfn.CONCAT("W88-",RIGHT(H153,LEN(H153) - FIND("-",H153)))))</f>
        <v>W88</v>
      </c>
    </row>
    <row r="165" spans="1:4" ht="14.1" customHeight="1">
      <c r="A165" s="13" t="s">
        <v>313</v>
      </c>
      <c r="B165" s="16" t="str">
        <f>IF(G150="","L85",IF(G150&lt;I150,_xlfn.CONCAT("L85-",RIGHT(F150,LEN(F150) - FIND("-",F150))), _xlfn.CONCAT("L85-",RIGHT(H150,LEN(H150) - FIND("-",H150)))))</f>
        <v>L85</v>
      </c>
      <c r="C165" s="41" t="s">
        <v>313</v>
      </c>
      <c r="D165" s="17" t="str">
        <f>IF(G153="","L88",IF(G153&lt;I153,_xlfn.CONCAT("L88-",RIGHT(F153,LEN(F153) - FIND("-",F153))), _xlfn.CONCAT("L88-",RIGHT(H153,LEN(H153) - FIND("-",H153)))))</f>
        <v>L88</v>
      </c>
    </row>
    <row r="166" spans="1:4" ht="14.1" customHeight="1">
      <c r="A166" s="13" t="s">
        <v>281</v>
      </c>
      <c r="B166" s="42" t="str">
        <f>IF(G149="","W82",IF(G149&gt;I149,_xlfn.CONCAT("W82-",RIGHT(F149,LEN(F149) - FIND("-",F149))), _xlfn.CONCAT("W82-",RIGHT(H149,LEN(H149) - FIND("-",H149)))))</f>
        <v>W82</v>
      </c>
      <c r="C166" s="41" t="s">
        <v>281</v>
      </c>
      <c r="D166" s="14" t="str">
        <f>IF(G154="","W83",IF(G154&gt;I154,_xlfn.CONCAT("W83-",RIGHT(F154,LEN(F154) - FIND("-",F154))), _xlfn.CONCAT("W83-",RIGHT(H154,LEN(H154) - FIND("-",H154)))))</f>
        <v>W83</v>
      </c>
    </row>
    <row r="167" spans="1:4" ht="14.1" customHeight="1">
      <c r="A167" s="13" t="s">
        <v>315</v>
      </c>
      <c r="B167" s="16" t="str">
        <f>IF(G149="","L82",IF(G149&lt;I149,_xlfn.CONCAT("L82-",RIGHT(F149,LEN(F149) - FIND("-",F149))), _xlfn.CONCAT("L82-",RIGHT(H149,LEN(H149) - FIND("-",H149)))))</f>
        <v>L82</v>
      </c>
      <c r="C167" s="41" t="s">
        <v>315</v>
      </c>
      <c r="D167" s="17" t="str">
        <f>IF(G154="","L83",IF(G154&lt;I154,_xlfn.CONCAT("L83-",RIGHT(F154,LEN(F154) - FIND("-",F154))), _xlfn.CONCAT("L83-",RIGHT(H154,LEN(H154) - FIND("-",H154)))))</f>
        <v>L83</v>
      </c>
    </row>
    <row r="168" spans="1:4" ht="14.1" customHeight="1">
      <c r="A168" s="13" t="s">
        <v>284</v>
      </c>
      <c r="B168" s="43" t="str">
        <f>IF(G148="","W81",IF(G148&gt;I148,_xlfn.CONCAT("W81-",RIGHT(F148,LEN(F148) - FIND("-",F148))), _xlfn.CONCAT("W81-",RIGHT(H148,LEN(H148) - FIND("-",H148)))))</f>
        <v>W81</v>
      </c>
      <c r="C168" s="41" t="s">
        <v>284</v>
      </c>
      <c r="D168" s="15" t="str">
        <f>IF(G155="","W84",IF(G155&gt;I155,_xlfn.CONCAT("W84-",RIGHT(F155,LEN(F155) - FIND("-",F155))), _xlfn.CONCAT("W84-",RIGHT(H155,LEN(H155) - FIND("-",H155)))))</f>
        <v>W84</v>
      </c>
    </row>
    <row r="169" spans="1:4" ht="14.1" customHeight="1">
      <c r="A169" s="13" t="s">
        <v>318</v>
      </c>
      <c r="B169" s="14" t="str">
        <f>IF(G148="","L81",IF(G148&lt;I148,_xlfn.CONCAT("L81-",RIGHT(F148,LEN(F148) - FIND("-",F148))), _xlfn.CONCAT("L81-",RIGHT(H148,LEN(H148) - FIND("-",H148)))))</f>
        <v>L81</v>
      </c>
      <c r="C169" s="41" t="s">
        <v>284</v>
      </c>
      <c r="D169" s="14" t="str">
        <f>IF(G155="","L84",IF(G155&lt;I155,_xlfn.CONCAT("L84-",RIGHT(F155,LEN(F155) - FIND("-",F155))), _xlfn.CONCAT("L84-",RIGHT(H155,LEN(H155) - FIND("-",H155)))))</f>
        <v>L84</v>
      </c>
    </row>
  </sheetData>
  <hyperlinks>
    <hyperlink ref="B1" r:id="rId1" xr:uid="{AB514D72-1ABE-4A41-937C-763E43E564A4}"/>
    <hyperlink ref="C1" r:id="rId2" xr:uid="{9C0B1B40-CC2D-426F-A0F6-421D3C420E1D}"/>
    <hyperlink ref="E1" r:id="rId3" xr:uid="{20E6C77B-AAB5-46C6-8ED7-AC256FCA373B}"/>
  </hyperlinks>
  <pageMargins left="0.75" right="0.75" top="1" bottom="1" header="0.25" footer="0.5"/>
  <pageSetup fitToHeight="0" orientation="landscape" horizontalDpi="4294967292" verticalDpi="4294967292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077B-C11D-47B6-9118-3724E867C017}">
  <dimension ref="A1:N169"/>
  <sheetViews>
    <sheetView topLeftCell="A130" zoomScale="120" zoomScaleNormal="120" workbookViewId="0">
      <selection activeCell="A145" sqref="A145"/>
    </sheetView>
  </sheetViews>
  <sheetFormatPr defaultColWidth="7.85546875" defaultRowHeight="14.1" customHeight="1"/>
  <cols>
    <col min="1" max="1" width="21.85546875" style="60" bestFit="1" customWidth="1"/>
    <col min="2" max="2" width="31.5703125" style="60" bestFit="1" customWidth="1"/>
    <col min="3" max="3" width="35.5703125" style="60" bestFit="1" customWidth="1"/>
    <col min="4" max="4" width="35" style="60" bestFit="1" customWidth="1"/>
    <col min="5" max="5" width="23.5703125" style="60" bestFit="1" customWidth="1"/>
    <col min="6" max="6" width="35.5703125" style="60" bestFit="1" customWidth="1"/>
    <col min="7" max="7" width="5.42578125" style="60" bestFit="1" customWidth="1"/>
    <col min="8" max="8" width="35.5703125" style="60" bestFit="1" customWidth="1"/>
    <col min="9" max="9" width="5.42578125" style="60" bestFit="1" customWidth="1"/>
    <col min="10" max="11" width="7.42578125" style="60" bestFit="1" customWidth="1"/>
    <col min="12" max="12" width="9.28515625" style="60" bestFit="1" customWidth="1"/>
    <col min="13" max="13" width="7.85546875" style="60"/>
    <col min="14" max="14" width="11.85546875" style="60" bestFit="1" customWidth="1"/>
    <col min="15" max="16384" width="7.85546875" style="60"/>
  </cols>
  <sheetData>
    <row r="1" spans="1:12" ht="14.1" customHeight="1" thickTop="1" thickBot="1">
      <c r="A1" s="308" t="s">
        <v>68</v>
      </c>
      <c r="B1" s="309"/>
      <c r="C1" s="309"/>
      <c r="D1" s="309"/>
      <c r="E1" s="309"/>
      <c r="G1" s="309"/>
      <c r="H1" s="309"/>
      <c r="I1" s="309"/>
      <c r="J1" s="309"/>
      <c r="K1" s="309"/>
      <c r="L1" s="309"/>
    </row>
    <row r="2" spans="1:12" ht="14.1" customHeight="1" thickBot="1">
      <c r="A2" s="61">
        <v>46226</v>
      </c>
    </row>
    <row r="3" spans="1:12" ht="14.1" customHeight="1" thickBot="1">
      <c r="A3" s="60" t="s">
        <v>1986</v>
      </c>
      <c r="D3" s="310" t="s">
        <v>74</v>
      </c>
    </row>
    <row r="4" spans="1:12" ht="14.1" customHeight="1">
      <c r="A4" s="311" t="s">
        <v>75</v>
      </c>
      <c r="B4" s="311" t="s">
        <v>76</v>
      </c>
      <c r="C4" s="311" t="s">
        <v>77</v>
      </c>
      <c r="D4" s="311" t="s">
        <v>78</v>
      </c>
    </row>
    <row r="5" spans="1:12" ht="14.1" customHeight="1">
      <c r="A5" s="312" t="s">
        <v>1987</v>
      </c>
      <c r="B5" s="312" t="s">
        <v>1988</v>
      </c>
      <c r="C5" s="312" t="s">
        <v>1989</v>
      </c>
      <c r="D5" s="312" t="s">
        <v>1990</v>
      </c>
    </row>
    <row r="6" spans="1:12" ht="14.1" customHeight="1">
      <c r="A6" s="312" t="s">
        <v>1991</v>
      </c>
      <c r="B6" s="312" t="s">
        <v>1992</v>
      </c>
      <c r="C6" s="312" t="s">
        <v>1993</v>
      </c>
      <c r="D6" s="312" t="s">
        <v>1994</v>
      </c>
    </row>
    <row r="7" spans="1:12" ht="14.1" customHeight="1">
      <c r="A7" s="312" t="s">
        <v>1995</v>
      </c>
      <c r="B7" s="312" t="s">
        <v>1996</v>
      </c>
      <c r="C7" s="312" t="s">
        <v>1997</v>
      </c>
      <c r="D7" s="312" t="s">
        <v>1998</v>
      </c>
    </row>
    <row r="8" spans="1:12" ht="14.1" customHeight="1">
      <c r="B8" s="312" t="s">
        <v>1999</v>
      </c>
      <c r="C8" s="312" t="s">
        <v>2000</v>
      </c>
      <c r="D8" s="312" t="s">
        <v>2001</v>
      </c>
    </row>
    <row r="9" spans="1:12" ht="14.1" customHeight="1">
      <c r="A9" s="311" t="s">
        <v>79</v>
      </c>
      <c r="B9" s="311" t="s">
        <v>80</v>
      </c>
    </row>
    <row r="10" spans="1:12" ht="14.1" customHeight="1">
      <c r="A10" s="312" t="s">
        <v>2002</v>
      </c>
      <c r="B10" s="312" t="s">
        <v>2003</v>
      </c>
    </row>
    <row r="11" spans="1:12" ht="14.1" customHeight="1">
      <c r="A11" s="312" t="s">
        <v>2004</v>
      </c>
      <c r="B11" s="312" t="s">
        <v>2005</v>
      </c>
    </row>
    <row r="12" spans="1:12" ht="14.1" customHeight="1">
      <c r="A12" s="312" t="s">
        <v>2006</v>
      </c>
      <c r="B12" s="312" t="s">
        <v>2007</v>
      </c>
    </row>
    <row r="13" spans="1:12" ht="14.1" customHeight="1">
      <c r="A13" s="312" t="s">
        <v>2008</v>
      </c>
      <c r="B13" s="312" t="s">
        <v>2009</v>
      </c>
    </row>
    <row r="14" spans="1:12" ht="14.1" customHeight="1" thickBot="1">
      <c r="L14" s="60" t="s">
        <v>1902</v>
      </c>
    </row>
    <row r="15" spans="1:12" ht="14.1" customHeight="1" thickBot="1">
      <c r="D15" s="310" t="str">
        <f>'CHICLETS MASTER S2'!AT$3</f>
        <v>LA SERNA HS</v>
      </c>
    </row>
    <row r="16" spans="1:12" ht="14.1" customHeight="1">
      <c r="A16" s="311" t="s">
        <v>124</v>
      </c>
      <c r="B16" s="311" t="s">
        <v>125</v>
      </c>
      <c r="C16" s="311" t="s">
        <v>126</v>
      </c>
      <c r="D16" s="311" t="s">
        <v>127</v>
      </c>
      <c r="E16" s="311" t="s">
        <v>128</v>
      </c>
      <c r="F16" s="311" t="s">
        <v>129</v>
      </c>
      <c r="G16" s="311" t="s">
        <v>130</v>
      </c>
      <c r="H16" s="311" t="s">
        <v>131</v>
      </c>
      <c r="I16" s="311" t="s">
        <v>130</v>
      </c>
      <c r="J16" s="311" t="s">
        <v>132</v>
      </c>
      <c r="K16" s="311" t="s">
        <v>133</v>
      </c>
      <c r="L16" s="311" t="s">
        <v>134</v>
      </c>
    </row>
    <row r="17" spans="1:12" ht="14.1" customHeight="1">
      <c r="A17" s="69">
        <f t="shared" ref="A17:A32" si="0">$A$2</f>
        <v>46226</v>
      </c>
      <c r="B17" s="70">
        <f>'CHICLETS MASTER S2'!X4</f>
        <v>0.29166666666666669</v>
      </c>
      <c r="C17" s="71" t="s">
        <v>218</v>
      </c>
      <c r="D17" s="71" t="str">
        <f t="shared" ref="D17:D32" si="1">D$15</f>
        <v>LA SERNA HS</v>
      </c>
      <c r="E17" s="71">
        <v>1</v>
      </c>
      <c r="F17" s="71" t="str">
        <f>$C$5</f>
        <v>C1-TEAM SANTA MONICA</v>
      </c>
      <c r="G17" s="71">
        <v>19</v>
      </c>
      <c r="H17" s="71" t="str">
        <f>$C$8</f>
        <v>C4-SFV</v>
      </c>
      <c r="I17" s="71">
        <v>6</v>
      </c>
      <c r="J17" s="71">
        <v>13</v>
      </c>
      <c r="K17" s="71">
        <v>15</v>
      </c>
      <c r="L17" s="71" t="str">
        <f t="shared" ref="L17:L32" si="2">IF(E17="","",$L$14&amp;"-"&amp;TEXT(E17,"000"))</f>
        <v>18BQ-001</v>
      </c>
    </row>
    <row r="18" spans="1:12" ht="14.1" customHeight="1">
      <c r="A18" s="69">
        <f t="shared" si="0"/>
        <v>46226</v>
      </c>
      <c r="B18" s="70">
        <f>'CHICLETS MASTER S2'!X5</f>
        <v>0.3263888888888889</v>
      </c>
      <c r="C18" s="71" t="s">
        <v>218</v>
      </c>
      <c r="D18" s="71" t="str">
        <f t="shared" si="1"/>
        <v>LA SERNA HS</v>
      </c>
      <c r="E18" s="71">
        <v>3</v>
      </c>
      <c r="F18" s="71" t="str">
        <f>$C$6</f>
        <v>C2-BIG VALLEY</v>
      </c>
      <c r="G18" s="71">
        <v>16</v>
      </c>
      <c r="H18" s="71" t="str">
        <f>$C$7</f>
        <v>C3-KERN PREMIER</v>
      </c>
      <c r="I18" s="71">
        <v>0</v>
      </c>
      <c r="J18" s="71">
        <v>13</v>
      </c>
      <c r="K18" s="71">
        <v>15</v>
      </c>
      <c r="L18" s="71" t="str">
        <f t="shared" si="2"/>
        <v>18BQ-003</v>
      </c>
    </row>
    <row r="19" spans="1:12" ht="14.1" customHeight="1">
      <c r="A19" s="69">
        <f t="shared" si="0"/>
        <v>46226</v>
      </c>
      <c r="B19" s="70">
        <f>'CHICLETS MASTER S2'!X6</f>
        <v>0.36111111111111099</v>
      </c>
      <c r="C19" s="71" t="s">
        <v>218</v>
      </c>
      <c r="D19" s="71" t="str">
        <f t="shared" si="1"/>
        <v>LA SERNA HS</v>
      </c>
      <c r="E19" s="71">
        <v>5</v>
      </c>
      <c r="F19" s="71" t="str">
        <f>$D$5</f>
        <v>D1-NSD STARS</v>
      </c>
      <c r="G19" s="71">
        <v>15</v>
      </c>
      <c r="H19" s="71" t="str">
        <f>$D$8</f>
        <v>D4-ECA</v>
      </c>
      <c r="I19" s="71">
        <v>5</v>
      </c>
      <c r="J19" s="71">
        <v>17</v>
      </c>
      <c r="K19" s="71">
        <v>19</v>
      </c>
      <c r="L19" s="71" t="str">
        <f t="shared" si="2"/>
        <v>18BQ-005</v>
      </c>
    </row>
    <row r="20" spans="1:12" ht="14.1" customHeight="1">
      <c r="A20" s="69">
        <f t="shared" si="0"/>
        <v>46226</v>
      </c>
      <c r="B20" s="70">
        <f>'CHICLETS MASTER S2'!X7</f>
        <v>0.39583333333333398</v>
      </c>
      <c r="C20" s="71" t="s">
        <v>218</v>
      </c>
      <c r="D20" s="71" t="str">
        <f t="shared" si="1"/>
        <v>LA SERNA HS</v>
      </c>
      <c r="E20" s="71">
        <v>7</v>
      </c>
      <c r="F20" s="71" t="str">
        <f>$D$6</f>
        <v>D2-ROUTE 66</v>
      </c>
      <c r="G20" s="71">
        <v>17</v>
      </c>
      <c r="H20" s="71" t="str">
        <f>$D$7</f>
        <v>D3-TRI VALLEY TRITONS</v>
      </c>
      <c r="I20" s="71">
        <v>3</v>
      </c>
      <c r="J20" s="71">
        <v>17</v>
      </c>
      <c r="K20" s="71">
        <v>19</v>
      </c>
      <c r="L20" s="71" t="str">
        <f t="shared" si="2"/>
        <v>18BQ-007</v>
      </c>
    </row>
    <row r="21" spans="1:12" ht="14.1" customHeight="1">
      <c r="A21" s="69">
        <f t="shared" si="0"/>
        <v>46226</v>
      </c>
      <c r="B21" s="70">
        <f>'CHICLETS MASTER S2'!X8</f>
        <v>0.43055555555555602</v>
      </c>
      <c r="C21" s="71" t="s">
        <v>218</v>
      </c>
      <c r="D21" s="71" t="str">
        <f t="shared" si="1"/>
        <v>LA SERNA HS</v>
      </c>
      <c r="E21" s="71">
        <v>9</v>
      </c>
      <c r="F21" s="71" t="str">
        <f>$A$10</f>
        <v>E1-FOOTHILL BLACK B</v>
      </c>
      <c r="G21" s="71">
        <v>5</v>
      </c>
      <c r="H21" s="71" t="str">
        <f>$A$13</f>
        <v>E4-TUALATIN HILLS</v>
      </c>
      <c r="I21" s="71">
        <v>9</v>
      </c>
      <c r="J21" s="71">
        <v>21</v>
      </c>
      <c r="K21" s="71">
        <v>23</v>
      </c>
      <c r="L21" s="71" t="str">
        <f t="shared" si="2"/>
        <v>18BQ-009</v>
      </c>
    </row>
    <row r="22" spans="1:12" ht="14.1" customHeight="1">
      <c r="A22" s="69">
        <f t="shared" si="0"/>
        <v>46226</v>
      </c>
      <c r="B22" s="70">
        <f>'CHICLETS MASTER S2'!X9</f>
        <v>0.46527777777777801</v>
      </c>
      <c r="C22" s="71" t="s">
        <v>218</v>
      </c>
      <c r="D22" s="71" t="str">
        <f t="shared" si="1"/>
        <v>LA SERNA HS</v>
      </c>
      <c r="E22" s="71">
        <v>11</v>
      </c>
      <c r="F22" s="71" t="str">
        <f>$A$11</f>
        <v>E2-NGEN</v>
      </c>
      <c r="G22" s="71">
        <v>11</v>
      </c>
      <c r="H22" s="71" t="str">
        <f>A12</f>
        <v>E3-AMP</v>
      </c>
      <c r="I22" s="73">
        <v>6</v>
      </c>
      <c r="J22" s="71">
        <v>21</v>
      </c>
      <c r="K22" s="71">
        <v>23</v>
      </c>
      <c r="L22" s="71" t="str">
        <f t="shared" si="2"/>
        <v>18BQ-011</v>
      </c>
    </row>
    <row r="23" spans="1:12" ht="14.1" customHeight="1">
      <c r="A23" s="69">
        <f t="shared" si="0"/>
        <v>46226</v>
      </c>
      <c r="B23" s="70">
        <f>'CHICLETS MASTER S2'!X10</f>
        <v>0.5</v>
      </c>
      <c r="C23" s="71" t="s">
        <v>218</v>
      </c>
      <c r="D23" s="71" t="str">
        <f t="shared" si="1"/>
        <v>LA SERNA HS</v>
      </c>
      <c r="E23" s="71">
        <v>13</v>
      </c>
      <c r="F23" s="71" t="str">
        <f>IF(G17="","W1",IF(G17&gt;I17,_xlfn.CONCAT("W1-",RIGHT(F17,LEN(F17) - FIND("-",F17))), _xlfn.CONCAT("W1-",RIGHT(H17,LEN(H17) - FIND("-",H17)))))</f>
        <v>W1-TEAM SANTA MONICA</v>
      </c>
      <c r="G23" s="71">
        <v>11.4</v>
      </c>
      <c r="H23" s="71" t="str">
        <f>IF(G18="","W3",IF(G18&gt;I18,_xlfn.CONCAT("W3-",RIGHT(F18,LEN(F18) - FIND("-",F18))), _xlfn.CONCAT("W3-",RIGHT(H18,LEN(H18) - FIND("-",H18)))))</f>
        <v>W3-BIG VALLEY</v>
      </c>
      <c r="I23" s="71">
        <v>11.5</v>
      </c>
      <c r="J23" s="71" t="s">
        <v>2010</v>
      </c>
      <c r="K23" s="71">
        <v>24</v>
      </c>
      <c r="L23" s="71" t="str">
        <f t="shared" si="2"/>
        <v>18BQ-013</v>
      </c>
    </row>
    <row r="24" spans="1:12" ht="14.1" customHeight="1">
      <c r="A24" s="69">
        <f t="shared" si="0"/>
        <v>46226</v>
      </c>
      <c r="B24" s="70">
        <f>'CHICLETS MASTER S2'!X11</f>
        <v>0.53472222222222199</v>
      </c>
      <c r="C24" s="71" t="s">
        <v>218</v>
      </c>
      <c r="D24" s="71" t="str">
        <f t="shared" si="1"/>
        <v>LA SERNA HS</v>
      </c>
      <c r="E24" s="71">
        <v>15</v>
      </c>
      <c r="F24" s="71" t="str">
        <f>IF(G17="","L1",IF(G17&lt;I17,_xlfn.CONCAT("L1-",RIGHT(F17,LEN(F17) - FIND("-",F17))), _xlfn.CONCAT("L1-",RIGHT(H17,LEN(H17) - FIND("-",H17)))))</f>
        <v>L1-SFV</v>
      </c>
      <c r="G24" s="71">
        <v>13</v>
      </c>
      <c r="H24" s="71" t="str">
        <f>IF(G18="","L3",IF(G18&lt;I18,_xlfn.CONCAT("L3-",RIGHT(F18,LEN(F18) - FIND("-",F18))), _xlfn.CONCAT("L3-",RIGHT(H18,LEN(H18) - FIND("-",H18)))))</f>
        <v>L3-KERN PREMIER</v>
      </c>
      <c r="I24" s="71">
        <v>5</v>
      </c>
      <c r="J24" s="71">
        <v>99</v>
      </c>
      <c r="K24" s="71" t="s">
        <v>2011</v>
      </c>
      <c r="L24" s="71" t="str">
        <f t="shared" si="2"/>
        <v>18BQ-015</v>
      </c>
    </row>
    <row r="25" spans="1:12" ht="14.1" customHeight="1">
      <c r="A25" s="69">
        <f t="shared" si="0"/>
        <v>46226</v>
      </c>
      <c r="B25" s="70">
        <f>'CHICLETS MASTER S2'!X12</f>
        <v>0.56944444444444497</v>
      </c>
      <c r="C25" s="71" t="s">
        <v>218</v>
      </c>
      <c r="D25" s="71" t="str">
        <f t="shared" si="1"/>
        <v>LA SERNA HS</v>
      </c>
      <c r="E25" s="71">
        <v>17</v>
      </c>
      <c r="F25" s="71" t="str">
        <f>IF(G19="","W5",IF(G19&gt;I19,_xlfn.CONCAT("W5-",RIGHT(F19,LEN(F19) - FIND("-",F19))), _xlfn.CONCAT("W5-",RIGHT(H19,LEN(H19) - FIND("-",H19)))))</f>
        <v>W5-NSD STARS</v>
      </c>
      <c r="G25" s="71">
        <v>7</v>
      </c>
      <c r="H25" s="71" t="str">
        <f>IF(G20="","W7",IF(G20&gt;I20,_xlfn.CONCAT("W7-",RIGHT(F20,LEN(F20) - FIND("-",F20))), _xlfn.CONCAT("W7-",RIGHT(H20,LEN(H20) - FIND("-",H20)))))</f>
        <v>W7-ROUTE 66</v>
      </c>
      <c r="I25" s="71">
        <v>6</v>
      </c>
      <c r="J25" s="71" t="s">
        <v>2012</v>
      </c>
      <c r="K25" s="71">
        <v>99</v>
      </c>
      <c r="L25" s="71" t="str">
        <f t="shared" si="2"/>
        <v>18BQ-017</v>
      </c>
    </row>
    <row r="26" spans="1:12" ht="14.1" customHeight="1">
      <c r="A26" s="69">
        <f t="shared" si="0"/>
        <v>46226</v>
      </c>
      <c r="B26" s="70">
        <f>'CHICLETS MASTER S2'!X13</f>
        <v>0.60416666666666696</v>
      </c>
      <c r="C26" s="71" t="s">
        <v>218</v>
      </c>
      <c r="D26" s="71" t="str">
        <f t="shared" si="1"/>
        <v>LA SERNA HS</v>
      </c>
      <c r="E26" s="71">
        <v>19</v>
      </c>
      <c r="F26" s="71" t="str">
        <f>IF(G19="","L5",IF(G19&lt;I19,_xlfn.CONCAT("L5-",RIGHT(F19,LEN(F19) - FIND("-",F19))), _xlfn.CONCAT("L5-",RIGHT(H19,LEN(H19) - FIND("-",H19)))))</f>
        <v>L5-ECA</v>
      </c>
      <c r="G26" s="71">
        <v>19</v>
      </c>
      <c r="H26" s="71" t="str">
        <f>IF(G20="","L7",IF(G20&lt;I20,_xlfn.CONCAT("L7-",RIGHT(F20,LEN(F20) - FIND("-",F20))), _xlfn.CONCAT("L7-",RIGHT(H20,LEN(H20) - FIND("-",H20)))))</f>
        <v>L7-TRI VALLEY TRITONS</v>
      </c>
      <c r="I26" s="71">
        <v>7</v>
      </c>
      <c r="J26" s="71">
        <v>24</v>
      </c>
      <c r="K26" s="71" t="s">
        <v>2013</v>
      </c>
      <c r="L26" s="71" t="str">
        <f t="shared" si="2"/>
        <v>18BQ-019</v>
      </c>
    </row>
    <row r="27" spans="1:12" ht="14.1" customHeight="1">
      <c r="A27" s="69">
        <f t="shared" si="0"/>
        <v>46226</v>
      </c>
      <c r="B27" s="70">
        <f>'CHICLETS MASTER S2'!X14</f>
        <v>0.63888888888888895</v>
      </c>
      <c r="C27" s="71" t="s">
        <v>218</v>
      </c>
      <c r="D27" s="71" t="str">
        <f t="shared" si="1"/>
        <v>LA SERNA HS</v>
      </c>
      <c r="E27" s="71">
        <v>21</v>
      </c>
      <c r="F27" s="71" t="str">
        <f>IF(G21="","W9",IF(G21&gt;I21,_xlfn.CONCAT("W9-",RIGHT(F21,LEN(F21) - FIND("-",F21))), _xlfn.CONCAT("W9-",RIGHT(H21,LEN(H21) - FIND("-",H21)))))</f>
        <v>W9-TUALATIN HILLS</v>
      </c>
      <c r="G27" s="71">
        <v>3</v>
      </c>
      <c r="H27" s="71" t="str">
        <f>IF(G22="","W11",IF(G22&gt;I22,_xlfn.CONCAT("W11-",RIGHT(F22,LEN(F22) - FIND("-",F22))), _xlfn.CONCAT("W11-",RIGHT(H22,LEN(H22) - FIND("-",H22)))))</f>
        <v>W11-NGEN</v>
      </c>
      <c r="I27" s="71">
        <v>8</v>
      </c>
      <c r="J27" s="71" t="s">
        <v>2014</v>
      </c>
      <c r="K27" s="71">
        <v>25</v>
      </c>
      <c r="L27" s="71" t="str">
        <f t="shared" si="2"/>
        <v>18BQ-021</v>
      </c>
    </row>
    <row r="28" spans="1:12" ht="14.1" customHeight="1">
      <c r="A28" s="69">
        <f t="shared" si="0"/>
        <v>46226</v>
      </c>
      <c r="B28" s="70">
        <f>'CHICLETS MASTER S2'!X15</f>
        <v>0.67361111111111105</v>
      </c>
      <c r="C28" s="71" t="s">
        <v>218</v>
      </c>
      <c r="D28" s="71" t="str">
        <f t="shared" si="1"/>
        <v>LA SERNA HS</v>
      </c>
      <c r="E28" s="71">
        <v>23</v>
      </c>
      <c r="F28" s="71" t="str">
        <f>IF(G21="","L9",IF(G21&lt;I21,_xlfn.CONCAT("L9-",RIGHT(F21,LEN(F21) - FIND("-",F21))), _xlfn.CONCAT("L9-",RIGHT(H21,LEN(H21) - FIND("-",H21)))))</f>
        <v>L9-FOOTHILL BLACK B</v>
      </c>
      <c r="G28" s="71">
        <v>17</v>
      </c>
      <c r="H28" s="71" t="str">
        <f>IF(G22="","L11",IF(G22&lt;I22,_xlfn.CONCAT("L11-",RIGHT(F22,LEN(F22) - FIND("-",F22))), _xlfn.CONCAT("L11-",RIGHT(H22,LEN(H22) - FIND("-",H22)))))</f>
        <v>L11-AMP</v>
      </c>
      <c r="I28" s="71">
        <v>4</v>
      </c>
      <c r="J28" s="71">
        <v>27</v>
      </c>
      <c r="K28" s="71" t="s">
        <v>2015</v>
      </c>
      <c r="L28" s="71" t="str">
        <f t="shared" si="2"/>
        <v>18BQ-023</v>
      </c>
    </row>
    <row r="29" spans="1:12" ht="14.1" customHeight="1">
      <c r="A29" s="69">
        <f t="shared" si="0"/>
        <v>46226</v>
      </c>
      <c r="B29" s="70">
        <f>'CHICLETS MASTER S2'!X16</f>
        <v>0.70833333333333404</v>
      </c>
      <c r="C29" s="71" t="s">
        <v>1905</v>
      </c>
      <c r="D29" s="71" t="str">
        <f t="shared" si="1"/>
        <v>LA SERNA HS</v>
      </c>
      <c r="E29" s="71">
        <v>99</v>
      </c>
      <c r="F29" s="71" t="str">
        <f>IF(G25="","L17",IF(G25&lt;I25,_xlfn.CONCAT("L17-",RIGHT(F25,LEN(F25) - FIND("-",F25))), _xlfn.CONCAT("L17-",RIGHT(H25,LEN(H25) - FIND("-",H25)))))</f>
        <v>L17-ROUTE 66</v>
      </c>
      <c r="G29" s="71">
        <v>8</v>
      </c>
      <c r="H29" s="71" t="str">
        <f>IF(G24="","W15",IF(G24&gt;I24,_xlfn.CONCAT("W15-",RIGHT(F24,LEN(F24) - FIND("-",F24))), _xlfn.CONCAT("W15-",RIGHT(H24,LEN(H24) - FIND("-",H24)))))</f>
        <v>W15-SFV</v>
      </c>
      <c r="I29" s="71">
        <v>4</v>
      </c>
      <c r="J29" s="71" t="s">
        <v>1916</v>
      </c>
      <c r="K29" s="71" t="s">
        <v>2016</v>
      </c>
      <c r="L29" s="71" t="str">
        <f t="shared" si="2"/>
        <v>18BQ-099</v>
      </c>
    </row>
    <row r="30" spans="1:12" ht="14.1" customHeight="1">
      <c r="A30" s="69">
        <f t="shared" si="0"/>
        <v>46226</v>
      </c>
      <c r="B30" s="70">
        <f>'CHICLETS MASTER S2'!X17</f>
        <v>0.74305555555555602</v>
      </c>
      <c r="C30" s="71" t="s">
        <v>1905</v>
      </c>
      <c r="D30" s="71" t="str">
        <f t="shared" si="1"/>
        <v>LA SERNA HS</v>
      </c>
      <c r="E30" s="71">
        <v>24</v>
      </c>
      <c r="F30" s="71" t="str">
        <f>IF(G23="","L13",IF(G23&lt;I23,_xlfn.CONCAT("L13-",RIGHT(F23,LEN(F23) - FIND("-",F23))), _xlfn.CONCAT("L13-",RIGHT(H23,LEN(H23) - FIND("-",H23)))))</f>
        <v>L13-TEAM SANTA MONICA</v>
      </c>
      <c r="G30" s="71">
        <v>9.1999999999999993</v>
      </c>
      <c r="H30" s="71" t="str">
        <f>IF(G26="","W19",IF(G26&gt;I26,_xlfn.CONCAT("W19-",RIGHT(F26,LEN(F26) - FIND("-",F26))), _xlfn.CONCAT("W19-",RIGHT(H26,LEN(H26) - FIND("-",H26)))))</f>
        <v>W19-ECA</v>
      </c>
      <c r="I30" s="71">
        <v>9.4</v>
      </c>
      <c r="J30" s="60" t="s">
        <v>1920</v>
      </c>
      <c r="K30" s="71" t="s">
        <v>2017</v>
      </c>
      <c r="L30" s="71" t="str">
        <f t="shared" si="2"/>
        <v>18BQ-024</v>
      </c>
    </row>
    <row r="31" spans="1:12" ht="14.1" customHeight="1">
      <c r="A31" s="69">
        <f t="shared" si="0"/>
        <v>46226</v>
      </c>
      <c r="B31" s="70">
        <f>'CHICLETS MASTER S2'!X18</f>
        <v>0.77777777777777801</v>
      </c>
      <c r="C31" s="71" t="s">
        <v>1905</v>
      </c>
      <c r="D31" s="71" t="str">
        <f t="shared" si="1"/>
        <v>LA SERNA HS</v>
      </c>
      <c r="E31" s="71">
        <v>25</v>
      </c>
      <c r="F31" s="71" t="str">
        <f>IF(G27="","L21",IF(G27&lt;I27,_xlfn.CONCAT("L21-",RIGHT(F27,LEN(F27) - FIND("-",F27))), _xlfn.CONCAT("L21-",RIGHT(H27,LEN(H27) - FIND("-",H27)))))</f>
        <v>L21-TUALATIN HILLS</v>
      </c>
      <c r="G31" s="71">
        <v>14</v>
      </c>
      <c r="H31" s="313" t="str">
        <f>IF(G45="","W14",IF(G45&gt;I45,_xlfn.CONCAT("W14-",RIGHT(F45,LEN(F45) - FIND("-",F45))), _xlfn.CONCAT("W14-",RIGHT(H45,LEN(H45) - FIND("-",H45)))))</f>
        <v>W14-YETI</v>
      </c>
      <c r="I31" s="71">
        <v>6</v>
      </c>
      <c r="J31" s="71" t="s">
        <v>2018</v>
      </c>
      <c r="K31" s="71" t="s">
        <v>2019</v>
      </c>
      <c r="L31" s="71" t="str">
        <f t="shared" si="2"/>
        <v>18BQ-025</v>
      </c>
    </row>
    <row r="32" spans="1:12" ht="14.1" customHeight="1">
      <c r="A32" s="69">
        <f t="shared" si="0"/>
        <v>46226</v>
      </c>
      <c r="B32" s="70">
        <f>'CHICLETS MASTER S2'!X19</f>
        <v>0.8125</v>
      </c>
      <c r="C32" s="71" t="s">
        <v>1905</v>
      </c>
      <c r="D32" s="71" t="str">
        <f t="shared" si="1"/>
        <v>LA SERNA HS</v>
      </c>
      <c r="E32" s="71">
        <v>27</v>
      </c>
      <c r="F32" s="71" t="str">
        <f>IF(G28="","W23",IF(G28&gt;I28,_xlfn.CONCAT("W23-",RIGHT(F28,LEN(F28) - FIND("-",F28))), _xlfn.CONCAT("W23-",RIGHT(H28,LEN(H28) - FIND("-",H28)))))</f>
        <v>W23-FOOTHILL BLACK B</v>
      </c>
      <c r="G32" s="71">
        <v>11</v>
      </c>
      <c r="H32" s="314" t="str">
        <f>IF(G46="","L16",IF(G46&lt;I46,_xlfn.CONCAT("L16-",RIGHT(F46,LEN(F46) - FIND("-",F46))), _xlfn.CONCAT("L16-",RIGHT(H46,LEN(H46) - FIND("-",H46)))))</f>
        <v>L16-SACRAMENTO</v>
      </c>
      <c r="I32" s="71">
        <v>10</v>
      </c>
      <c r="J32" s="71" t="s">
        <v>2020</v>
      </c>
      <c r="K32" s="71" t="s">
        <v>2021</v>
      </c>
      <c r="L32" s="71" t="str">
        <f t="shared" si="2"/>
        <v>18BQ-027</v>
      </c>
    </row>
    <row r="33" spans="1:13" ht="14.1" customHeight="1" thickBot="1">
      <c r="A33" s="98"/>
      <c r="B33" s="79"/>
    </row>
    <row r="34" spans="1:13" ht="14.1" customHeight="1" thickBot="1">
      <c r="D34" s="310" t="str">
        <f>'CHICLETS MASTER S2'!AS$3</f>
        <v>ANAHEIM HS</v>
      </c>
    </row>
    <row r="35" spans="1:13" ht="14.1" customHeight="1">
      <c r="A35" s="311" t="s">
        <v>124</v>
      </c>
      <c r="B35" s="311" t="s">
        <v>125</v>
      </c>
      <c r="C35" s="311" t="s">
        <v>126</v>
      </c>
      <c r="D35" s="311" t="s">
        <v>127</v>
      </c>
      <c r="E35" s="311" t="s">
        <v>128</v>
      </c>
      <c r="F35" s="311" t="s">
        <v>129</v>
      </c>
      <c r="G35" s="311" t="s">
        <v>130</v>
      </c>
      <c r="H35" s="311" t="s">
        <v>131</v>
      </c>
      <c r="I35" s="311" t="s">
        <v>130</v>
      </c>
      <c r="J35" s="311" t="s">
        <v>132</v>
      </c>
      <c r="K35" s="311" t="s">
        <v>133</v>
      </c>
      <c r="L35" s="311" t="s">
        <v>134</v>
      </c>
    </row>
    <row r="36" spans="1:13" ht="14.1" customHeight="1">
      <c r="A36" s="69">
        <f t="shared" ref="A36:A41" si="3">$A$2</f>
        <v>46226</v>
      </c>
      <c r="B36" s="70">
        <f>'CHICLETS MASTER S2'!X4</f>
        <v>0.29166666666666669</v>
      </c>
      <c r="C36" s="71" t="s">
        <v>218</v>
      </c>
      <c r="D36" s="71" t="str">
        <f t="shared" ref="D36:D41" si="4">$D$34</f>
        <v>ANAHEIM HS</v>
      </c>
      <c r="E36" s="71">
        <v>2</v>
      </c>
      <c r="F36" s="71" t="str">
        <f>$A$5</f>
        <v>A1-CHAWP BLUE</v>
      </c>
      <c r="G36" s="71">
        <v>5</v>
      </c>
      <c r="H36" s="71" t="str">
        <f>$A$7</f>
        <v>A3-SOVA</v>
      </c>
      <c r="I36" s="71">
        <v>17</v>
      </c>
      <c r="J36" s="71"/>
      <c r="K36" s="71"/>
      <c r="L36" s="71" t="str">
        <f t="shared" ref="L36:L41" si="5">IF(E36="","",$L$14&amp;"-"&amp;TEXT(E36,"000"))</f>
        <v>18BQ-002</v>
      </c>
    </row>
    <row r="37" spans="1:13" ht="14.1" customHeight="1">
      <c r="A37" s="69">
        <f t="shared" si="3"/>
        <v>46226</v>
      </c>
      <c r="B37" s="70">
        <f>'CHICLETS MASTER S2'!X5</f>
        <v>0.3263888888888889</v>
      </c>
      <c r="C37" s="71" t="s">
        <v>218</v>
      </c>
      <c r="D37" s="71" t="str">
        <f t="shared" si="4"/>
        <v>ANAHEIM HS</v>
      </c>
      <c r="E37" s="71">
        <v>4</v>
      </c>
      <c r="F37" s="71" t="str">
        <f>$B$10</f>
        <v>F1-YETI</v>
      </c>
      <c r="G37" s="71">
        <v>7</v>
      </c>
      <c r="H37" s="71" t="str">
        <f>$B$13</f>
        <v>F4-TRILOGY</v>
      </c>
      <c r="I37" s="71">
        <v>17</v>
      </c>
      <c r="J37" s="71">
        <v>16</v>
      </c>
      <c r="K37" s="71">
        <v>14</v>
      </c>
      <c r="L37" s="71" t="str">
        <f t="shared" si="5"/>
        <v>18BQ-004</v>
      </c>
    </row>
    <row r="38" spans="1:13" ht="14.1" customHeight="1">
      <c r="A38" s="69">
        <f t="shared" si="3"/>
        <v>46226</v>
      </c>
      <c r="B38" s="70">
        <f>'CHICLETS MASTER S2'!X6</f>
        <v>0.36111111111111099</v>
      </c>
      <c r="C38" s="71" t="s">
        <v>218</v>
      </c>
      <c r="D38" s="71" t="str">
        <f t="shared" si="4"/>
        <v>ANAHEIM HS</v>
      </c>
      <c r="E38" s="71">
        <v>6</v>
      </c>
      <c r="F38" s="71" t="str">
        <f>$B$11</f>
        <v>F2-SACRAMENTO</v>
      </c>
      <c r="G38" s="71">
        <v>17</v>
      </c>
      <c r="H38" s="71" t="str">
        <f>$B$12</f>
        <v>F3-SAN JOSE ALMADEN</v>
      </c>
      <c r="I38" s="71">
        <v>2</v>
      </c>
      <c r="J38" s="71">
        <v>16</v>
      </c>
      <c r="K38" s="71">
        <v>14</v>
      </c>
      <c r="L38" s="71" t="str">
        <f t="shared" si="5"/>
        <v>18BQ-006</v>
      </c>
    </row>
    <row r="39" spans="1:13" ht="14.1" customHeight="1">
      <c r="A39" s="69">
        <f t="shared" si="3"/>
        <v>46226</v>
      </c>
      <c r="B39" s="70">
        <f>'CHICLETS MASTER S2'!X7</f>
        <v>0.39583333333333398</v>
      </c>
      <c r="C39" s="71" t="s">
        <v>218</v>
      </c>
      <c r="D39" s="71" t="str">
        <f t="shared" si="4"/>
        <v>ANAHEIM HS</v>
      </c>
      <c r="E39" s="71">
        <v>8</v>
      </c>
      <c r="F39" s="71" t="str">
        <f>$B$5</f>
        <v>B1-TROJAN GOLD</v>
      </c>
      <c r="G39" s="71">
        <v>17</v>
      </c>
      <c r="H39" s="71" t="str">
        <f>$B$8</f>
        <v>B4-VALLEY UNITED</v>
      </c>
      <c r="I39" s="71">
        <v>3</v>
      </c>
      <c r="J39" s="71">
        <v>18</v>
      </c>
      <c r="K39" s="71">
        <v>22</v>
      </c>
      <c r="L39" s="71" t="str">
        <f t="shared" si="5"/>
        <v>18BQ-008</v>
      </c>
    </row>
    <row r="40" spans="1:13" ht="14.1" customHeight="1">
      <c r="A40" s="69">
        <f t="shared" si="3"/>
        <v>46226</v>
      </c>
      <c r="B40" s="70">
        <f>'CHICLETS MASTER S2'!X8</f>
        <v>0.43055555555555602</v>
      </c>
      <c r="C40" s="71" t="s">
        <v>218</v>
      </c>
      <c r="D40" s="71" t="str">
        <f t="shared" si="4"/>
        <v>ANAHEIM HS</v>
      </c>
      <c r="E40" s="71">
        <v>10</v>
      </c>
      <c r="F40" s="71" t="str">
        <f>$B$6</f>
        <v>B2-PAC ORANGE</v>
      </c>
      <c r="G40" s="71">
        <v>22</v>
      </c>
      <c r="H40" s="71" t="str">
        <f>$B$7</f>
        <v>B3-LAMORINDA BRENTWOOD</v>
      </c>
      <c r="I40" s="71">
        <v>4</v>
      </c>
      <c r="J40" s="71">
        <v>18</v>
      </c>
      <c r="K40" s="71">
        <v>22</v>
      </c>
      <c r="L40" s="71" t="str">
        <f t="shared" si="5"/>
        <v>18BQ-010</v>
      </c>
    </row>
    <row r="41" spans="1:13" ht="14.1" customHeight="1">
      <c r="A41" s="69">
        <f t="shared" si="3"/>
        <v>46226</v>
      </c>
      <c r="B41" s="70">
        <f>'CHICLETS MASTER S2'!X9</f>
        <v>0.46527777777777801</v>
      </c>
      <c r="C41" s="71" t="s">
        <v>218</v>
      </c>
      <c r="D41" s="71" t="str">
        <f t="shared" si="4"/>
        <v>ANAHEIM HS</v>
      </c>
      <c r="E41" s="71">
        <v>12</v>
      </c>
      <c r="F41" s="71" t="str">
        <f>$A$5</f>
        <v>A1-CHAWP BLUE</v>
      </c>
      <c r="G41" s="71">
        <v>16</v>
      </c>
      <c r="H41" s="71" t="str">
        <f>$A$6</f>
        <v>A2-TRI VALLEY</v>
      </c>
      <c r="I41" s="71">
        <v>3</v>
      </c>
      <c r="J41" s="71"/>
      <c r="K41" s="71"/>
      <c r="L41" s="71" t="str">
        <f t="shared" si="5"/>
        <v>18BQ-012</v>
      </c>
    </row>
    <row r="42" spans="1:13" ht="14.1" customHeight="1" thickBot="1">
      <c r="A42" s="98"/>
      <c r="B42" s="79"/>
    </row>
    <row r="43" spans="1:13" ht="14.1" customHeight="1" thickBot="1">
      <c r="D43" s="310" t="str">
        <f>'CHICLETS MASTER S2'!AR$3</f>
        <v>SADDLEBACK COLLEGE 1</v>
      </c>
    </row>
    <row r="44" spans="1:13" ht="14.1" customHeight="1">
      <c r="A44" s="311" t="s">
        <v>124</v>
      </c>
      <c r="B44" s="311" t="s">
        <v>125</v>
      </c>
      <c r="C44" s="311" t="s">
        <v>126</v>
      </c>
      <c r="D44" s="311" t="s">
        <v>127</v>
      </c>
      <c r="E44" s="311" t="s">
        <v>128</v>
      </c>
      <c r="F44" s="311" t="s">
        <v>129</v>
      </c>
      <c r="G44" s="311" t="s">
        <v>130</v>
      </c>
      <c r="H44" s="311" t="s">
        <v>131</v>
      </c>
      <c r="I44" s="311" t="s">
        <v>130</v>
      </c>
      <c r="J44" s="311" t="s">
        <v>132</v>
      </c>
      <c r="K44" s="311" t="s">
        <v>133</v>
      </c>
      <c r="L44" s="311" t="s">
        <v>134</v>
      </c>
    </row>
    <row r="45" spans="1:13" ht="14.1" customHeight="1">
      <c r="A45" s="69">
        <f>$A$2</f>
        <v>46226</v>
      </c>
      <c r="B45" s="70">
        <v>0.54166666666666663</v>
      </c>
      <c r="C45" s="71" t="s">
        <v>218</v>
      </c>
      <c r="D45" s="71" t="str">
        <f>$D$43</f>
        <v>SADDLEBACK COLLEGE 1</v>
      </c>
      <c r="E45" s="71">
        <v>14</v>
      </c>
      <c r="F45" s="71" t="str">
        <f>IF(G37="","L4",IF(G37&lt;I37,_xlfn.CONCAT("L4-",RIGHT(F37,LEN(F37) - FIND("-",F37))), _xlfn.CONCAT("L4-",RIGHT(H37,LEN(H37) - FIND("-",H37)))))</f>
        <v>L4-YETI</v>
      </c>
      <c r="G45" s="71">
        <v>16</v>
      </c>
      <c r="H45" s="71" t="str">
        <f>IF(G38="","L6",IF(G38&lt;I38,_xlfn.CONCAT("L6-",RIGHT(F38,LEN(F38) - FIND("-",F38))), _xlfn.CONCAT("L6-",RIGHT(H38,LEN(H38) - FIND("-",H38)))))</f>
        <v>L6-SAN JOSE ALMADEN</v>
      </c>
      <c r="I45" s="71">
        <v>9</v>
      </c>
      <c r="J45" s="71">
        <v>25</v>
      </c>
      <c r="K45" s="71" t="s">
        <v>2022</v>
      </c>
      <c r="L45" s="71" t="str">
        <f>IF(E45="","",$L$14&amp;"-"&amp;TEXT(E45,"000"))</f>
        <v>18BQ-014</v>
      </c>
      <c r="M45" s="79"/>
    </row>
    <row r="46" spans="1:13" ht="14.1" customHeight="1">
      <c r="A46" s="69">
        <f>$A$2</f>
        <v>46226</v>
      </c>
      <c r="B46" s="70">
        <v>0.57638888888888884</v>
      </c>
      <c r="C46" s="71" t="s">
        <v>218</v>
      </c>
      <c r="D46" s="71" t="str">
        <f>$D$43</f>
        <v>SADDLEBACK COLLEGE 1</v>
      </c>
      <c r="E46" s="71">
        <v>16</v>
      </c>
      <c r="F46" s="71" t="str">
        <f>IF(G37="","W4",IF(G37&gt;I37,_xlfn.CONCAT("W4-",RIGHT(F37,LEN(F37) - FIND("-",F37))), _xlfn.CONCAT("W4-",RIGHT(H37,LEN(H37) - FIND("-",H37)))))</f>
        <v>W4-TRILOGY</v>
      </c>
      <c r="G46" s="71">
        <v>8</v>
      </c>
      <c r="H46" s="71" t="str">
        <f>IF(G38="","W6",IF(G38&gt;I38,_xlfn.CONCAT("W6-",RIGHT(F38,LEN(F38) - FIND("-",F38))), _xlfn.CONCAT("W6-",RIGHT(H38,LEN(H38) - FIND("-",H38)))))</f>
        <v>W6-SACRAMENTO</v>
      </c>
      <c r="I46" s="71">
        <v>6</v>
      </c>
      <c r="J46" s="71" t="s">
        <v>2023</v>
      </c>
      <c r="K46" s="71">
        <v>27</v>
      </c>
      <c r="L46" s="71" t="str">
        <f>IF(E46="","",$L$14&amp;"-"&amp;TEXT(E46,"000"))</f>
        <v>18BQ-016</v>
      </c>
    </row>
    <row r="47" spans="1:13" ht="14.1" customHeight="1">
      <c r="A47" s="69">
        <f>$A$2</f>
        <v>46226</v>
      </c>
      <c r="B47" s="70">
        <v>0.61111111111111105</v>
      </c>
      <c r="C47" s="71" t="s">
        <v>218</v>
      </c>
      <c r="D47" s="71" t="str">
        <f>$D$43</f>
        <v>SADDLEBACK COLLEGE 1</v>
      </c>
      <c r="E47" s="71">
        <v>18</v>
      </c>
      <c r="F47" s="71" t="str">
        <f>IF(G39="","W8",IF(G39&gt;I39,_xlfn.CONCAT("W8-",RIGHT(F39,LEN(F39) - FIND("-",F39))), _xlfn.CONCAT("W8-",RIGHT(H39,LEN(H39) - FIND("-",H39)))))</f>
        <v>W8-TROJAN GOLD</v>
      </c>
      <c r="G47" s="71">
        <v>11</v>
      </c>
      <c r="H47" s="71" t="str">
        <f>IF(G40="","W10",IF(G40&gt;I40,_xlfn.CONCAT("W10-",RIGHT(F40,LEN(F40) - FIND("-",F40))), _xlfn.CONCAT("W10-",RIGHT(H40,LEN(H40) - FIND("-",H40)))))</f>
        <v>W10-PAC ORANGE</v>
      </c>
      <c r="I47" s="71">
        <v>5</v>
      </c>
      <c r="J47" s="71" t="s">
        <v>2024</v>
      </c>
      <c r="K47" s="71">
        <v>26</v>
      </c>
      <c r="L47" s="71" t="str">
        <f>IF(E47="","",$L$14&amp;"-"&amp;TEXT(E47,"000"))</f>
        <v>18BQ-018</v>
      </c>
    </row>
    <row r="48" spans="1:13" ht="14.1" customHeight="1">
      <c r="A48" s="69">
        <f>$A$2</f>
        <v>46226</v>
      </c>
      <c r="B48" s="70">
        <v>0.64583333333333404</v>
      </c>
      <c r="C48" s="71" t="s">
        <v>218</v>
      </c>
      <c r="D48" s="71" t="str">
        <f>$D$43</f>
        <v>SADDLEBACK COLLEGE 1</v>
      </c>
      <c r="E48" s="71">
        <v>20</v>
      </c>
      <c r="F48" s="71" t="str">
        <f>$A$6</f>
        <v>A2-TRI VALLEY</v>
      </c>
      <c r="G48" s="71">
        <v>3</v>
      </c>
      <c r="H48" s="71" t="str">
        <f>$A$7</f>
        <v>A3-SOVA</v>
      </c>
      <c r="I48" s="71">
        <v>12</v>
      </c>
      <c r="J48" s="71"/>
      <c r="K48" s="71"/>
      <c r="L48" s="71" t="str">
        <f>IF(E48="","",$L$14&amp;"-"&amp;TEXT(E48,"000"))</f>
        <v>18BQ-020</v>
      </c>
    </row>
    <row r="49" spans="1:12" ht="14.1" customHeight="1">
      <c r="A49" s="69">
        <f>$A$2</f>
        <v>46226</v>
      </c>
      <c r="B49" s="70">
        <v>0.68055555555555602</v>
      </c>
      <c r="C49" s="71" t="s">
        <v>218</v>
      </c>
      <c r="D49" s="71" t="str">
        <f>$D$43</f>
        <v>SADDLEBACK COLLEGE 1</v>
      </c>
      <c r="E49" s="71">
        <v>22</v>
      </c>
      <c r="F49" s="71" t="str">
        <f>IF(G39="","L8",IF(G39&lt;I39,_xlfn.CONCAT("L8-",RIGHT(F39,LEN(F39) - FIND("-",F39))), _xlfn.CONCAT("L8-",RIGHT(H39,LEN(H39) - FIND("-",H39)))))</f>
        <v>L8-VALLEY UNITED</v>
      </c>
      <c r="G49" s="71">
        <v>13</v>
      </c>
      <c r="H49" s="71" t="str">
        <f>IF(G40="","L10",IF(G40&lt;I40,_xlfn.CONCAT("L10-",RIGHT(F40,LEN(F40) - FIND("-",F40))), _xlfn.CONCAT("L10-",RIGHT(H40,LEN(H40) - FIND("-",H40)))))</f>
        <v>L10-LAMORINDA BRENTWOOD</v>
      </c>
      <c r="I49" s="71">
        <v>12</v>
      </c>
      <c r="J49" s="71">
        <v>28</v>
      </c>
      <c r="K49" s="71" t="s">
        <v>2025</v>
      </c>
      <c r="L49" s="71" t="str">
        <f>IF(E49="","",$L$14&amp;"-"&amp;TEXT(E49,"000"))</f>
        <v>18BQ-022</v>
      </c>
    </row>
    <row r="51" spans="1:12" ht="14.1" customHeight="1">
      <c r="A51" s="69">
        <f>$A$2</f>
        <v>46226</v>
      </c>
      <c r="B51" s="70">
        <v>0.75</v>
      </c>
      <c r="C51" s="71" t="s">
        <v>1905</v>
      </c>
      <c r="D51" s="71" t="str">
        <f>$D$43</f>
        <v>SADDLEBACK COLLEGE 1</v>
      </c>
      <c r="E51" s="71">
        <v>26</v>
      </c>
      <c r="F51" s="71" t="str">
        <f>IF(G47="","L18",IF(G47&lt;I47,_xlfn.CONCAT("L18-",RIGHT(F47,LEN(F47) - FIND("-",F47))), _xlfn.CONCAT("L18-",RIGHT(H47,LEN(H47) - FIND("-",H47)))))</f>
        <v>L18-PAC ORANGE</v>
      </c>
      <c r="G51" s="71">
        <v>16</v>
      </c>
      <c r="H51" s="71" t="s">
        <v>2026</v>
      </c>
      <c r="I51" s="71">
        <v>4</v>
      </c>
      <c r="J51" s="71" t="s">
        <v>1908</v>
      </c>
      <c r="K51" s="71" t="s">
        <v>1917</v>
      </c>
      <c r="L51" s="71" t="str">
        <f>IF(E51="","",$L$14&amp;"-"&amp;TEXT(E51,"000"))</f>
        <v>18BQ-026</v>
      </c>
    </row>
    <row r="52" spans="1:12" ht="14.1" customHeight="1">
      <c r="A52" s="69">
        <f>$A$2</f>
        <v>46226</v>
      </c>
      <c r="B52" s="70">
        <v>0.78472222222222199</v>
      </c>
      <c r="C52" s="71" t="s">
        <v>1905</v>
      </c>
      <c r="D52" s="71" t="str">
        <f>$D$43</f>
        <v>SADDLEBACK COLLEGE 1</v>
      </c>
      <c r="E52" s="71">
        <v>28</v>
      </c>
      <c r="F52" s="71" t="s">
        <v>2027</v>
      </c>
      <c r="G52" s="71">
        <v>18</v>
      </c>
      <c r="H52" s="71" t="str">
        <f>IF(G49="","W22",IF(G49&gt;I49,_xlfn.CONCAT("W22-",RIGHT(F49,LEN(F49) - FIND("-",F49))), _xlfn.CONCAT("W22-",RIGHT(H49,LEN(H49) - FIND("-",H49)))))</f>
        <v>W22-VALLEY UNITED</v>
      </c>
      <c r="I52" s="71">
        <v>4</v>
      </c>
      <c r="J52" s="71" t="s">
        <v>1912</v>
      </c>
      <c r="K52" s="71" t="s">
        <v>1921</v>
      </c>
      <c r="L52" s="71" t="str">
        <f>IF(E52="","",$L$14&amp;"-"&amp;TEXT(E52,"000"))</f>
        <v>18BQ-028</v>
      </c>
    </row>
    <row r="53" spans="1:12" ht="14.1" customHeight="1" thickBot="1"/>
    <row r="54" spans="1:12" ht="14.1" customHeight="1" thickTop="1" thickBot="1">
      <c r="A54" s="308" t="s">
        <v>196</v>
      </c>
      <c r="B54" s="309"/>
      <c r="C54" s="309"/>
      <c r="D54" s="309"/>
      <c r="E54" s="309"/>
      <c r="F54" s="309"/>
      <c r="G54" s="309"/>
      <c r="H54" s="309"/>
      <c r="I54" s="309"/>
      <c r="J54" s="309"/>
      <c r="K54" s="309"/>
      <c r="L54" s="309"/>
    </row>
    <row r="55" spans="1:12" ht="14.1" customHeight="1">
      <c r="A55" s="61">
        <v>46227</v>
      </c>
    </row>
    <row r="56" spans="1:12" ht="14.1" customHeight="1">
      <c r="B56" s="60" t="s">
        <v>1637</v>
      </c>
    </row>
    <row r="57" spans="1:12" ht="14.1" customHeight="1">
      <c r="B57" s="315" t="s">
        <v>1922</v>
      </c>
      <c r="C57" s="315" t="s">
        <v>1923</v>
      </c>
      <c r="D57" s="315" t="s">
        <v>1924</v>
      </c>
      <c r="E57" s="315" t="s">
        <v>1925</v>
      </c>
    </row>
    <row r="58" spans="1:12" ht="14.1" customHeight="1">
      <c r="A58" s="60">
        <v>1</v>
      </c>
      <c r="B58" s="312" t="s">
        <v>2028</v>
      </c>
      <c r="C58" s="312" t="str">
        <f>IF(G47="","ni_B1(W18)",IF(G47&gt;I47,_xlfn.CONCAT("ni_B1(W18)-",RIGHT(F47,LEN(F47) - FIND("-",F47))), _xlfn.CONCAT("ni_B1(W18)-",RIGHT(H47,LEN(H47) - FIND("-",H47)))))</f>
        <v>ni_B1(W18)-TROJAN GOLD</v>
      </c>
      <c r="D58" s="312" t="str">
        <f>IF(G23="","ni_C1(W13)",IF(G23&gt;I23,_xlfn.CONCAT("ni_C1(W13)-",RIGHT(F23,LEN(F23) - FIND("-",F23))), _xlfn.CONCAT("ni_C1(W13)-",RIGHT(H23,LEN(H23) - FIND("-",H23)))))</f>
        <v>ni_C1(W13)-BIG VALLEY</v>
      </c>
      <c r="E58" s="312" t="str">
        <f>IF(G25="","ni_D1(W17)",IF(G25&gt;I25,_xlfn.CONCAT("ni_D1(W17)-",RIGHT(F25,LEN(F25) - FIND("-",F25))), _xlfn.CONCAT("ni_D1(W17)-",RIGHT(H25,LEN(H25) - FIND("-",H25)))))</f>
        <v>ni_D1(W17)-NSD STARS</v>
      </c>
    </row>
    <row r="59" spans="1:12" ht="14.1" customHeight="1">
      <c r="A59" s="60">
        <v>2</v>
      </c>
      <c r="B59" s="312" t="str">
        <f>IF(G31="","ni_A2(W25)",IF(G31&gt;I31,_xlfn.CONCAT("ni_A2(W25)-",RIGHT(F31,LEN(F31) - FIND("-",F31))), _xlfn.CONCAT("ni_A2(W25)-",RIGHT(H31,LEN(H31) - FIND("-",H31)))))</f>
        <v>ni_A2(W25)-TUALATIN HILLS</v>
      </c>
      <c r="C59" s="312" t="str">
        <f>IF(G32="","ni_B2(W27)",IF(G32&gt;I32,_xlfn.CONCAT("ni_B2(W27)-",RIGHT(F32,LEN(F32) - FIND("-",F32))), _xlfn.CONCAT("ni_B2(W27)-",RIGHT(H32,LEN(H32) - FIND("-",H32)))))</f>
        <v>ni_B2(W27)-FOOTHILL BLACK B</v>
      </c>
      <c r="D59" s="312" t="str">
        <f>IF(G46="","ni_C2(W16)",IF(G46&gt;I46,_xlfn.CONCAT("ni_C2(W16)-",RIGHT(F46,LEN(F46) - FIND("-",F46))), _xlfn.CONCAT("ni_C2(W16)-",RIGHT(H46,LEN(H46) - FIND("-",H46)))))</f>
        <v>ni_C2(W16)-TRILOGY</v>
      </c>
      <c r="E59" s="312" t="str">
        <f>IF(G27="","ni_D2(W21)",IF(G27&gt;I27,_xlfn.CONCAT("ni_D2(W21)-",RIGHT(F27,LEN(F27) - FIND("-",F27))), _xlfn.CONCAT("ni_D2(W21)-",RIGHT(H27,LEN(H27) - FIND("-",H27)))))</f>
        <v>ni_D2(W21)-NGEN</v>
      </c>
    </row>
    <row r="60" spans="1:12" ht="14.1" customHeight="1">
      <c r="A60" s="60">
        <v>3</v>
      </c>
      <c r="B60" s="312" t="str">
        <f>IF(G29="","ni_A3(W99)",IF(G29&gt;I29,_xlfn.CONCAT("ni_A3(W99)-",RIGHT(F29,LEN(F29) - FIND("-",F29))), _xlfn.CONCAT("ni_A3(W99)-",RIGHT(H29,LEN(H29) - FIND("-",H29)))))</f>
        <v>ni_A3(W99)-ROUTE 66</v>
      </c>
      <c r="C60" s="312" t="str">
        <f>IF(G30="","ni_B3(W24)",IF(G30&gt;I30,_xlfn.CONCAT("ni_B3(W24)-",RIGHT(F30,LEN(F30) - FIND("-",F30))), _xlfn.CONCAT("ni_B3(W24)-",RIGHT(H30,LEN(H30) - FIND("-",H30)))))</f>
        <v>ni_B3(W24)-ECA</v>
      </c>
      <c r="D60" s="312" t="str">
        <f>IF(G51="","ni_C3(W26)",IF(G51&gt;I51,_xlfn.CONCAT("ni_C3(W26)-",RIGHT(F51,LEN(F51) - FIND("-",F51))), _xlfn.CONCAT("ni_C3(W26)-",RIGHT(H51,LEN(H51) - FIND("-",H51)))))</f>
        <v>ni_C3(W26)-PAC ORANGE</v>
      </c>
      <c r="E60" s="312" t="str">
        <f>IF(G52="","ni_D3(W28)",IF(G52&gt;I52,_xlfn.CONCAT("ni_D3(W28)-",RIGHT(F52,LEN(F52) - FIND("-",F52))), _xlfn.CONCAT("ni_D3(W28)-",RIGHT(H52,LEN(H52) - FIND("-",H52)))))</f>
        <v>ni_D3(W28)-CHAWP BLUE</v>
      </c>
    </row>
    <row r="62" spans="1:12" ht="14.1" customHeight="1">
      <c r="B62" s="60" t="s">
        <v>1666</v>
      </c>
    </row>
    <row r="63" spans="1:12" ht="14.1" customHeight="1">
      <c r="B63" s="88" t="s">
        <v>1934</v>
      </c>
      <c r="C63" s="88" t="s">
        <v>1935</v>
      </c>
    </row>
    <row r="64" spans="1:12" ht="14.1" customHeight="1">
      <c r="A64" s="60">
        <v>1</v>
      </c>
      <c r="B64" s="312" t="str">
        <f>IF(G52="","cu_A1(L28)",IF(G52&lt;I52,_xlfn.CONCAT("cu_A1(L28)-",RIGHT(F52,LEN(F52) - FIND("-",F52))), _xlfn.CONCAT("cu_A1(L28)-",RIGHT(H52,LEN(H52) - FIND("-",H52)))))</f>
        <v>cu_A1(L28)-VALLEY UNITED</v>
      </c>
      <c r="C64" s="312" t="str">
        <f>IF(G51="","cu_B1(L26)",IF(G51&lt;I51,_xlfn.CONCAT("cu_B1(L26)-",RIGHT(F51,LEN(F51) - FIND("-",F51))), _xlfn.CONCAT("cu_B1(L26)-",RIGHT(H51,LEN(H51) - FIND("-",H51)))))</f>
        <v>cu_B1(L26)-TRI VALLEY</v>
      </c>
    </row>
    <row r="65" spans="1:14" ht="14.1" customHeight="1">
      <c r="A65" s="60">
        <v>2</v>
      </c>
      <c r="B65" s="312" t="str">
        <f>IF(G30="","cu_A2(L24)",IF(G30&lt;I30,_xlfn.CONCAT("cu_A2(L24)-",RIGHT(F30,LEN(F30) - FIND("-",F30))), _xlfn.CONCAT("cu_A2(L24)-",RIGHT(H30,LEN(H30) - FIND("-",H30)))))</f>
        <v>cu_A2(L24)-TEAM SANTA MONICA</v>
      </c>
      <c r="C65" s="312" t="str">
        <f>IF(G29="","cu_B2(L99)",IF(G29&lt;I29,_xlfn.CONCAT("cu_B2(L99)-",RIGHT(F29,LEN(F29) - FIND("-",F29))), _xlfn.CONCAT("cu_B2(L99)-",RIGHT(H29,LEN(H29) - FIND("-",H29)))))</f>
        <v>cu_B2(L99)-SFV</v>
      </c>
    </row>
    <row r="66" spans="1:14" ht="14.1" customHeight="1">
      <c r="A66" s="60">
        <v>3</v>
      </c>
      <c r="B66" s="312" t="str">
        <f>IF(G31="","cu_A3(L25)",IF(G31&lt;I31,_xlfn.CONCAT("cu_A3(L25)-",RIGHT(F31,LEN(F31) - FIND("-",F31))), _xlfn.CONCAT("cu_A3(L25)-",RIGHT(H31,LEN(H31) - FIND("-",H31)))))</f>
        <v>cu_A3(L25)-YETI</v>
      </c>
      <c r="C66" s="312" t="str">
        <f>IF(G32="","cu_B3(L27)",IF(G32&lt;I32,_xlfn.CONCAT("cu_B3(L27)-",RIGHT(F32,LEN(F32) - FIND("-",F32))), _xlfn.CONCAT("cu_B3(L27)-",RIGHT(H32,LEN(H32) - FIND("-",H32)))))</f>
        <v>cu_B3(L27)-SACRAMENTO</v>
      </c>
    </row>
    <row r="67" spans="1:14" ht="14.1" customHeight="1">
      <c r="A67" s="60">
        <v>4</v>
      </c>
      <c r="B67" s="312" t="str">
        <f>IF(G28="","cu_A4(L23)",IF(G28&lt;I28,_xlfn.CONCAT("cu_A4(L23)-",RIGHT(F28,LEN(F28) - FIND("-",F28))), _xlfn.CONCAT("cu_A4(L23)-",RIGHT(H28,LEN(H28) - FIND("-",H28)))))</f>
        <v>cu_A4(L23)-AMP</v>
      </c>
      <c r="C67" s="312" t="str">
        <f>IF(G45="","cu_B4(L14)",IF(G45&lt;I45,_xlfn.CONCAT("cu_B4(L14)-",RIGHT(F45,LEN(F45) - FIND("-",F45))), _xlfn.CONCAT("cu_B4(L14)-",RIGHT(H45,LEN(H45) - FIND("-",H45)))))</f>
        <v>cu_B4(L14)-SAN JOSE ALMADEN</v>
      </c>
    </row>
    <row r="68" spans="1:14" ht="14.1" customHeight="1">
      <c r="A68" s="60">
        <v>5</v>
      </c>
      <c r="B68" s="312" t="str">
        <f>IF(G24="","cu_A5(L15)",IF(G24&lt;I24,_xlfn.CONCAT("cu_A5(L15)-",RIGHT(F24,LEN(F24) - FIND("-",F24))), _xlfn.CONCAT("cu_A5(L15)-",RIGHT(H24,LEN(H24) - FIND("-",H24)))))</f>
        <v>cu_A5(L15)-KERN PREMIER</v>
      </c>
      <c r="C68" s="312" t="str">
        <f>IF(G26="","cu_B5(L19)",IF(G26&lt;I26,_xlfn.CONCAT("cu_B5(L19)-",RIGHT(F26,LEN(F26) - FIND("-",F26))), _xlfn.CONCAT("cu_B5(L19)-",RIGHT(H26,LEN(H26) - FIND("-",H26)))))</f>
        <v>cu_B5(L19)-TRI VALLEY TRITONS</v>
      </c>
      <c r="L68" s="60" t="s">
        <v>1671</v>
      </c>
    </row>
    <row r="69" spans="1:14" ht="14.1" customHeight="1" thickBot="1">
      <c r="A69" s="60">
        <v>6</v>
      </c>
      <c r="C69" s="312" t="str">
        <f>IF(G49="","cu_B6(L22)",IF(G49&lt;I49,_xlfn.CONCAT("cu_B6(L22)-",RIGHT(F49,LEN(F49) - FIND("-",F49))), _xlfn.CONCAT("cu_B6(L22)-",RIGHT(H49,LEN(H49) - FIND("-",H49)))))</f>
        <v>cu_B6(L22)-LAMORINDA BRENTWOOD</v>
      </c>
      <c r="L69" s="60" t="s">
        <v>1672</v>
      </c>
    </row>
    <row r="70" spans="1:14" ht="14.1" customHeight="1" thickBot="1">
      <c r="D70" s="310" t="str">
        <f>'CHICLETS MASTER S2'!AF$27</f>
        <v>YORBA LINDA HS</v>
      </c>
    </row>
    <row r="71" spans="1:14" ht="14.1" customHeight="1">
      <c r="A71" s="311" t="s">
        <v>124</v>
      </c>
      <c r="B71" s="311" t="s">
        <v>125</v>
      </c>
      <c r="C71" s="311" t="s">
        <v>126</v>
      </c>
      <c r="D71" s="311" t="s">
        <v>127</v>
      </c>
      <c r="E71" s="311" t="s">
        <v>128</v>
      </c>
      <c r="F71" s="311" t="s">
        <v>129</v>
      </c>
      <c r="G71" s="311" t="s">
        <v>130</v>
      </c>
      <c r="H71" s="311" t="s">
        <v>131</v>
      </c>
      <c r="I71" s="311" t="s">
        <v>130</v>
      </c>
      <c r="J71" s="311" t="s">
        <v>132</v>
      </c>
      <c r="K71" s="311" t="s">
        <v>133</v>
      </c>
      <c r="L71" s="311" t="s">
        <v>134</v>
      </c>
    </row>
    <row r="72" spans="1:14" ht="14.1" customHeight="1">
      <c r="A72" s="69">
        <f t="shared" ref="A72:A83" si="6">$A$55</f>
        <v>46227</v>
      </c>
      <c r="B72" s="70">
        <f>'CHICLETS MASTER S2'!X28</f>
        <v>0.29166666666666669</v>
      </c>
      <c r="C72" s="71" t="s">
        <v>218</v>
      </c>
      <c r="D72" s="71" t="str">
        <f t="shared" ref="D72:D83" si="7">$D$70</f>
        <v>YORBA LINDA HS</v>
      </c>
      <c r="E72" s="71">
        <v>29</v>
      </c>
      <c r="F72" s="90" t="str">
        <f>B58</f>
        <v>ni_A1(1stA)-SOVA</v>
      </c>
      <c r="G72" s="90">
        <v>7</v>
      </c>
      <c r="H72" s="90" t="str">
        <f>B59</f>
        <v>ni_A2(W25)-TUALATIN HILLS</v>
      </c>
      <c r="I72" s="90">
        <v>11</v>
      </c>
      <c r="J72" s="90"/>
      <c r="K72" s="90"/>
      <c r="L72" s="90" t="str">
        <f t="shared" ref="L72:L83" si="8">IF(E72="","",$L$14&amp;"-"&amp;TEXT(E72,"000"))</f>
        <v>18BQ-029</v>
      </c>
      <c r="N72" s="60" t="str">
        <f>$L$68&amp;C72</f>
        <v>ni_Group</v>
      </c>
    </row>
    <row r="73" spans="1:14" ht="14.1" customHeight="1">
      <c r="A73" s="69">
        <f t="shared" si="6"/>
        <v>46227</v>
      </c>
      <c r="B73" s="70">
        <f>'CHICLETS MASTER S2'!X29</f>
        <v>0.3263888888888889</v>
      </c>
      <c r="C73" s="71" t="s">
        <v>218</v>
      </c>
      <c r="D73" s="71" t="str">
        <f t="shared" si="7"/>
        <v>YORBA LINDA HS</v>
      </c>
      <c r="E73" s="71">
        <v>31</v>
      </c>
      <c r="F73" s="90" t="str">
        <f>E58</f>
        <v>ni_D1(W17)-NSD STARS</v>
      </c>
      <c r="G73" s="90">
        <v>14</v>
      </c>
      <c r="H73" s="90" t="str">
        <f>E59</f>
        <v>ni_D2(W21)-NGEN</v>
      </c>
      <c r="I73" s="90">
        <v>3</v>
      </c>
      <c r="J73" s="90"/>
      <c r="K73" s="90"/>
      <c r="L73" s="90" t="str">
        <f t="shared" si="8"/>
        <v>18BQ-031</v>
      </c>
      <c r="N73" s="60" t="str">
        <f t="shared" ref="N73:N83" si="9">$L$68&amp;C73</f>
        <v>ni_Group</v>
      </c>
    </row>
    <row r="74" spans="1:14" ht="14.1" customHeight="1">
      <c r="A74" s="69">
        <f t="shared" si="6"/>
        <v>46227</v>
      </c>
      <c r="B74" s="70">
        <f>'CHICLETS MASTER S2'!X30</f>
        <v>0.36111111111111099</v>
      </c>
      <c r="C74" s="71" t="s">
        <v>218</v>
      </c>
      <c r="D74" s="71" t="str">
        <f t="shared" si="7"/>
        <v>YORBA LINDA HS</v>
      </c>
      <c r="E74" s="71">
        <v>33</v>
      </c>
      <c r="F74" s="90" t="str">
        <f>C58</f>
        <v>ni_B1(W18)-TROJAN GOLD</v>
      </c>
      <c r="G74" s="90">
        <v>10</v>
      </c>
      <c r="H74" s="90" t="str">
        <f>C59</f>
        <v>ni_B2(W27)-FOOTHILL BLACK B</v>
      </c>
      <c r="I74" s="90">
        <v>5</v>
      </c>
      <c r="J74" s="90"/>
      <c r="K74" s="90"/>
      <c r="L74" s="90" t="str">
        <f t="shared" si="8"/>
        <v>18BQ-033</v>
      </c>
      <c r="N74" s="60" t="str">
        <f t="shared" si="9"/>
        <v>ni_Group</v>
      </c>
    </row>
    <row r="75" spans="1:14" ht="14.1" customHeight="1">
      <c r="A75" s="69">
        <f t="shared" si="6"/>
        <v>46227</v>
      </c>
      <c r="B75" s="70">
        <f>'CHICLETS MASTER S2'!X31</f>
        <v>0.39583333333333398</v>
      </c>
      <c r="C75" s="71" t="s">
        <v>218</v>
      </c>
      <c r="D75" s="71" t="str">
        <f t="shared" si="7"/>
        <v>YORBA LINDA HS</v>
      </c>
      <c r="E75" s="71">
        <v>35</v>
      </c>
      <c r="F75" s="90" t="str">
        <f>D58</f>
        <v>ni_C1(W13)-BIG VALLEY</v>
      </c>
      <c r="G75" s="90">
        <v>11</v>
      </c>
      <c r="H75" s="90" t="str">
        <f>D59</f>
        <v>ni_C2(W16)-TRILOGY</v>
      </c>
      <c r="I75" s="90">
        <v>7</v>
      </c>
      <c r="J75" s="90"/>
      <c r="K75" s="90"/>
      <c r="L75" s="90" t="str">
        <f t="shared" si="8"/>
        <v>18BQ-035</v>
      </c>
      <c r="N75" s="60" t="str">
        <f t="shared" si="9"/>
        <v>ni_Group</v>
      </c>
    </row>
    <row r="76" spans="1:14" ht="14.1" customHeight="1">
      <c r="A76" s="69">
        <f t="shared" si="6"/>
        <v>46227</v>
      </c>
      <c r="B76" s="70">
        <f>'CHICLETS MASTER S2'!X32</f>
        <v>0.43055555555555602</v>
      </c>
      <c r="C76" s="71" t="s">
        <v>218</v>
      </c>
      <c r="D76" s="71" t="str">
        <f t="shared" si="7"/>
        <v>YORBA LINDA HS</v>
      </c>
      <c r="E76" s="71">
        <v>37</v>
      </c>
      <c r="F76" s="90" t="str">
        <f>B58</f>
        <v>ni_A1(1stA)-SOVA</v>
      </c>
      <c r="G76" s="90">
        <v>8</v>
      </c>
      <c r="H76" s="90" t="str">
        <f>B60</f>
        <v>ni_A3(W99)-ROUTE 66</v>
      </c>
      <c r="I76" s="90">
        <v>14</v>
      </c>
      <c r="J76" s="90"/>
      <c r="K76" s="90"/>
      <c r="L76" s="90" t="str">
        <f t="shared" si="8"/>
        <v>18BQ-037</v>
      </c>
      <c r="N76" s="60" t="str">
        <f t="shared" si="9"/>
        <v>ni_Group</v>
      </c>
    </row>
    <row r="77" spans="1:14" ht="14.1" customHeight="1">
      <c r="A77" s="69">
        <f t="shared" si="6"/>
        <v>46227</v>
      </c>
      <c r="B77" s="70">
        <f>'CHICLETS MASTER S2'!X33</f>
        <v>0.46527777777777801</v>
      </c>
      <c r="C77" s="71" t="s">
        <v>218</v>
      </c>
      <c r="D77" s="71" t="str">
        <f t="shared" si="7"/>
        <v>YORBA LINDA HS</v>
      </c>
      <c r="E77" s="71">
        <v>39</v>
      </c>
      <c r="F77" s="90" t="str">
        <f>E58</f>
        <v>ni_D1(W17)-NSD STARS</v>
      </c>
      <c r="G77" s="90">
        <v>22</v>
      </c>
      <c r="H77" s="90" t="str">
        <f>E60</f>
        <v>ni_D3(W28)-CHAWP BLUE</v>
      </c>
      <c r="I77" s="90">
        <v>8</v>
      </c>
      <c r="J77" s="90"/>
      <c r="K77" s="90"/>
      <c r="L77" s="90" t="str">
        <f t="shared" si="8"/>
        <v>18BQ-039</v>
      </c>
      <c r="N77" s="60" t="str">
        <f t="shared" si="9"/>
        <v>ni_Group</v>
      </c>
    </row>
    <row r="78" spans="1:14" ht="14.1" customHeight="1">
      <c r="A78" s="69">
        <f t="shared" si="6"/>
        <v>46227</v>
      </c>
      <c r="B78" s="70">
        <f>'CHICLETS MASTER S2'!X34</f>
        <v>0.5</v>
      </c>
      <c r="C78" s="71" t="s">
        <v>218</v>
      </c>
      <c r="D78" s="71" t="str">
        <f t="shared" si="7"/>
        <v>YORBA LINDA HS</v>
      </c>
      <c r="E78" s="71">
        <v>41</v>
      </c>
      <c r="F78" s="90" t="str">
        <f>C58</f>
        <v>ni_B1(W18)-TROJAN GOLD</v>
      </c>
      <c r="G78" s="90">
        <v>12</v>
      </c>
      <c r="H78" s="90" t="str">
        <f>C60</f>
        <v>ni_B3(W24)-ECA</v>
      </c>
      <c r="I78" s="90">
        <v>5</v>
      </c>
      <c r="J78" s="90"/>
      <c r="K78" s="90"/>
      <c r="L78" s="90" t="str">
        <f t="shared" si="8"/>
        <v>18BQ-041</v>
      </c>
      <c r="N78" s="60" t="str">
        <f t="shared" si="9"/>
        <v>ni_Group</v>
      </c>
    </row>
    <row r="79" spans="1:14" ht="14.1" customHeight="1">
      <c r="A79" s="69">
        <f t="shared" si="6"/>
        <v>46227</v>
      </c>
      <c r="B79" s="70">
        <f>'CHICLETS MASTER S2'!X35</f>
        <v>0.53472222222222199</v>
      </c>
      <c r="C79" s="71" t="s">
        <v>218</v>
      </c>
      <c r="D79" s="71" t="str">
        <f t="shared" si="7"/>
        <v>YORBA LINDA HS</v>
      </c>
      <c r="E79" s="71">
        <v>43</v>
      </c>
      <c r="F79" s="90" t="str">
        <f>D58</f>
        <v>ni_C1(W13)-BIG VALLEY</v>
      </c>
      <c r="G79" s="90">
        <v>11</v>
      </c>
      <c r="H79" s="90" t="str">
        <f>D60</f>
        <v>ni_C3(W26)-PAC ORANGE</v>
      </c>
      <c r="I79" s="90">
        <v>9</v>
      </c>
      <c r="J79" s="90"/>
      <c r="K79" s="90"/>
      <c r="L79" s="90" t="str">
        <f t="shared" si="8"/>
        <v>18BQ-043</v>
      </c>
      <c r="N79" s="60" t="str">
        <f t="shared" si="9"/>
        <v>ni_Group</v>
      </c>
    </row>
    <row r="80" spans="1:14" ht="14.1" customHeight="1">
      <c r="A80" s="69">
        <f t="shared" si="6"/>
        <v>46227</v>
      </c>
      <c r="B80" s="70">
        <f>'CHICLETS MASTER S2'!X36</f>
        <v>0.56944444444444497</v>
      </c>
      <c r="C80" s="71" t="s">
        <v>218</v>
      </c>
      <c r="D80" s="71" t="str">
        <f t="shared" si="7"/>
        <v>YORBA LINDA HS</v>
      </c>
      <c r="E80" s="71">
        <v>45</v>
      </c>
      <c r="F80" s="90" t="str">
        <f>B59</f>
        <v>ni_A2(W25)-TUALATIN HILLS</v>
      </c>
      <c r="G80" s="90">
        <v>4</v>
      </c>
      <c r="H80" s="90" t="str">
        <f>B60</f>
        <v>ni_A3(W99)-ROUTE 66</v>
      </c>
      <c r="I80" s="90">
        <v>11</v>
      </c>
      <c r="J80" s="90"/>
      <c r="K80" s="90"/>
      <c r="L80" s="90" t="str">
        <f t="shared" si="8"/>
        <v>18BQ-045</v>
      </c>
      <c r="N80" s="60" t="str">
        <f t="shared" si="9"/>
        <v>ni_Group</v>
      </c>
    </row>
    <row r="81" spans="1:14" ht="14.1" customHeight="1">
      <c r="A81" s="69">
        <f t="shared" si="6"/>
        <v>46227</v>
      </c>
      <c r="B81" s="70">
        <f>'CHICLETS MASTER S2'!X37</f>
        <v>0.60416666666666696</v>
      </c>
      <c r="C81" s="71" t="s">
        <v>218</v>
      </c>
      <c r="D81" s="71" t="str">
        <f t="shared" si="7"/>
        <v>YORBA LINDA HS</v>
      </c>
      <c r="E81" s="71">
        <v>47</v>
      </c>
      <c r="F81" s="90" t="str">
        <f>E59</f>
        <v>ni_D2(W21)-NGEN</v>
      </c>
      <c r="G81" s="90">
        <v>9.4</v>
      </c>
      <c r="H81" s="90" t="str">
        <f>E60</f>
        <v>ni_D3(W28)-CHAWP BLUE</v>
      </c>
      <c r="I81" s="90">
        <v>9.3000000000000007</v>
      </c>
      <c r="J81" s="90"/>
      <c r="K81" s="90"/>
      <c r="L81" s="90" t="str">
        <f t="shared" si="8"/>
        <v>18BQ-047</v>
      </c>
      <c r="N81" s="60" t="str">
        <f t="shared" si="9"/>
        <v>ni_Group</v>
      </c>
    </row>
    <row r="82" spans="1:14" ht="14.1" customHeight="1">
      <c r="A82" s="69">
        <f t="shared" si="6"/>
        <v>46227</v>
      </c>
      <c r="B82" s="70">
        <f>'CHICLETS MASTER S2'!X38</f>
        <v>0.63888888888888895</v>
      </c>
      <c r="C82" s="71" t="s">
        <v>218</v>
      </c>
      <c r="D82" s="71" t="str">
        <f t="shared" si="7"/>
        <v>YORBA LINDA HS</v>
      </c>
      <c r="E82" s="71">
        <v>49</v>
      </c>
      <c r="F82" s="90" t="str">
        <f>C59</f>
        <v>ni_B2(W27)-FOOTHILL BLACK B</v>
      </c>
      <c r="G82" s="90">
        <v>14</v>
      </c>
      <c r="H82" s="90" t="str">
        <f>C60</f>
        <v>ni_B3(W24)-ECA</v>
      </c>
      <c r="I82" s="90">
        <v>6</v>
      </c>
      <c r="J82" s="90"/>
      <c r="K82" s="90"/>
      <c r="L82" s="90" t="str">
        <f t="shared" si="8"/>
        <v>18BQ-049</v>
      </c>
      <c r="N82" s="60" t="str">
        <f t="shared" si="9"/>
        <v>ni_Group</v>
      </c>
    </row>
    <row r="83" spans="1:14" ht="14.1" customHeight="1">
      <c r="A83" s="69">
        <f t="shared" si="6"/>
        <v>46227</v>
      </c>
      <c r="B83" s="70">
        <f>'CHICLETS MASTER S2'!X39</f>
        <v>0.67361111111111105</v>
      </c>
      <c r="C83" s="71" t="s">
        <v>218</v>
      </c>
      <c r="D83" s="71" t="str">
        <f t="shared" si="7"/>
        <v>YORBA LINDA HS</v>
      </c>
      <c r="E83" s="71">
        <v>51</v>
      </c>
      <c r="F83" s="90" t="str">
        <f>D59</f>
        <v>ni_C2(W16)-TRILOGY</v>
      </c>
      <c r="G83" s="90">
        <v>13</v>
      </c>
      <c r="H83" s="90" t="str">
        <f>D60</f>
        <v>ni_C3(W26)-PAC ORANGE</v>
      </c>
      <c r="I83" s="90">
        <v>8</v>
      </c>
      <c r="J83" s="90"/>
      <c r="K83" s="90"/>
      <c r="L83" s="90" t="str">
        <f t="shared" si="8"/>
        <v>18BQ-051</v>
      </c>
      <c r="N83" s="60" t="str">
        <f t="shared" si="9"/>
        <v>ni_Group</v>
      </c>
    </row>
    <row r="84" spans="1:14" ht="14.1" customHeight="1" thickBot="1">
      <c r="A84" s="98"/>
      <c r="B84" s="79"/>
    </row>
    <row r="85" spans="1:14" ht="14.1" customHeight="1" thickBot="1">
      <c r="D85" s="310" t="str">
        <f>'CHICLETS MASTER S2'!AT$27</f>
        <v>LA SERNA HS</v>
      </c>
    </row>
    <row r="86" spans="1:14" ht="14.1" customHeight="1">
      <c r="A86" s="311" t="s">
        <v>124</v>
      </c>
      <c r="B86" s="311" t="s">
        <v>125</v>
      </c>
      <c r="C86" s="311" t="s">
        <v>126</v>
      </c>
      <c r="D86" s="311" t="s">
        <v>127</v>
      </c>
      <c r="E86" s="311" t="s">
        <v>128</v>
      </c>
      <c r="F86" s="311" t="s">
        <v>129</v>
      </c>
      <c r="G86" s="311" t="s">
        <v>130</v>
      </c>
      <c r="H86" s="311" t="s">
        <v>131</v>
      </c>
      <c r="I86" s="311" t="s">
        <v>130</v>
      </c>
      <c r="J86" s="311" t="s">
        <v>132</v>
      </c>
      <c r="K86" s="311" t="s">
        <v>133</v>
      </c>
      <c r="L86" s="311" t="s">
        <v>134</v>
      </c>
    </row>
    <row r="87" spans="1:14" ht="14.1" customHeight="1">
      <c r="A87" s="69">
        <f t="shared" ref="A87:A97" si="10">$A$55</f>
        <v>46227</v>
      </c>
      <c r="B87" s="70">
        <f>'CHICLETS MASTER S2'!X28</f>
        <v>0.29166666666666669</v>
      </c>
      <c r="C87" s="71" t="s">
        <v>218</v>
      </c>
      <c r="D87" s="71" t="str">
        <f t="shared" ref="D87:D97" si="11">$D$85</f>
        <v>LA SERNA HS</v>
      </c>
      <c r="E87" s="71">
        <v>30</v>
      </c>
      <c r="F87" s="278" t="str">
        <f>B65</f>
        <v>cu_A2(L24)-TEAM SANTA MONICA</v>
      </c>
      <c r="G87" s="278">
        <v>24</v>
      </c>
      <c r="H87" s="278" t="str">
        <f>B67</f>
        <v>cu_A4(L23)-AMP</v>
      </c>
      <c r="I87" s="278">
        <v>4</v>
      </c>
      <c r="J87" s="278"/>
      <c r="K87" s="278"/>
      <c r="L87" s="278" t="str">
        <f t="shared" ref="L87:L97" si="12">IF(E87="","",$L$14&amp;"-"&amp;TEXT(E87,"000"))</f>
        <v>18BQ-030</v>
      </c>
      <c r="N87" s="60" t="str">
        <f>$L$69&amp;C87</f>
        <v>cu_Group</v>
      </c>
    </row>
    <row r="88" spans="1:14" ht="14.1" customHeight="1">
      <c r="A88" s="69">
        <f t="shared" si="10"/>
        <v>46227</v>
      </c>
      <c r="B88" s="70">
        <f>'CHICLETS MASTER S2'!X29</f>
        <v>0.3263888888888889</v>
      </c>
      <c r="C88" s="71" t="s">
        <v>218</v>
      </c>
      <c r="D88" s="71" t="str">
        <f t="shared" si="11"/>
        <v>LA SERNA HS</v>
      </c>
      <c r="E88" s="71">
        <v>32</v>
      </c>
      <c r="F88" s="278" t="str">
        <f>B66</f>
        <v>cu_A3(L25)-YETI</v>
      </c>
      <c r="G88" s="278">
        <v>10</v>
      </c>
      <c r="H88" s="278" t="str">
        <f>B68</f>
        <v>cu_A5(L15)-KERN PREMIER</v>
      </c>
      <c r="I88" s="278">
        <v>6</v>
      </c>
      <c r="J88" s="278"/>
      <c r="K88" s="278"/>
      <c r="L88" s="278" t="str">
        <f t="shared" si="12"/>
        <v>18BQ-032</v>
      </c>
      <c r="N88" s="60" t="str">
        <f t="shared" ref="N88:N97" si="13">$L$69&amp;C88</f>
        <v>cu_Group</v>
      </c>
    </row>
    <row r="89" spans="1:14" ht="14.1" customHeight="1">
      <c r="A89" s="69">
        <f t="shared" si="10"/>
        <v>46227</v>
      </c>
      <c r="B89" s="70">
        <f>'CHICLETS MASTER S2'!X30</f>
        <v>0.36111111111111099</v>
      </c>
      <c r="C89" s="71" t="s">
        <v>218</v>
      </c>
      <c r="D89" s="71" t="str">
        <f t="shared" si="11"/>
        <v>LA SERNA HS</v>
      </c>
      <c r="E89" s="71">
        <v>34</v>
      </c>
      <c r="F89" s="278" t="str">
        <f>C64</f>
        <v>cu_B1(L26)-TRI VALLEY</v>
      </c>
      <c r="G89" s="278">
        <v>4</v>
      </c>
      <c r="H89" s="278" t="str">
        <f>C66</f>
        <v>cu_B3(L27)-SACRAMENTO</v>
      </c>
      <c r="I89" s="278">
        <v>17</v>
      </c>
      <c r="J89" s="278"/>
      <c r="K89" s="278"/>
      <c r="L89" s="278" t="str">
        <f t="shared" si="12"/>
        <v>18BQ-034</v>
      </c>
      <c r="N89" s="60" t="str">
        <f t="shared" si="13"/>
        <v>cu_Group</v>
      </c>
    </row>
    <row r="90" spans="1:14" ht="14.1" customHeight="1">
      <c r="A90" s="69">
        <f t="shared" si="10"/>
        <v>46227</v>
      </c>
      <c r="B90" s="70">
        <f>'CHICLETS MASTER S2'!X31</f>
        <v>0.39583333333333398</v>
      </c>
      <c r="C90" s="71" t="s">
        <v>218</v>
      </c>
      <c r="D90" s="71" t="str">
        <f t="shared" si="11"/>
        <v>LA SERNA HS</v>
      </c>
      <c r="E90" s="71">
        <v>36</v>
      </c>
      <c r="F90" s="278" t="str">
        <f>C65</f>
        <v>cu_B2(L99)-SFV</v>
      </c>
      <c r="G90" s="278">
        <v>15</v>
      </c>
      <c r="H90" s="278" t="str">
        <f>C68</f>
        <v>cu_B5(L19)-TRI VALLEY TRITONS</v>
      </c>
      <c r="I90" s="278">
        <v>8</v>
      </c>
      <c r="J90" s="278"/>
      <c r="K90" s="278"/>
      <c r="L90" s="278" t="str">
        <f t="shared" si="12"/>
        <v>18BQ-036</v>
      </c>
      <c r="N90" s="60" t="str">
        <f t="shared" si="13"/>
        <v>cu_Group</v>
      </c>
    </row>
    <row r="91" spans="1:14" ht="14.1" customHeight="1">
      <c r="A91" s="69">
        <f t="shared" si="10"/>
        <v>46227</v>
      </c>
      <c r="B91" s="70">
        <f>'CHICLETS MASTER S2'!X32</f>
        <v>0.43055555555555602</v>
      </c>
      <c r="C91" s="71" t="s">
        <v>218</v>
      </c>
      <c r="D91" s="71" t="str">
        <f t="shared" si="11"/>
        <v>LA SERNA HS</v>
      </c>
      <c r="E91" s="71">
        <v>38</v>
      </c>
      <c r="F91" s="278" t="str">
        <f>C67</f>
        <v>cu_B4(L14)-SAN JOSE ALMADEN</v>
      </c>
      <c r="G91" s="278">
        <v>8</v>
      </c>
      <c r="H91" s="278" t="str">
        <f>C69</f>
        <v>cu_B6(L22)-LAMORINDA BRENTWOOD</v>
      </c>
      <c r="I91" s="278">
        <v>11</v>
      </c>
      <c r="J91" s="278"/>
      <c r="K91" s="278"/>
      <c r="L91" s="278" t="str">
        <f t="shared" si="12"/>
        <v>18BQ-038</v>
      </c>
      <c r="N91" s="60" t="str">
        <f t="shared" si="13"/>
        <v>cu_Group</v>
      </c>
    </row>
    <row r="92" spans="1:14" ht="14.1" customHeight="1">
      <c r="A92" s="69">
        <f t="shared" si="10"/>
        <v>46227</v>
      </c>
      <c r="B92" s="70">
        <f>'CHICLETS MASTER S2'!X33</f>
        <v>0.46527777777777801</v>
      </c>
      <c r="C92" s="71" t="s">
        <v>218</v>
      </c>
      <c r="D92" s="71" t="str">
        <f t="shared" si="11"/>
        <v>LA SERNA HS</v>
      </c>
      <c r="E92" s="71">
        <v>40</v>
      </c>
      <c r="F92" s="278" t="str">
        <f>B67</f>
        <v>cu_A4(L23)-AMP</v>
      </c>
      <c r="G92" s="278">
        <v>10</v>
      </c>
      <c r="H92" s="278" t="str">
        <f>B64</f>
        <v>cu_A1(L28)-VALLEY UNITED</v>
      </c>
      <c r="I92" s="278">
        <v>12</v>
      </c>
      <c r="J92" s="278"/>
      <c r="K92" s="278"/>
      <c r="L92" s="278" t="str">
        <f t="shared" si="12"/>
        <v>18BQ-040</v>
      </c>
      <c r="N92" s="60" t="str">
        <f t="shared" si="13"/>
        <v>cu_Group</v>
      </c>
    </row>
    <row r="93" spans="1:14" ht="14.1" customHeight="1">
      <c r="A93" s="69">
        <f t="shared" si="10"/>
        <v>46227</v>
      </c>
      <c r="B93" s="70">
        <f>'CHICLETS MASTER S2'!X34</f>
        <v>0.5</v>
      </c>
      <c r="C93" s="71" t="s">
        <v>218</v>
      </c>
      <c r="D93" s="71" t="str">
        <f t="shared" si="11"/>
        <v>LA SERNA HS</v>
      </c>
      <c r="E93" s="71">
        <v>42</v>
      </c>
      <c r="F93" s="278" t="str">
        <f>B68</f>
        <v>cu_A5(L15)-KERN PREMIER</v>
      </c>
      <c r="G93" s="278">
        <v>4</v>
      </c>
      <c r="H93" s="278" t="str">
        <f>B65</f>
        <v>cu_A2(L24)-TEAM SANTA MONICA</v>
      </c>
      <c r="I93" s="278">
        <v>19</v>
      </c>
      <c r="J93" s="278"/>
      <c r="K93" s="278"/>
      <c r="L93" s="278" t="str">
        <f t="shared" si="12"/>
        <v>18BQ-042</v>
      </c>
      <c r="N93" s="60" t="str">
        <f t="shared" si="13"/>
        <v>cu_Group</v>
      </c>
    </row>
    <row r="94" spans="1:14" ht="14.1" customHeight="1">
      <c r="A94" s="69">
        <f t="shared" si="10"/>
        <v>46227</v>
      </c>
      <c r="B94" s="70">
        <f>'CHICLETS MASTER S2'!X35</f>
        <v>0.53472222222222199</v>
      </c>
      <c r="C94" s="71" t="s">
        <v>218</v>
      </c>
      <c r="D94" s="71" t="str">
        <f t="shared" si="11"/>
        <v>LA SERNA HS</v>
      </c>
      <c r="E94" s="71">
        <v>44</v>
      </c>
      <c r="F94" s="278" t="str">
        <f>C66</f>
        <v>cu_B3(L27)-SACRAMENTO</v>
      </c>
      <c r="G94" s="278">
        <v>18</v>
      </c>
      <c r="H94" s="278" t="str">
        <f>C68</f>
        <v>cu_B5(L19)-TRI VALLEY TRITONS</v>
      </c>
      <c r="I94" s="278">
        <v>8</v>
      </c>
      <c r="J94" s="278"/>
      <c r="K94" s="278"/>
      <c r="L94" s="278" t="str">
        <f t="shared" si="12"/>
        <v>18BQ-044</v>
      </c>
      <c r="N94" s="60" t="str">
        <f t="shared" si="13"/>
        <v>cu_Group</v>
      </c>
    </row>
    <row r="95" spans="1:14" ht="14.1" customHeight="1">
      <c r="A95" s="69">
        <f t="shared" si="10"/>
        <v>46227</v>
      </c>
      <c r="B95" s="70">
        <f>'CHICLETS MASTER S2'!X36</f>
        <v>0.56944444444444497</v>
      </c>
      <c r="C95" s="71" t="s">
        <v>218</v>
      </c>
      <c r="D95" s="71" t="str">
        <f t="shared" si="11"/>
        <v>LA SERNA HS</v>
      </c>
      <c r="E95" s="71">
        <v>46</v>
      </c>
      <c r="F95" s="278" t="str">
        <f>C64</f>
        <v>cu_B1(L26)-TRI VALLEY</v>
      </c>
      <c r="G95" s="278">
        <v>10</v>
      </c>
      <c r="H95" s="278" t="str">
        <f>C67</f>
        <v>cu_B4(L14)-SAN JOSE ALMADEN</v>
      </c>
      <c r="I95" s="278">
        <v>2</v>
      </c>
      <c r="J95" s="278"/>
      <c r="K95" s="278"/>
      <c r="L95" s="278" t="str">
        <f t="shared" si="12"/>
        <v>18BQ-046</v>
      </c>
      <c r="N95" s="60" t="str">
        <f t="shared" si="13"/>
        <v>cu_Group</v>
      </c>
    </row>
    <row r="96" spans="1:14" ht="14.1" customHeight="1">
      <c r="A96" s="69">
        <f t="shared" si="10"/>
        <v>46227</v>
      </c>
      <c r="B96" s="70">
        <f>'CHICLETS MASTER S2'!X37</f>
        <v>0.60416666666666696</v>
      </c>
      <c r="C96" s="71" t="s">
        <v>218</v>
      </c>
      <c r="D96" s="71" t="str">
        <f t="shared" si="11"/>
        <v>LA SERNA HS</v>
      </c>
      <c r="E96" s="71">
        <v>48</v>
      </c>
      <c r="F96" s="278" t="str">
        <f>C65</f>
        <v>cu_B2(L99)-SFV</v>
      </c>
      <c r="G96" s="278">
        <v>19</v>
      </c>
      <c r="H96" s="278" t="str">
        <f>C69</f>
        <v>cu_B6(L22)-LAMORINDA BRENTWOOD</v>
      </c>
      <c r="I96" s="278">
        <v>7</v>
      </c>
      <c r="J96" s="278"/>
      <c r="K96" s="278"/>
      <c r="L96" s="278" t="str">
        <f t="shared" si="12"/>
        <v>18BQ-048</v>
      </c>
      <c r="N96" s="60" t="str">
        <f t="shared" si="13"/>
        <v>cu_Group</v>
      </c>
    </row>
    <row r="97" spans="1:14" ht="14.1" customHeight="1">
      <c r="A97" s="69">
        <f t="shared" si="10"/>
        <v>46227</v>
      </c>
      <c r="B97" s="70">
        <f>'CHICLETS MASTER S2'!X38</f>
        <v>0.63888888888888895</v>
      </c>
      <c r="C97" s="71" t="s">
        <v>218</v>
      </c>
      <c r="D97" s="71" t="str">
        <f t="shared" si="11"/>
        <v>LA SERNA HS</v>
      </c>
      <c r="E97" s="71">
        <v>50</v>
      </c>
      <c r="F97" s="278" t="str">
        <f>B64</f>
        <v>cu_A1(L28)-VALLEY UNITED</v>
      </c>
      <c r="G97" s="278">
        <v>10</v>
      </c>
      <c r="H97" s="278" t="str">
        <f>B66</f>
        <v>cu_A3(L25)-YETI</v>
      </c>
      <c r="I97" s="278">
        <v>17</v>
      </c>
      <c r="J97" s="278"/>
      <c r="K97" s="278"/>
      <c r="L97" s="278" t="str">
        <f t="shared" si="12"/>
        <v>18BQ-050</v>
      </c>
      <c r="N97" s="60" t="str">
        <f t="shared" si="13"/>
        <v>cu_Group</v>
      </c>
    </row>
    <row r="98" spans="1:14" ht="14.1" customHeight="1" thickBot="1">
      <c r="A98" s="98"/>
      <c r="B98" s="79"/>
    </row>
    <row r="99" spans="1:14" ht="14.1" customHeight="1" thickTop="1" thickBot="1">
      <c r="A99" s="308" t="s">
        <v>236</v>
      </c>
      <c r="B99" s="309"/>
      <c r="C99" s="309"/>
      <c r="D99" s="309"/>
      <c r="E99" s="309"/>
      <c r="F99" s="309"/>
      <c r="G99" s="309"/>
      <c r="H99" s="309"/>
      <c r="I99" s="309"/>
      <c r="J99" s="309"/>
      <c r="K99" s="309"/>
      <c r="L99" s="309"/>
    </row>
    <row r="100" spans="1:14" ht="14.1" customHeight="1" thickBot="1">
      <c r="A100" s="61">
        <v>46228</v>
      </c>
    </row>
    <row r="101" spans="1:14" ht="14.1" customHeight="1" thickBot="1">
      <c r="D101" s="310" t="str">
        <f>'CHICLETS MASTER S2'!AF$51</f>
        <v>YORBA LINDA HS</v>
      </c>
    </row>
    <row r="102" spans="1:14" ht="14.1" customHeight="1">
      <c r="A102" s="311" t="s">
        <v>124</v>
      </c>
      <c r="B102" s="311" t="s">
        <v>125</v>
      </c>
      <c r="C102" s="311" t="s">
        <v>126</v>
      </c>
      <c r="D102" s="311" t="s">
        <v>127</v>
      </c>
      <c r="E102" s="311" t="s">
        <v>128</v>
      </c>
      <c r="F102" s="311" t="s">
        <v>129</v>
      </c>
      <c r="G102" s="311" t="s">
        <v>130</v>
      </c>
      <c r="H102" s="311" t="s">
        <v>131</v>
      </c>
      <c r="I102" s="311" t="s">
        <v>130</v>
      </c>
      <c r="J102" s="311" t="s">
        <v>132</v>
      </c>
      <c r="K102" s="311" t="s">
        <v>133</v>
      </c>
      <c r="L102" s="311" t="s">
        <v>134</v>
      </c>
    </row>
    <row r="103" spans="1:14" ht="14.1" customHeight="1">
      <c r="A103" s="69">
        <f t="shared" ref="A103:A114" si="14">$A$100</f>
        <v>46228</v>
      </c>
      <c r="B103" s="70">
        <f>'CHICLETS MASTER S2'!X53</f>
        <v>0.33333333333333331</v>
      </c>
      <c r="C103" s="71" t="s">
        <v>237</v>
      </c>
      <c r="D103" s="71" t="str">
        <f t="shared" ref="D103:D114" si="15">$D$101</f>
        <v>YORBA LINDA HS</v>
      </c>
      <c r="E103" s="71">
        <v>53</v>
      </c>
      <c r="F103" s="90" t="s">
        <v>2029</v>
      </c>
      <c r="G103" s="90">
        <v>9</v>
      </c>
      <c r="H103" s="90" t="s">
        <v>2030</v>
      </c>
      <c r="I103" s="90">
        <v>14</v>
      </c>
      <c r="J103" s="90">
        <v>63</v>
      </c>
      <c r="K103" s="90">
        <v>69</v>
      </c>
      <c r="L103" s="90" t="str">
        <f t="shared" ref="L103:L114" si="16">IF(E103="","",$L$14&amp;"-"&amp;TEXT(E103,"000"))</f>
        <v>18BQ-053</v>
      </c>
      <c r="N103" s="60" t="str">
        <f t="shared" ref="N103:N114" si="17">$L$68&amp;C103</f>
        <v>ni_5-8 v 9-12</v>
      </c>
    </row>
    <row r="104" spans="1:14" ht="14.1" customHeight="1">
      <c r="A104" s="69">
        <f t="shared" si="14"/>
        <v>46228</v>
      </c>
      <c r="B104" s="70">
        <f>'CHICLETS MASTER S2'!X54</f>
        <v>0.375</v>
      </c>
      <c r="C104" s="71" t="s">
        <v>237</v>
      </c>
      <c r="D104" s="71" t="str">
        <f t="shared" si="15"/>
        <v>YORBA LINDA HS</v>
      </c>
      <c r="E104" s="71">
        <v>55</v>
      </c>
      <c r="F104" s="90" t="s">
        <v>2031</v>
      </c>
      <c r="G104" s="90">
        <v>5</v>
      </c>
      <c r="H104" s="90" t="s">
        <v>2032</v>
      </c>
      <c r="I104" s="90">
        <v>11</v>
      </c>
      <c r="J104" s="90">
        <v>63</v>
      </c>
      <c r="K104" s="90">
        <v>69</v>
      </c>
      <c r="L104" s="90" t="str">
        <f t="shared" si="16"/>
        <v>18BQ-055</v>
      </c>
      <c r="N104" s="60" t="str">
        <f t="shared" si="17"/>
        <v>ni_5-8 v 9-12</v>
      </c>
    </row>
    <row r="105" spans="1:14" ht="14.1" customHeight="1">
      <c r="A105" s="69">
        <f t="shared" si="14"/>
        <v>46228</v>
      </c>
      <c r="B105" s="70">
        <f>'CHICLETS MASTER S2'!X55</f>
        <v>0.41666666666666702</v>
      </c>
      <c r="C105" s="71" t="s">
        <v>237</v>
      </c>
      <c r="D105" s="71" t="str">
        <f t="shared" si="15"/>
        <v>YORBA LINDA HS</v>
      </c>
      <c r="E105" s="71">
        <v>57</v>
      </c>
      <c r="F105" s="90" t="s">
        <v>2033</v>
      </c>
      <c r="G105" s="90">
        <v>14</v>
      </c>
      <c r="H105" s="90" t="s">
        <v>2034</v>
      </c>
      <c r="I105" s="90">
        <v>8</v>
      </c>
      <c r="J105" s="90">
        <v>67</v>
      </c>
      <c r="K105" s="90">
        <v>71</v>
      </c>
      <c r="L105" s="90" t="str">
        <f t="shared" si="16"/>
        <v>18BQ-057</v>
      </c>
      <c r="N105" s="60" t="str">
        <f t="shared" si="17"/>
        <v>ni_5-8 v 9-12</v>
      </c>
    </row>
    <row r="106" spans="1:14" ht="14.1" customHeight="1">
      <c r="A106" s="69">
        <f t="shared" si="14"/>
        <v>46228</v>
      </c>
      <c r="B106" s="70">
        <f>'CHICLETS MASTER S2'!X56</f>
        <v>0.45833333333333298</v>
      </c>
      <c r="C106" s="71" t="s">
        <v>237</v>
      </c>
      <c r="D106" s="71" t="str">
        <f t="shared" si="15"/>
        <v>YORBA LINDA HS</v>
      </c>
      <c r="E106" s="71">
        <v>59</v>
      </c>
      <c r="F106" s="90" t="s">
        <v>2035</v>
      </c>
      <c r="G106" s="90">
        <v>16</v>
      </c>
      <c r="H106" s="90" t="s">
        <v>2036</v>
      </c>
      <c r="I106" s="90">
        <v>7</v>
      </c>
      <c r="J106" s="90">
        <v>67</v>
      </c>
      <c r="K106" s="90">
        <v>71</v>
      </c>
      <c r="L106" s="90" t="str">
        <f t="shared" si="16"/>
        <v>18BQ-059</v>
      </c>
      <c r="N106" s="60" t="str">
        <f t="shared" si="17"/>
        <v>ni_5-8 v 9-12</v>
      </c>
    </row>
    <row r="107" spans="1:14" ht="14.1" customHeight="1">
      <c r="A107" s="69">
        <f t="shared" si="14"/>
        <v>46228</v>
      </c>
      <c r="B107" s="70">
        <f>'CHICLETS MASTER S2'!X57</f>
        <v>0.5</v>
      </c>
      <c r="C107" s="71" t="s">
        <v>242</v>
      </c>
      <c r="D107" s="71" t="str">
        <f t="shared" si="15"/>
        <v>YORBA LINDA HS</v>
      </c>
      <c r="E107" s="71">
        <v>61</v>
      </c>
      <c r="F107" s="90" t="s">
        <v>2037</v>
      </c>
      <c r="G107" s="90">
        <v>14</v>
      </c>
      <c r="H107" s="90" t="s">
        <v>2038</v>
      </c>
      <c r="I107" s="90">
        <v>9</v>
      </c>
      <c r="J107" s="90">
        <v>80</v>
      </c>
      <c r="K107" s="90">
        <v>73</v>
      </c>
      <c r="L107" s="90" t="str">
        <f t="shared" si="16"/>
        <v>18BQ-061</v>
      </c>
      <c r="N107" s="60" t="str">
        <f t="shared" si="17"/>
        <v>ni_1-2 v 3-4</v>
      </c>
    </row>
    <row r="108" spans="1:14" ht="14.1" customHeight="1">
      <c r="A108" s="69">
        <f t="shared" si="14"/>
        <v>46228</v>
      </c>
      <c r="B108" s="70">
        <f>'CHICLETS MASTER S2'!X58</f>
        <v>0.54166666666666696</v>
      </c>
      <c r="C108" s="71" t="s">
        <v>247</v>
      </c>
      <c r="D108" s="71" t="str">
        <f t="shared" si="15"/>
        <v>YORBA LINDA HS</v>
      </c>
      <c r="E108" s="71">
        <v>63</v>
      </c>
      <c r="F108" s="90" t="str">
        <f>IF(G103="","W53",IF(G103&gt;I103,_xlfn.CONCAT("W53-",RIGHT(F103,LEN(F103) - FIND("-",F103))), _xlfn.CONCAT("W53-",RIGHT(H103,LEN(H103) - FIND("-",H103)))))</f>
        <v>W53-PAC ORANGE</v>
      </c>
      <c r="G108" s="90">
        <v>13</v>
      </c>
      <c r="H108" s="90" t="str">
        <f>IF(G104="","W55",IF(G104&gt;I104,_xlfn.CONCAT("W55-",RIGHT(F104,LEN(F104) - FIND("-",F104))), _xlfn.CONCAT("W55-",RIGHT(H104,LEN(H104) - FIND("-",H104)))))</f>
        <v>W55-ECA</v>
      </c>
      <c r="I108" s="90">
        <v>8</v>
      </c>
      <c r="J108" s="90">
        <v>73</v>
      </c>
      <c r="K108" s="90">
        <v>85</v>
      </c>
      <c r="L108" s="90" t="str">
        <f t="shared" si="16"/>
        <v>18BQ-063</v>
      </c>
      <c r="N108" s="60" t="str">
        <f t="shared" si="17"/>
        <v>ni_5-6 v 7-8</v>
      </c>
    </row>
    <row r="109" spans="1:14" ht="14.1" customHeight="1">
      <c r="A109" s="69">
        <f t="shared" si="14"/>
        <v>46228</v>
      </c>
      <c r="B109" s="70">
        <f>'CHICLETS MASTER S2'!X59</f>
        <v>0.58333333333333304</v>
      </c>
      <c r="C109" s="71" t="s">
        <v>242</v>
      </c>
      <c r="D109" s="71" t="str">
        <f t="shared" si="15"/>
        <v>YORBA LINDA HS</v>
      </c>
      <c r="E109" s="71">
        <v>65</v>
      </c>
      <c r="F109" s="90" t="s">
        <v>2039</v>
      </c>
      <c r="G109" s="90">
        <v>3</v>
      </c>
      <c r="H109" s="90" t="s">
        <v>2040</v>
      </c>
      <c r="I109" s="90">
        <v>10</v>
      </c>
      <c r="J109" s="90">
        <v>79</v>
      </c>
      <c r="K109" s="90">
        <v>75</v>
      </c>
      <c r="L109" s="90" t="str">
        <f t="shared" si="16"/>
        <v>18BQ-065</v>
      </c>
      <c r="N109" s="60" t="str">
        <f t="shared" si="17"/>
        <v>ni_1-2 v 3-4</v>
      </c>
    </row>
    <row r="110" spans="1:14" ht="14.1" customHeight="1">
      <c r="A110" s="69">
        <f t="shared" si="14"/>
        <v>46228</v>
      </c>
      <c r="B110" s="70">
        <f>'CHICLETS MASTER S2'!X60</f>
        <v>0.625</v>
      </c>
      <c r="C110" s="71" t="s">
        <v>247</v>
      </c>
      <c r="D110" s="71" t="str">
        <f t="shared" si="15"/>
        <v>YORBA LINDA HS</v>
      </c>
      <c r="E110" s="71">
        <v>67</v>
      </c>
      <c r="F110" s="90" t="str">
        <f>IF(G105="","W57",IF(G105&gt;I105,_xlfn.CONCAT("W57-",RIGHT(F105,LEN(F105) - FIND("-",F105))), _xlfn.CONCAT("W57-",RIGHT(H105,LEN(H105) - FIND("-",H105)))))</f>
        <v>W57-TRILOGY</v>
      </c>
      <c r="G110" s="90">
        <v>10</v>
      </c>
      <c r="H110" s="90" t="str">
        <f>IF(G106="","W59",IF(G106&gt;I106,_xlfn.CONCAT("W59-",RIGHT(F106,LEN(F106) - FIND("-",F106))), _xlfn.CONCAT("W59-",RIGHT(H106,LEN(H106) - FIND("-",H106)))))</f>
        <v>W59-FOOTHILL BLACK B</v>
      </c>
      <c r="I110" s="90">
        <v>8</v>
      </c>
      <c r="J110" s="90">
        <v>75</v>
      </c>
      <c r="K110" s="90">
        <v>85</v>
      </c>
      <c r="L110" s="90" t="str">
        <f t="shared" si="16"/>
        <v>18BQ-067</v>
      </c>
      <c r="N110" s="60" t="str">
        <f t="shared" si="17"/>
        <v>ni_5-6 v 7-8</v>
      </c>
    </row>
    <row r="111" spans="1:14" ht="14.1" customHeight="1">
      <c r="A111" s="69">
        <f t="shared" si="14"/>
        <v>46228</v>
      </c>
      <c r="B111" s="70">
        <f>'CHICLETS MASTER S2'!X61</f>
        <v>0.66666666666666696</v>
      </c>
      <c r="C111" s="71" t="s">
        <v>248</v>
      </c>
      <c r="D111" s="71" t="str">
        <f t="shared" si="15"/>
        <v>YORBA LINDA HS</v>
      </c>
      <c r="E111" s="71">
        <v>69</v>
      </c>
      <c r="F111" s="90" t="str">
        <f>IF(G104="","L55",IF(G104&lt;I104,_xlfn.CONCAT("L55-",RIGHT(F104,LEN(F104) - FIND("-",F104))), _xlfn.CONCAT("L55-",RIGHT(H104,LEN(H104) - FIND("-",H104)))))</f>
        <v>L55-TUALATIN HILLS</v>
      </c>
      <c r="G111" s="90">
        <v>11</v>
      </c>
      <c r="H111" s="90" t="str">
        <f>IF(G103="","L53",IF(G103&lt;I103,_xlfn.CONCAT("L53-",RIGHT(F103,LEN(F103) - FIND("-",F103))), _xlfn.CONCAT("L53-",RIGHT(H103,LEN(H103) - FIND("-",H103)))))</f>
        <v>L53-NGEN</v>
      </c>
      <c r="I111" s="90">
        <v>8</v>
      </c>
      <c r="J111" s="90">
        <v>82</v>
      </c>
      <c r="K111" s="90">
        <v>81</v>
      </c>
      <c r="L111" s="90" t="str">
        <f t="shared" si="16"/>
        <v>18BQ-069</v>
      </c>
      <c r="N111" s="60" t="str">
        <f t="shared" si="17"/>
        <v>ni_9-12 semi</v>
      </c>
    </row>
    <row r="112" spans="1:14" ht="14.1" customHeight="1">
      <c r="A112" s="316">
        <f t="shared" si="14"/>
        <v>46228</v>
      </c>
      <c r="B112" s="70">
        <f>'CHICLETS MASTER S2'!X62</f>
        <v>0.70833333333333304</v>
      </c>
      <c r="C112" s="71" t="s">
        <v>248</v>
      </c>
      <c r="D112" s="71" t="str">
        <f t="shared" si="15"/>
        <v>YORBA LINDA HS</v>
      </c>
      <c r="E112" s="71">
        <v>71</v>
      </c>
      <c r="F112" s="90" t="str">
        <f>IF(G106="","L59",IF(G106&lt;I106,_xlfn.CONCAT("L59-",RIGHT(F106,LEN(F106) - FIND("-",F106))), _xlfn.CONCAT("L59-",RIGHT(H106,LEN(H106) - FIND("-",H106)))))</f>
        <v>L59-SOVA</v>
      </c>
      <c r="G112" s="90">
        <v>10</v>
      </c>
      <c r="H112" s="90" t="str">
        <f>IF(G105="","L57",IF(G105&lt;I105,_xlfn.CONCAT("L57-",RIGHT(F105,LEN(F105) - FIND("-",F105))), _xlfn.CONCAT("L57-",RIGHT(H105,LEN(H105) - FIND("-",H105)))))</f>
        <v>L57-CHAWP BLUE</v>
      </c>
      <c r="I112" s="90">
        <v>12</v>
      </c>
      <c r="J112" s="90">
        <v>82</v>
      </c>
      <c r="K112" s="90">
        <v>81</v>
      </c>
      <c r="L112" s="90" t="str">
        <f t="shared" si="16"/>
        <v>18BQ-071</v>
      </c>
      <c r="N112" s="60" t="str">
        <f t="shared" si="17"/>
        <v>ni_9-12 semi</v>
      </c>
    </row>
    <row r="113" spans="1:14" ht="14.1" customHeight="1">
      <c r="A113" s="317">
        <f t="shared" si="14"/>
        <v>46228</v>
      </c>
      <c r="B113" s="70">
        <f>'CHICLETS MASTER S2'!X63</f>
        <v>0.75</v>
      </c>
      <c r="C113" s="71" t="s">
        <v>266</v>
      </c>
      <c r="D113" s="71" t="str">
        <f t="shared" si="15"/>
        <v>YORBA LINDA HS</v>
      </c>
      <c r="E113" s="71">
        <v>73</v>
      </c>
      <c r="F113" s="90" t="str">
        <f>IF(G107="","L61",IF(G107&lt;I107,_xlfn.CONCAT("L61-",RIGHT(F107,LEN(F107) - FIND("-",F107))), _xlfn.CONCAT("L61-",RIGHT(H107,LEN(H107) - FIND("-",H107)))))</f>
        <v>L61-BIG VALLEY</v>
      </c>
      <c r="G113" s="90">
        <v>13.2</v>
      </c>
      <c r="H113" s="90" t="str">
        <f>IF(G108="","W63",IF(G108&gt;I108,_xlfn.CONCAT("W63-",RIGHT(F108,LEN(F108) - FIND("-",F108))), _xlfn.CONCAT("W63-",RIGHT(H108,LEN(H108) - FIND("-",H108)))))</f>
        <v>W63-PAC ORANGE</v>
      </c>
      <c r="I113" s="90">
        <v>13.4</v>
      </c>
      <c r="J113" s="90">
        <v>79</v>
      </c>
      <c r="K113" s="90">
        <v>86</v>
      </c>
      <c r="L113" s="90" t="str">
        <f t="shared" si="16"/>
        <v>18BQ-073</v>
      </c>
      <c r="N113" s="60" t="str">
        <f t="shared" si="17"/>
        <v>ni_qtr final</v>
      </c>
    </row>
    <row r="114" spans="1:14" ht="14.1" customHeight="1">
      <c r="A114" s="69">
        <f t="shared" si="14"/>
        <v>46228</v>
      </c>
      <c r="B114" s="70">
        <f>'CHICLETS MASTER S2'!X64</f>
        <v>0.79166666666666696</v>
      </c>
      <c r="C114" s="71" t="s">
        <v>266</v>
      </c>
      <c r="D114" s="71" t="str">
        <f t="shared" si="15"/>
        <v>YORBA LINDA HS</v>
      </c>
      <c r="E114" s="71">
        <v>75</v>
      </c>
      <c r="F114" s="90" t="str">
        <f>IF(G109="","L65",IF(G109&lt;I109,_xlfn.CONCAT("L65-",RIGHT(F109,LEN(F109) - FIND("-",F109))), _xlfn.CONCAT("L65-",RIGHT(H109,LEN(H109) - FIND("-",H109)))))</f>
        <v>L65-ROUTE 66</v>
      </c>
      <c r="G114" s="90">
        <v>10</v>
      </c>
      <c r="H114" s="90" t="str">
        <f>IF(G110="","W67",IF(G110&gt;I110,_xlfn.CONCAT("W67-",RIGHT(F110,LEN(F110) - FIND("-",F110))), _xlfn.CONCAT("W67-",RIGHT(H110,LEN(H110) - FIND("-",H110)))))</f>
        <v>W67-TRILOGY</v>
      </c>
      <c r="I114" s="90">
        <v>9</v>
      </c>
      <c r="J114" s="90">
        <v>80</v>
      </c>
      <c r="K114" s="90">
        <v>86</v>
      </c>
      <c r="L114" s="90" t="str">
        <f t="shared" si="16"/>
        <v>18BQ-075</v>
      </c>
      <c r="N114" s="60" t="str">
        <f t="shared" si="17"/>
        <v>ni_qtr final</v>
      </c>
    </row>
    <row r="115" spans="1:14" ht="14.1" customHeight="1" thickBot="1"/>
    <row r="116" spans="1:14" ht="14.1" customHeight="1" thickBot="1">
      <c r="D116" s="310" t="str">
        <f>'CHICLETS MASTER S2'!AT$51</f>
        <v>LA SERNA HS</v>
      </c>
    </row>
    <row r="117" spans="1:14" ht="14.1" customHeight="1">
      <c r="A117" s="311" t="s">
        <v>124</v>
      </c>
      <c r="B117" s="311" t="s">
        <v>125</v>
      </c>
      <c r="C117" s="311" t="s">
        <v>126</v>
      </c>
      <c r="D117" s="311" t="s">
        <v>127</v>
      </c>
      <c r="E117" s="311" t="s">
        <v>128</v>
      </c>
      <c r="F117" s="311" t="s">
        <v>129</v>
      </c>
      <c r="G117" s="311" t="s">
        <v>130</v>
      </c>
      <c r="H117" s="311" t="s">
        <v>131</v>
      </c>
      <c r="I117" s="311" t="s">
        <v>130</v>
      </c>
      <c r="J117" s="311" t="s">
        <v>132</v>
      </c>
      <c r="K117" s="311" t="s">
        <v>133</v>
      </c>
      <c r="L117" s="311" t="s">
        <v>134</v>
      </c>
    </row>
    <row r="118" spans="1:14" ht="14.1" customHeight="1">
      <c r="A118" s="69">
        <f t="shared" ref="A118:A131" si="18">$A$100</f>
        <v>46228</v>
      </c>
      <c r="B118" s="162">
        <f>'CHICLETS MASTER S2'!X52</f>
        <v>0.29166666666666669</v>
      </c>
      <c r="C118" s="71" t="s">
        <v>218</v>
      </c>
      <c r="D118" s="71" t="str">
        <f t="shared" ref="D118:D131" si="19">$D$116</f>
        <v>LA SERNA HS</v>
      </c>
      <c r="E118" s="71">
        <v>54</v>
      </c>
      <c r="F118" s="278" t="str">
        <f>C68</f>
        <v>cu_B5(L19)-TRI VALLEY TRITONS</v>
      </c>
      <c r="G118" s="278">
        <v>9</v>
      </c>
      <c r="H118" s="278" t="str">
        <f>C64</f>
        <v>cu_B1(L26)-TRI VALLEY</v>
      </c>
      <c r="I118" s="278">
        <v>6</v>
      </c>
      <c r="J118" s="278"/>
      <c r="K118" s="278"/>
      <c r="L118" s="278" t="str">
        <f t="shared" ref="L118:L131" si="20">IF(E118="","",$L$14&amp;"-"&amp;TEXT(E118,"000"))</f>
        <v>18BQ-054</v>
      </c>
      <c r="N118" s="60" t="str">
        <f t="shared" ref="N118:N131" si="21">$L$69&amp;C118</f>
        <v>cu_Group</v>
      </c>
    </row>
    <row r="119" spans="1:14" ht="14.1" customHeight="1">
      <c r="A119" s="69">
        <f t="shared" si="18"/>
        <v>46228</v>
      </c>
      <c r="B119" s="70">
        <f>'CHICLETS MASTER S2'!X53</f>
        <v>0.33333333333333331</v>
      </c>
      <c r="C119" s="71" t="s">
        <v>218</v>
      </c>
      <c r="D119" s="71" t="str">
        <f t="shared" si="19"/>
        <v>LA SERNA HS</v>
      </c>
      <c r="E119" s="71">
        <v>56</v>
      </c>
      <c r="F119" s="278" t="str">
        <f>C67</f>
        <v>cu_B4(L14)-SAN JOSE ALMADEN</v>
      </c>
      <c r="G119" s="278">
        <v>1</v>
      </c>
      <c r="H119" s="278" t="str">
        <f>C65</f>
        <v>cu_B2(L99)-SFV</v>
      </c>
      <c r="I119" s="278">
        <v>16</v>
      </c>
      <c r="J119" s="278"/>
      <c r="K119" s="278"/>
      <c r="L119" s="278" t="str">
        <f t="shared" si="20"/>
        <v>18BQ-056</v>
      </c>
      <c r="N119" s="60" t="str">
        <f t="shared" si="21"/>
        <v>cu_Group</v>
      </c>
    </row>
    <row r="120" spans="1:14" ht="14.1" customHeight="1">
      <c r="A120" s="69">
        <f t="shared" si="18"/>
        <v>46228</v>
      </c>
      <c r="B120" s="70">
        <f>'CHICLETS MASTER S2'!X54</f>
        <v>0.375</v>
      </c>
      <c r="C120" s="71" t="s">
        <v>218</v>
      </c>
      <c r="D120" s="71" t="str">
        <f t="shared" si="19"/>
        <v>LA SERNA HS</v>
      </c>
      <c r="E120" s="71">
        <v>58</v>
      </c>
      <c r="F120" s="278" t="str">
        <f>C69</f>
        <v>cu_B6(L22)-LAMORINDA BRENTWOOD</v>
      </c>
      <c r="G120" s="278">
        <v>10</v>
      </c>
      <c r="H120" s="278" t="str">
        <f>C66</f>
        <v>cu_B3(L27)-SACRAMENTO</v>
      </c>
      <c r="I120" s="278">
        <v>24</v>
      </c>
      <c r="J120" s="278"/>
      <c r="K120" s="278"/>
      <c r="L120" s="278" t="str">
        <f t="shared" si="20"/>
        <v>18BQ-058</v>
      </c>
      <c r="N120" s="60" t="str">
        <f t="shared" si="21"/>
        <v>cu_Group</v>
      </c>
    </row>
    <row r="121" spans="1:14" ht="14.1" customHeight="1">
      <c r="A121" s="69">
        <f t="shared" si="18"/>
        <v>46228</v>
      </c>
      <c r="B121" s="70">
        <f>'CHICLETS MASTER S2'!X55</f>
        <v>0.41666666666666702</v>
      </c>
      <c r="C121" s="71" t="s">
        <v>218</v>
      </c>
      <c r="D121" s="71" t="str">
        <f t="shared" si="19"/>
        <v>LA SERNA HS</v>
      </c>
      <c r="E121" s="71">
        <v>60</v>
      </c>
      <c r="F121" s="278" t="str">
        <f>B67</f>
        <v>cu_A4(L23)-AMP</v>
      </c>
      <c r="G121" s="278">
        <v>8</v>
      </c>
      <c r="H121" s="278" t="str">
        <f>B68</f>
        <v>cu_A5(L15)-KERN PREMIER</v>
      </c>
      <c r="I121" s="278">
        <v>5</v>
      </c>
      <c r="J121" s="278"/>
      <c r="K121" s="278"/>
      <c r="L121" s="278" t="str">
        <f t="shared" si="20"/>
        <v>18BQ-060</v>
      </c>
      <c r="N121" s="60" t="str">
        <f t="shared" si="21"/>
        <v>cu_Group</v>
      </c>
    </row>
    <row r="122" spans="1:14" ht="14.1" customHeight="1">
      <c r="A122" s="69">
        <f t="shared" si="18"/>
        <v>46228</v>
      </c>
      <c r="B122" s="70">
        <f>'CHICLETS MASTER S2'!X56</f>
        <v>0.45833333333333298</v>
      </c>
      <c r="C122" s="71" t="s">
        <v>218</v>
      </c>
      <c r="D122" s="71" t="str">
        <f t="shared" si="19"/>
        <v>LA SERNA HS</v>
      </c>
      <c r="E122" s="71">
        <v>62</v>
      </c>
      <c r="F122" s="278" t="str">
        <f>B65</f>
        <v>cu_A2(L24)-TEAM SANTA MONICA</v>
      </c>
      <c r="G122" s="278">
        <v>15</v>
      </c>
      <c r="H122" s="278" t="str">
        <f>B66</f>
        <v>cu_A3(L25)-YETI</v>
      </c>
      <c r="I122" s="278">
        <v>5</v>
      </c>
      <c r="J122" s="278"/>
      <c r="K122" s="278"/>
      <c r="L122" s="278" t="str">
        <f t="shared" si="20"/>
        <v>18BQ-062</v>
      </c>
      <c r="N122" s="60" t="str">
        <f t="shared" si="21"/>
        <v>cu_Group</v>
      </c>
    </row>
    <row r="123" spans="1:14" ht="14.1" customHeight="1">
      <c r="A123" s="69">
        <f t="shared" si="18"/>
        <v>46228</v>
      </c>
      <c r="B123" s="70">
        <f>'CHICLETS MASTER S2'!X57</f>
        <v>0.5</v>
      </c>
      <c r="C123" s="71" t="s">
        <v>218</v>
      </c>
      <c r="D123" s="71" t="str">
        <f t="shared" si="19"/>
        <v>LA SERNA HS</v>
      </c>
      <c r="E123" s="71">
        <v>64</v>
      </c>
      <c r="F123" s="278" t="str">
        <f>C64</f>
        <v>cu_B1(L26)-TRI VALLEY</v>
      </c>
      <c r="G123" s="278">
        <v>3</v>
      </c>
      <c r="H123" s="278" t="str">
        <f>C65</f>
        <v>cu_B2(L99)-SFV</v>
      </c>
      <c r="I123" s="278">
        <v>11</v>
      </c>
      <c r="J123" s="278"/>
      <c r="K123" s="278"/>
      <c r="L123" s="278" t="str">
        <f t="shared" si="20"/>
        <v>18BQ-064</v>
      </c>
      <c r="N123" s="60" t="str">
        <f t="shared" si="21"/>
        <v>cu_Group</v>
      </c>
    </row>
    <row r="124" spans="1:14" ht="14.1" customHeight="1">
      <c r="A124" s="69">
        <f t="shared" si="18"/>
        <v>46228</v>
      </c>
      <c r="B124" s="70">
        <f>'CHICLETS MASTER S2'!X58</f>
        <v>0.54166666666666696</v>
      </c>
      <c r="C124" s="71" t="s">
        <v>218</v>
      </c>
      <c r="D124" s="71" t="str">
        <f t="shared" si="19"/>
        <v>LA SERNA HS</v>
      </c>
      <c r="E124" s="71">
        <v>66</v>
      </c>
      <c r="F124" s="278" t="str">
        <f>C66</f>
        <v>cu_B3(L27)-SACRAMENTO</v>
      </c>
      <c r="G124" s="278">
        <v>19</v>
      </c>
      <c r="H124" s="278" t="str">
        <f>C67</f>
        <v>cu_B4(L14)-SAN JOSE ALMADEN</v>
      </c>
      <c r="I124" s="278">
        <v>1</v>
      </c>
      <c r="J124" s="278"/>
      <c r="K124" s="278"/>
      <c r="L124" s="278" t="str">
        <f t="shared" si="20"/>
        <v>18BQ-066</v>
      </c>
      <c r="N124" s="60" t="str">
        <f t="shared" si="21"/>
        <v>cu_Group</v>
      </c>
    </row>
    <row r="125" spans="1:14" ht="14.1" customHeight="1">
      <c r="A125" s="69">
        <f t="shared" si="18"/>
        <v>46228</v>
      </c>
      <c r="B125" s="70">
        <f>'CHICLETS MASTER S2'!X59</f>
        <v>0.58333333333333304</v>
      </c>
      <c r="C125" s="71" t="s">
        <v>218</v>
      </c>
      <c r="D125" s="71" t="str">
        <f t="shared" si="19"/>
        <v>LA SERNA HS</v>
      </c>
      <c r="E125" s="71">
        <v>68</v>
      </c>
      <c r="F125" s="278" t="str">
        <f>C68</f>
        <v>cu_B5(L19)-TRI VALLEY TRITONS</v>
      </c>
      <c r="G125" s="278">
        <v>13</v>
      </c>
      <c r="H125" s="278" t="str">
        <f>C69</f>
        <v>cu_B6(L22)-LAMORINDA BRENTWOOD</v>
      </c>
      <c r="I125" s="278">
        <v>11</v>
      </c>
      <c r="J125" s="278"/>
      <c r="K125" s="278"/>
      <c r="L125" s="278" t="str">
        <f t="shared" si="20"/>
        <v>18BQ-068</v>
      </c>
      <c r="N125" s="60" t="str">
        <f t="shared" si="21"/>
        <v>cu_Group</v>
      </c>
    </row>
    <row r="126" spans="1:14" ht="14.1" customHeight="1">
      <c r="A126" s="69">
        <f t="shared" si="18"/>
        <v>46228</v>
      </c>
      <c r="B126" s="70">
        <f>'CHICLETS MASTER S2'!X60</f>
        <v>0.625</v>
      </c>
      <c r="C126" s="71" t="s">
        <v>218</v>
      </c>
      <c r="D126" s="71" t="str">
        <f t="shared" si="19"/>
        <v>LA SERNA HS</v>
      </c>
      <c r="E126" s="71">
        <v>70</v>
      </c>
      <c r="F126" s="278" t="str">
        <f>B68</f>
        <v>cu_A5(L15)-KERN PREMIER</v>
      </c>
      <c r="G126" s="278">
        <v>11</v>
      </c>
      <c r="H126" s="278" t="str">
        <f>B64</f>
        <v>cu_A1(L28)-VALLEY UNITED</v>
      </c>
      <c r="I126" s="278">
        <v>10</v>
      </c>
      <c r="J126" s="278"/>
      <c r="K126" s="278"/>
      <c r="L126" s="278" t="str">
        <f t="shared" si="20"/>
        <v>18BQ-070</v>
      </c>
      <c r="N126" s="60" t="str">
        <f t="shared" si="21"/>
        <v>cu_Group</v>
      </c>
    </row>
    <row r="127" spans="1:14" ht="14.1" customHeight="1">
      <c r="A127" s="69">
        <f t="shared" si="18"/>
        <v>46228</v>
      </c>
      <c r="B127" s="70">
        <f>'CHICLETS MASTER S2'!X61</f>
        <v>0.66666666666666696</v>
      </c>
      <c r="C127" s="71" t="s">
        <v>218</v>
      </c>
      <c r="D127" s="71" t="str">
        <f t="shared" si="19"/>
        <v>LA SERNA HS</v>
      </c>
      <c r="E127" s="71">
        <v>72</v>
      </c>
      <c r="F127" s="278" t="str">
        <f>B66</f>
        <v>cu_A3(L25)-YETI</v>
      </c>
      <c r="G127" s="278">
        <v>16</v>
      </c>
      <c r="H127" s="278" t="str">
        <f>B67</f>
        <v>cu_A4(L23)-AMP</v>
      </c>
      <c r="I127" s="278">
        <v>7</v>
      </c>
      <c r="J127" s="278"/>
      <c r="K127" s="278"/>
      <c r="L127" s="278" t="str">
        <f t="shared" si="20"/>
        <v>18BQ-072</v>
      </c>
      <c r="N127" s="60" t="str">
        <f t="shared" si="21"/>
        <v>cu_Group</v>
      </c>
    </row>
    <row r="128" spans="1:14" ht="14.1" customHeight="1">
      <c r="A128" s="69">
        <f t="shared" si="18"/>
        <v>46228</v>
      </c>
      <c r="B128" s="70">
        <f>'CHICLETS MASTER S2'!X62</f>
        <v>0.70833333333333304</v>
      </c>
      <c r="C128" s="71" t="s">
        <v>218</v>
      </c>
      <c r="D128" s="71" t="str">
        <f t="shared" si="19"/>
        <v>LA SERNA HS</v>
      </c>
      <c r="E128" s="71">
        <v>74</v>
      </c>
      <c r="F128" s="278" t="str">
        <f>C66</f>
        <v>cu_B3(L27)-SACRAMENTO</v>
      </c>
      <c r="G128" s="278">
        <v>7</v>
      </c>
      <c r="H128" s="278" t="str">
        <f>C65</f>
        <v>cu_B2(L99)-SFV</v>
      </c>
      <c r="I128" s="278">
        <v>3</v>
      </c>
      <c r="J128" s="278"/>
      <c r="K128" s="278"/>
      <c r="L128" s="278" t="str">
        <f t="shared" si="20"/>
        <v>18BQ-074</v>
      </c>
      <c r="N128" s="60" t="str">
        <f t="shared" si="21"/>
        <v>cu_Group</v>
      </c>
    </row>
    <row r="129" spans="1:14" ht="14.1" customHeight="1">
      <c r="A129" s="69">
        <f t="shared" si="18"/>
        <v>46228</v>
      </c>
      <c r="B129" s="70">
        <f>'CHICLETS MASTER S2'!X63</f>
        <v>0.75</v>
      </c>
      <c r="C129" s="71" t="s">
        <v>218</v>
      </c>
      <c r="D129" s="71" t="str">
        <f t="shared" si="19"/>
        <v>LA SERNA HS</v>
      </c>
      <c r="E129" s="71">
        <v>76</v>
      </c>
      <c r="F129" s="278" t="str">
        <f>C68</f>
        <v>cu_B5(L19)-TRI VALLEY TRITONS</v>
      </c>
      <c r="G129" s="278">
        <v>11</v>
      </c>
      <c r="H129" s="278" t="str">
        <f>C67</f>
        <v>cu_B4(L14)-SAN JOSE ALMADEN</v>
      </c>
      <c r="I129" s="278">
        <v>9</v>
      </c>
      <c r="J129" s="278"/>
      <c r="K129" s="278"/>
      <c r="L129" s="278" t="str">
        <f t="shared" si="20"/>
        <v>18BQ-076</v>
      </c>
      <c r="N129" s="60" t="str">
        <f t="shared" si="21"/>
        <v>cu_Group</v>
      </c>
    </row>
    <row r="130" spans="1:14" ht="14.1" customHeight="1">
      <c r="A130" s="318">
        <f t="shared" si="18"/>
        <v>46228</v>
      </c>
      <c r="B130" s="70">
        <f>'CHICLETS MASTER S2'!X64</f>
        <v>0.79166666666666696</v>
      </c>
      <c r="C130" s="319" t="s">
        <v>218</v>
      </c>
      <c r="D130" s="319" t="str">
        <f t="shared" si="19"/>
        <v>LA SERNA HS</v>
      </c>
      <c r="E130" s="71">
        <v>97</v>
      </c>
      <c r="F130" s="278" t="str">
        <f>C69</f>
        <v>cu_B6(L22)-LAMORINDA BRENTWOOD</v>
      </c>
      <c r="G130" s="278">
        <v>19</v>
      </c>
      <c r="H130" s="278" t="str">
        <f>C64</f>
        <v>cu_B1(L26)-TRI VALLEY</v>
      </c>
      <c r="I130" s="278">
        <v>9</v>
      </c>
      <c r="J130" s="278"/>
      <c r="K130" s="278"/>
      <c r="L130" s="278" t="str">
        <f t="shared" si="20"/>
        <v>18BQ-097</v>
      </c>
      <c r="N130" s="60" t="str">
        <f t="shared" si="21"/>
        <v>cu_Group</v>
      </c>
    </row>
    <row r="131" spans="1:14" ht="14.1" customHeight="1">
      <c r="A131" s="318">
        <f t="shared" si="18"/>
        <v>46228</v>
      </c>
      <c r="B131" s="70">
        <f>'CHICLETS MASTER S2'!X65</f>
        <v>0.83333333333333304</v>
      </c>
      <c r="C131" s="319" t="s">
        <v>218</v>
      </c>
      <c r="D131" s="319" t="str">
        <f t="shared" si="19"/>
        <v>LA SERNA HS</v>
      </c>
      <c r="E131" s="71">
        <v>98</v>
      </c>
      <c r="F131" s="278" t="str">
        <f>B64</f>
        <v>cu_A1(L28)-VALLEY UNITED</v>
      </c>
      <c r="G131" s="278">
        <v>7</v>
      </c>
      <c r="H131" s="278" t="str">
        <f>B65</f>
        <v>cu_A2(L24)-TEAM SANTA MONICA</v>
      </c>
      <c r="I131" s="278">
        <v>23</v>
      </c>
      <c r="J131" s="278"/>
      <c r="K131" s="278"/>
      <c r="L131" s="278" t="str">
        <f t="shared" si="20"/>
        <v>18BQ-098</v>
      </c>
      <c r="N131" s="60" t="str">
        <f t="shared" si="21"/>
        <v>cu_Group</v>
      </c>
    </row>
    <row r="132" spans="1:14" ht="14.1" customHeight="1" thickBot="1">
      <c r="A132" s="98"/>
      <c r="B132" s="79"/>
    </row>
    <row r="133" spans="1:14" ht="14.1" customHeight="1" thickTop="1" thickBot="1">
      <c r="A133" s="308" t="s">
        <v>267</v>
      </c>
      <c r="B133" s="309"/>
      <c r="C133" s="309"/>
      <c r="D133" s="309"/>
      <c r="E133" s="309"/>
      <c r="F133" s="309"/>
      <c r="G133" s="309"/>
      <c r="H133" s="309"/>
      <c r="I133" s="309"/>
      <c r="J133" s="309"/>
      <c r="K133" s="309"/>
      <c r="L133" s="309"/>
    </row>
    <row r="134" spans="1:14" ht="14.1" customHeight="1" thickBot="1">
      <c r="A134" s="61">
        <v>46229</v>
      </c>
    </row>
    <row r="135" spans="1:14" ht="14.1" customHeight="1" thickBot="1">
      <c r="D135" s="310" t="str">
        <f>'CHICLETS MASTER S2'!AT$72</f>
        <v>LA SERNA HS</v>
      </c>
    </row>
    <row r="136" spans="1:14" ht="14.1" customHeight="1">
      <c r="A136" s="311" t="s">
        <v>124</v>
      </c>
      <c r="B136" s="311" t="s">
        <v>125</v>
      </c>
      <c r="C136" s="311" t="s">
        <v>126</v>
      </c>
      <c r="D136" s="311" t="s">
        <v>127</v>
      </c>
      <c r="E136" s="311" t="s">
        <v>128</v>
      </c>
      <c r="F136" s="311" t="s">
        <v>129</v>
      </c>
      <c r="G136" s="311" t="s">
        <v>130</v>
      </c>
      <c r="H136" s="311" t="s">
        <v>131</v>
      </c>
      <c r="I136" s="311" t="s">
        <v>130</v>
      </c>
      <c r="J136" s="311" t="s">
        <v>132</v>
      </c>
      <c r="K136" s="311" t="s">
        <v>133</v>
      </c>
      <c r="L136" s="311" t="s">
        <v>134</v>
      </c>
    </row>
    <row r="137" spans="1:14" ht="14.1" customHeight="1">
      <c r="A137" s="69">
        <f t="shared" ref="A137:A144" si="22">$A$134</f>
        <v>46229</v>
      </c>
      <c r="B137" s="70">
        <v>0.29166666666666669</v>
      </c>
      <c r="C137" s="71" t="s">
        <v>269</v>
      </c>
      <c r="D137" s="71" t="str">
        <f t="shared" ref="D137:D144" si="23">$D$135</f>
        <v>LA SERNA HS</v>
      </c>
      <c r="E137" s="71">
        <v>85</v>
      </c>
      <c r="F137" s="90" t="str">
        <f>IF(G108="","L63",IF(G108&lt;I108,_xlfn.CONCAT("L63-",RIGHT(F108,LEN(F108) - FIND("-",F108))), _xlfn.CONCAT("L63-",RIGHT(H108,LEN(H108) - FIND("-",H108)))))</f>
        <v>L63-ECA</v>
      </c>
      <c r="G137" s="90">
        <v>6</v>
      </c>
      <c r="H137" s="90" t="str">
        <f>IF(G110="","L67",IF(G110&lt;I110,_xlfn.CONCAT("L67-",RIGHT(F110,LEN(F110) - FIND("-",F110))), _xlfn.CONCAT("L67-",RIGHT(H110,LEN(H110) - FIND("-",H110)))))</f>
        <v>L67-FOOTHILL BLACK B</v>
      </c>
      <c r="I137" s="90">
        <v>9</v>
      </c>
      <c r="J137" s="90" t="s">
        <v>1701</v>
      </c>
      <c r="K137" s="90" t="s">
        <v>1702</v>
      </c>
      <c r="L137" s="90" t="str">
        <f t="shared" ref="L137:L144" si="24">IF(E137="","",$L$14&amp;"-"&amp;TEXT(E137,"000"))</f>
        <v>18BQ-085</v>
      </c>
      <c r="N137" s="60" t="str">
        <f t="shared" ref="N137:N138" si="25">$L$68&amp;C137</f>
        <v>ni_7th</v>
      </c>
    </row>
    <row r="138" spans="1:14" ht="14.1" customHeight="1">
      <c r="A138" s="69">
        <f t="shared" si="22"/>
        <v>46229</v>
      </c>
      <c r="B138" s="70">
        <v>0.33333333333333298</v>
      </c>
      <c r="C138" s="71" t="s">
        <v>272</v>
      </c>
      <c r="D138" s="71" t="str">
        <f t="shared" si="23"/>
        <v>LA SERNA HS</v>
      </c>
      <c r="E138" s="71">
        <v>86</v>
      </c>
      <c r="F138" s="90" t="str">
        <f>IF(G113="","L73",IF(G113&lt;I113,_xlfn.CONCAT("L73-",RIGHT(F113,LEN(F113) - FIND("-",F113))), _xlfn.CONCAT("L73-",RIGHT(H113,LEN(H113) - FIND("-",H113)))))</f>
        <v>L73-BIG VALLEY</v>
      </c>
      <c r="G138" s="90">
        <v>13.8</v>
      </c>
      <c r="H138" s="90" t="str">
        <f>IF(G114="","L75",IF(G114&lt;I114,_xlfn.CONCAT("L75-",RIGHT(F114,LEN(F114) - FIND("-",F114))), _xlfn.CONCAT("L75-",RIGHT(H114,LEN(H114) - FIND("-",H114)))))</f>
        <v>L75-TRILOGY</v>
      </c>
      <c r="I138" s="90">
        <v>13.9</v>
      </c>
      <c r="J138" s="90" t="s">
        <v>1703</v>
      </c>
      <c r="K138" s="90" t="s">
        <v>1704</v>
      </c>
      <c r="L138" s="90" t="str">
        <f t="shared" si="24"/>
        <v>18BQ-086</v>
      </c>
      <c r="N138" s="60" t="str">
        <f t="shared" si="25"/>
        <v>ni_5th</v>
      </c>
    </row>
    <row r="139" spans="1:14" ht="14.1" customHeight="1">
      <c r="A139" s="69">
        <f t="shared" si="22"/>
        <v>46229</v>
      </c>
      <c r="B139" s="70">
        <v>0.375</v>
      </c>
      <c r="C139" s="69" t="s">
        <v>2041</v>
      </c>
      <c r="D139" s="71" t="str">
        <f t="shared" si="23"/>
        <v>LA SERNA HS</v>
      </c>
      <c r="E139" s="71">
        <v>87</v>
      </c>
      <c r="F139" s="278" t="s">
        <v>2042</v>
      </c>
      <c r="G139" s="278">
        <v>13</v>
      </c>
      <c r="H139" s="278" t="s">
        <v>2043</v>
      </c>
      <c r="I139" s="278">
        <v>6</v>
      </c>
      <c r="J139" s="278"/>
      <c r="K139" s="278"/>
      <c r="L139" s="278" t="str">
        <f t="shared" si="24"/>
        <v>18BQ-087</v>
      </c>
      <c r="N139" s="60" t="str">
        <f t="shared" ref="N139:N140" si="26">$L$69&amp;C139</f>
        <v>cu_9th-11th</v>
      </c>
    </row>
    <row r="140" spans="1:14" ht="14.1" customHeight="1">
      <c r="A140" s="69">
        <f t="shared" si="22"/>
        <v>46229</v>
      </c>
      <c r="B140" s="70">
        <v>0.41666666666666702</v>
      </c>
      <c r="C140" s="69" t="s">
        <v>2041</v>
      </c>
      <c r="D140" s="71" t="str">
        <f t="shared" si="23"/>
        <v>LA SERNA HS</v>
      </c>
      <c r="E140" s="71">
        <v>88</v>
      </c>
      <c r="F140" s="278" t="s">
        <v>2044</v>
      </c>
      <c r="G140" s="278">
        <v>6</v>
      </c>
      <c r="H140" s="278" t="s">
        <v>2045</v>
      </c>
      <c r="I140" s="278">
        <v>8</v>
      </c>
      <c r="J140" s="278" t="s">
        <v>1717</v>
      </c>
      <c r="K140" s="278" t="s">
        <v>1718</v>
      </c>
      <c r="L140" s="278" t="str">
        <f t="shared" si="24"/>
        <v>18BQ-088</v>
      </c>
      <c r="N140" s="60" t="str">
        <f t="shared" si="26"/>
        <v>cu_9th-11th</v>
      </c>
    </row>
    <row r="141" spans="1:14" ht="14.1" customHeight="1">
      <c r="A141" s="69">
        <f t="shared" si="22"/>
        <v>46229</v>
      </c>
      <c r="B141" s="70">
        <v>0.45833333333333298</v>
      </c>
      <c r="C141" s="71" t="s">
        <v>284</v>
      </c>
      <c r="D141" s="71" t="str">
        <f t="shared" si="23"/>
        <v>LA SERNA HS</v>
      </c>
      <c r="E141" s="71">
        <v>81</v>
      </c>
      <c r="F141" s="90" t="str">
        <f>IF(G111="","L69",IF(G111&lt;I111,_xlfn.CONCAT("L69-",RIGHT(F111,LEN(F111) - FIND("-",F111))), _xlfn.CONCAT("L69-",RIGHT(H111,LEN(H111) - FIND("-",H111)))))</f>
        <v>L69-NGEN</v>
      </c>
      <c r="G141" s="90">
        <v>7</v>
      </c>
      <c r="H141" s="90" t="str">
        <f>IF(G112="","L71",IF(G112&lt;I112,_xlfn.CONCAT("L71-",RIGHT(F112,LEN(F112) - FIND("-",F112))), _xlfn.CONCAT("L71-",RIGHT(H112,LEN(H112) - FIND("-",H112)))))</f>
        <v>L71-SOVA</v>
      </c>
      <c r="I141" s="90">
        <v>6</v>
      </c>
      <c r="J141" s="90" t="s">
        <v>1715</v>
      </c>
      <c r="K141" s="90" t="s">
        <v>1716</v>
      </c>
      <c r="L141" s="90" t="str">
        <f t="shared" si="24"/>
        <v>18BQ-081</v>
      </c>
      <c r="N141" s="60" t="str">
        <f t="shared" ref="N141:N142" si="27">$L$68&amp;C141</f>
        <v>ni_11th</v>
      </c>
    </row>
    <row r="142" spans="1:14" ht="14.1" customHeight="1">
      <c r="A142" s="69">
        <f t="shared" si="22"/>
        <v>46229</v>
      </c>
      <c r="B142" s="70">
        <v>0.5</v>
      </c>
      <c r="C142" s="71" t="s">
        <v>281</v>
      </c>
      <c r="D142" s="71" t="str">
        <f t="shared" si="23"/>
        <v>LA SERNA HS</v>
      </c>
      <c r="E142" s="71">
        <v>82</v>
      </c>
      <c r="F142" s="90" t="str">
        <f>IF(G111="","W69",IF(G111&gt;I111,_xlfn.CONCAT("W69-",RIGHT(F111,LEN(F111) - FIND("-",F111))), _xlfn.CONCAT("W69-",RIGHT(H111,LEN(H111) - FIND("-",H111)))))</f>
        <v>W69-TUALATIN HILLS</v>
      </c>
      <c r="G142" s="90">
        <v>11</v>
      </c>
      <c r="H142" s="90" t="str">
        <f>IF(G112="","W71",IF(G112&gt;I112,_xlfn.CONCAT("W71-",RIGHT(F112,LEN(F112) - FIND("-",F112))), _xlfn.CONCAT("W71-",RIGHT(H112,LEN(H112) - FIND("-",H112)))))</f>
        <v>W71-CHAWP BLUE</v>
      </c>
      <c r="I142" s="90">
        <v>8</v>
      </c>
      <c r="J142" s="90" t="s">
        <v>1713</v>
      </c>
      <c r="K142" s="90" t="s">
        <v>1714</v>
      </c>
      <c r="L142" s="90" t="str">
        <f t="shared" si="24"/>
        <v>18BQ-082</v>
      </c>
      <c r="N142" s="60" t="str">
        <f t="shared" si="27"/>
        <v>ni_9th</v>
      </c>
    </row>
    <row r="143" spans="1:14" ht="14.1" customHeight="1">
      <c r="A143" s="69">
        <f t="shared" si="22"/>
        <v>46229</v>
      </c>
      <c r="B143" s="70">
        <v>0.54166666666666696</v>
      </c>
      <c r="C143" s="71" t="s">
        <v>272</v>
      </c>
      <c r="D143" s="71" t="str">
        <f t="shared" si="23"/>
        <v>LA SERNA HS</v>
      </c>
      <c r="E143" s="182">
        <v>83</v>
      </c>
      <c r="F143" s="320" t="s">
        <v>2046</v>
      </c>
      <c r="G143" s="320">
        <v>18</v>
      </c>
      <c r="H143" s="320" t="s">
        <v>2047</v>
      </c>
      <c r="I143" s="320">
        <v>10</v>
      </c>
      <c r="J143" s="320" t="s">
        <v>1719</v>
      </c>
      <c r="K143" s="320" t="s">
        <v>1720</v>
      </c>
      <c r="L143" s="320" t="str">
        <f t="shared" si="24"/>
        <v>18BQ-083</v>
      </c>
      <c r="N143" s="60" t="str">
        <f t="shared" ref="N143:N144" si="28">$L$69&amp;C143</f>
        <v>cu_5th</v>
      </c>
    </row>
    <row r="144" spans="1:14" ht="14.1" customHeight="1">
      <c r="A144" s="69">
        <f t="shared" si="22"/>
        <v>46229</v>
      </c>
      <c r="B144" s="70">
        <v>0.58333333333333304</v>
      </c>
      <c r="C144" s="69" t="s">
        <v>2041</v>
      </c>
      <c r="D144" s="71" t="str">
        <f t="shared" si="23"/>
        <v>LA SERNA HS</v>
      </c>
      <c r="E144" s="71">
        <v>84</v>
      </c>
      <c r="F144" s="320" t="s">
        <v>2042</v>
      </c>
      <c r="G144" s="320">
        <v>14</v>
      </c>
      <c r="H144" s="320" t="s">
        <v>2048</v>
      </c>
      <c r="I144" s="320">
        <v>6</v>
      </c>
      <c r="J144" s="320"/>
      <c r="K144" s="320"/>
      <c r="L144" s="278" t="str">
        <f t="shared" si="24"/>
        <v>18BQ-084</v>
      </c>
      <c r="N144" s="60" t="str">
        <f t="shared" si="28"/>
        <v>cu_9th-11th</v>
      </c>
    </row>
    <row r="145" spans="1:14" ht="14.1" customHeight="1" thickBot="1">
      <c r="A145" s="75"/>
      <c r="B145" s="321"/>
      <c r="C145" s="268"/>
      <c r="D145" s="268"/>
      <c r="E145" s="268"/>
      <c r="F145" s="322"/>
      <c r="G145" s="322"/>
      <c r="H145" s="322"/>
      <c r="I145" s="322"/>
      <c r="J145" s="322"/>
      <c r="K145" s="322"/>
      <c r="L145" s="322"/>
    </row>
    <row r="146" spans="1:14" ht="14.1" customHeight="1" thickBot="1">
      <c r="D146" s="310" t="str">
        <f>'CHICLETS MASTER S2'!AF$72</f>
        <v>YORBA LINDA HS</v>
      </c>
    </row>
    <row r="147" spans="1:14" ht="14.1" customHeight="1">
      <c r="A147" s="311" t="s">
        <v>124</v>
      </c>
      <c r="B147" s="311" t="s">
        <v>125</v>
      </c>
      <c r="C147" s="311" t="s">
        <v>126</v>
      </c>
      <c r="D147" s="311" t="s">
        <v>127</v>
      </c>
      <c r="E147" s="311" t="s">
        <v>128</v>
      </c>
      <c r="F147" s="311" t="s">
        <v>129</v>
      </c>
      <c r="G147" s="311" t="s">
        <v>130</v>
      </c>
      <c r="H147" s="311" t="s">
        <v>131</v>
      </c>
      <c r="I147" s="311" t="s">
        <v>130</v>
      </c>
      <c r="J147" s="311" t="s">
        <v>132</v>
      </c>
      <c r="K147" s="311" t="s">
        <v>133</v>
      </c>
      <c r="L147" s="311" t="s">
        <v>134</v>
      </c>
    </row>
    <row r="148" spans="1:14" ht="14.1" customHeight="1">
      <c r="A148" s="69">
        <f t="shared" ref="A148:A155" si="29">$A$134</f>
        <v>46229</v>
      </c>
      <c r="B148" s="323">
        <v>0.29166666666666669</v>
      </c>
      <c r="C148" s="71" t="s">
        <v>2049</v>
      </c>
      <c r="D148" s="71" t="str">
        <f t="shared" ref="D148:D155" si="30">$D$146</f>
        <v>YORBA LINDA HS</v>
      </c>
      <c r="E148" s="71">
        <v>77</v>
      </c>
      <c r="F148" s="320" t="s">
        <v>2050</v>
      </c>
      <c r="G148" s="320">
        <v>12</v>
      </c>
      <c r="H148" s="320" t="s">
        <v>2051</v>
      </c>
      <c r="I148" s="320">
        <v>3</v>
      </c>
      <c r="J148" s="320">
        <v>90</v>
      </c>
      <c r="K148" s="320">
        <v>89</v>
      </c>
      <c r="L148" s="278" t="str">
        <f t="shared" ref="L148:L155" si="31">IF(E148="","",$L$14&amp;"-"&amp;TEXT(E148,"000"))</f>
        <v>18BQ-077</v>
      </c>
      <c r="N148" s="60" t="str">
        <f t="shared" ref="N148:N149" si="32">$L$69&amp;C148</f>
        <v>cu_Semi</v>
      </c>
    </row>
    <row r="149" spans="1:14" ht="14.1" customHeight="1">
      <c r="A149" s="69">
        <f t="shared" si="29"/>
        <v>46229</v>
      </c>
      <c r="B149" s="323">
        <v>0.33333333333333298</v>
      </c>
      <c r="C149" s="72" t="s">
        <v>2049</v>
      </c>
      <c r="D149" s="71" t="str">
        <f t="shared" si="30"/>
        <v>YORBA LINDA HS</v>
      </c>
      <c r="E149" s="71">
        <v>78</v>
      </c>
      <c r="F149" s="320" t="s">
        <v>2052</v>
      </c>
      <c r="G149" s="320">
        <v>13</v>
      </c>
      <c r="H149" s="320" t="s">
        <v>2053</v>
      </c>
      <c r="I149" s="320">
        <v>9</v>
      </c>
      <c r="J149" s="320">
        <v>90</v>
      </c>
      <c r="K149" s="320">
        <v>89</v>
      </c>
      <c r="L149" s="278" t="str">
        <f t="shared" si="31"/>
        <v>18BQ-078</v>
      </c>
      <c r="N149" s="60" t="str">
        <f t="shared" si="32"/>
        <v>cu_Semi</v>
      </c>
    </row>
    <row r="150" spans="1:14" ht="14.1" customHeight="1">
      <c r="A150" s="69">
        <f t="shared" si="29"/>
        <v>46229</v>
      </c>
      <c r="B150" s="323">
        <v>0.375</v>
      </c>
      <c r="C150" s="72" t="s">
        <v>2049</v>
      </c>
      <c r="D150" s="71" t="str">
        <f t="shared" si="30"/>
        <v>YORBA LINDA HS</v>
      </c>
      <c r="E150" s="71">
        <v>79</v>
      </c>
      <c r="F150" s="90" t="str">
        <f>IF(G109="","W65",IF(G109&gt;I109,_xlfn.CONCAT("W65-",RIGHT(F109,LEN(F109) - FIND("-",F109))), _xlfn.CONCAT("W65-",RIGHT(H109,LEN(H109) - FIND("-",H109)))))</f>
        <v>W65-NSD STARS</v>
      </c>
      <c r="G150" s="90">
        <v>12.3</v>
      </c>
      <c r="H150" s="90" t="str">
        <f>IF(G113="","W73",IF(G113&gt;I113,_xlfn.CONCAT("W73-",RIGHT(F113,LEN(F113) - FIND("-",F113))), _xlfn.CONCAT("W73-",RIGHT(H113,LEN(H113) - FIND("-",H113)))))</f>
        <v>W73-PAC ORANGE</v>
      </c>
      <c r="I150" s="90">
        <v>12.4</v>
      </c>
      <c r="J150" s="90">
        <v>92</v>
      </c>
      <c r="K150" s="90">
        <v>91</v>
      </c>
      <c r="L150" s="90" t="str">
        <f t="shared" si="31"/>
        <v>18BQ-079</v>
      </c>
      <c r="N150" s="60" t="str">
        <f t="shared" ref="N150:N155" si="33">$L$68&amp;C150</f>
        <v>ni_Semi</v>
      </c>
    </row>
    <row r="151" spans="1:14" ht="14.1" customHeight="1">
      <c r="A151" s="69">
        <f t="shared" si="29"/>
        <v>46229</v>
      </c>
      <c r="B151" s="323">
        <v>0.41666666666666702</v>
      </c>
      <c r="C151" s="72" t="s">
        <v>2049</v>
      </c>
      <c r="D151" s="71" t="str">
        <f t="shared" si="30"/>
        <v>YORBA LINDA HS</v>
      </c>
      <c r="E151" s="71">
        <v>80</v>
      </c>
      <c r="F151" s="90" t="str">
        <f>IF(G107="","W61",IF(G107&gt;I107,_xlfn.CONCAT("W61-",RIGHT(F107,LEN(F107) - FIND("-",F107))), _xlfn.CONCAT("W61-",RIGHT(H107,LEN(H107) - FIND("-",H107)))))</f>
        <v>W61-TROJAN GOLD</v>
      </c>
      <c r="G151" s="90">
        <v>9</v>
      </c>
      <c r="H151" s="90" t="str">
        <f>IF(G114="","W75",IF(G114&gt;I114,_xlfn.CONCAT("W75-",RIGHT(F114,LEN(F114) - FIND("-",F114))), _xlfn.CONCAT("W75-",RIGHT(H114,LEN(H114) - FIND("-",H114)))))</f>
        <v>W75-ROUTE 66</v>
      </c>
      <c r="I151" s="90">
        <v>8</v>
      </c>
      <c r="J151" s="90">
        <v>92</v>
      </c>
      <c r="K151" s="90">
        <v>91</v>
      </c>
      <c r="L151" s="90" t="str">
        <f t="shared" si="31"/>
        <v>18BQ-080</v>
      </c>
      <c r="N151" s="60" t="str">
        <f t="shared" si="33"/>
        <v>ni_Semi</v>
      </c>
    </row>
    <row r="152" spans="1:14" ht="14.1" customHeight="1">
      <c r="A152" s="69">
        <f t="shared" si="29"/>
        <v>46229</v>
      </c>
      <c r="B152" s="323">
        <v>0.45833333333333298</v>
      </c>
      <c r="C152" s="71" t="s">
        <v>275</v>
      </c>
      <c r="D152" s="71" t="str">
        <f t="shared" si="30"/>
        <v>YORBA LINDA HS</v>
      </c>
      <c r="E152" s="71">
        <v>89</v>
      </c>
      <c r="F152" s="320" t="str">
        <f>IF(G148="","L77",IF(G148&lt;I148,_xlfn.CONCAT("L77-",RIGHT(F148,LEN(F148) - FIND("-",F148))), _xlfn.CONCAT("L77-",RIGHT(H148,LEN(H148) - FIND("-",H148)))))</f>
        <v>L77-SFV</v>
      </c>
      <c r="G152" s="320">
        <v>11</v>
      </c>
      <c r="H152" s="320" t="str">
        <f>IF(G149="","L78",IF(G149&lt;I149,_xlfn.CONCAT("L78-",RIGHT(F149,LEN(F149) - FIND("-",F149))), _xlfn.CONCAT("L78-",RIGHT(H149,LEN(H149) - FIND("-",H149)))))</f>
        <v xml:space="preserve">L78-YETI </v>
      </c>
      <c r="I152" s="320">
        <v>8</v>
      </c>
      <c r="J152" s="320" t="s">
        <v>1721</v>
      </c>
      <c r="K152" s="320" t="s">
        <v>1722</v>
      </c>
      <c r="L152" s="278" t="str">
        <f>IF(E152="","",$L$14&amp;"-"&amp;TEXT(E152,"000"))</f>
        <v>18BQ-089</v>
      </c>
      <c r="N152" s="60" t="str">
        <f t="shared" ref="N152:N153" si="34">$L$69&amp;C152</f>
        <v>cu_3rd</v>
      </c>
    </row>
    <row r="153" spans="1:14" ht="14.1" customHeight="1">
      <c r="A153" s="69">
        <f t="shared" si="29"/>
        <v>46229</v>
      </c>
      <c r="B153" s="323">
        <v>0.5</v>
      </c>
      <c r="C153" s="72" t="s">
        <v>278</v>
      </c>
      <c r="D153" s="71" t="str">
        <f t="shared" si="30"/>
        <v>YORBA LINDA HS</v>
      </c>
      <c r="E153" s="71">
        <v>90</v>
      </c>
      <c r="F153" s="320" t="str">
        <f>IF(G148="","W77",IF(G148&gt;I148,_xlfn.CONCAT("W77-",RIGHT(F148,LEN(F148) - FIND("-",F148))), _xlfn.CONCAT("W77-",RIGHT(H148,LEN(H148) - FIND("-",H148)))))</f>
        <v>W77-TEAM SANTA MONICA</v>
      </c>
      <c r="G153" s="320">
        <v>13</v>
      </c>
      <c r="H153" s="320" t="str">
        <f>IF(G149="","W78",IF(G149&gt;I149,_xlfn.CONCAT("W78-",RIGHT(F149,LEN(F149) - FIND("-",F149))), _xlfn.CONCAT("W78-",RIGHT(H149,LEN(H149) - FIND("-",H149)))))</f>
        <v>W78-SACRAMENTO</v>
      </c>
      <c r="I153" s="320">
        <v>7</v>
      </c>
      <c r="J153" s="320" t="s">
        <v>1723</v>
      </c>
      <c r="K153" s="320" t="s">
        <v>1724</v>
      </c>
      <c r="L153" s="278" t="str">
        <f>IF(E153="","",$L$14&amp;"-"&amp;TEXT(E153,"000"))</f>
        <v>18BQ-090</v>
      </c>
      <c r="N153" s="60" t="str">
        <f t="shared" si="34"/>
        <v>cu_1st</v>
      </c>
    </row>
    <row r="154" spans="1:14" ht="14.1" customHeight="1">
      <c r="A154" s="69">
        <f t="shared" si="29"/>
        <v>46229</v>
      </c>
      <c r="B154" s="323">
        <v>0.54166666666666696</v>
      </c>
      <c r="C154" s="71" t="s">
        <v>275</v>
      </c>
      <c r="D154" s="71" t="str">
        <f t="shared" si="30"/>
        <v>YORBA LINDA HS</v>
      </c>
      <c r="E154" s="71">
        <v>91</v>
      </c>
      <c r="F154" s="90" t="str">
        <f>IF(G150="","L79",IF(G150&lt;I150,_xlfn.CONCAT("L79-",RIGHT(F150,LEN(F150) - FIND("-",F150))), _xlfn.CONCAT("L79-",RIGHT(H150,LEN(H150) - FIND("-",H150)))))</f>
        <v>L79-NSD STARS</v>
      </c>
      <c r="G154" s="93">
        <v>13</v>
      </c>
      <c r="H154" s="90" t="str">
        <f>IF(G151="","L80",IF(G151&lt;I151,_xlfn.CONCAT("L80-",RIGHT(F151,LEN(F151) - FIND("-",F151))), _xlfn.CONCAT("L80-",RIGHT(H151,LEN(H151) - FIND("-",H151)))))</f>
        <v>L80-ROUTE 66</v>
      </c>
      <c r="I154" s="93">
        <v>7</v>
      </c>
      <c r="J154" s="90" t="s">
        <v>1705</v>
      </c>
      <c r="K154" s="90" t="s">
        <v>1706</v>
      </c>
      <c r="L154" s="90" t="str">
        <f t="shared" si="31"/>
        <v>18BQ-091</v>
      </c>
      <c r="N154" s="60" t="str">
        <f t="shared" si="33"/>
        <v>ni_3rd</v>
      </c>
    </row>
    <row r="155" spans="1:14" ht="14.1" customHeight="1">
      <c r="A155" s="69">
        <f t="shared" si="29"/>
        <v>46229</v>
      </c>
      <c r="B155" s="323">
        <v>0.58333333333333304</v>
      </c>
      <c r="C155" s="71" t="s">
        <v>278</v>
      </c>
      <c r="D155" s="71" t="str">
        <f t="shared" si="30"/>
        <v>YORBA LINDA HS</v>
      </c>
      <c r="E155" s="71">
        <v>92</v>
      </c>
      <c r="F155" s="90" t="str">
        <f>IF(G150="","W79",IF(G150&gt;I150,_xlfn.CONCAT("W79-",RIGHT(F150,LEN(F150) - FIND("-",F150))), _xlfn.CONCAT("W79-",RIGHT(H150,LEN(H150) - FIND("-",H150)))))</f>
        <v>W79-PAC ORANGE</v>
      </c>
      <c r="G155" s="90">
        <v>10</v>
      </c>
      <c r="H155" s="90" t="str">
        <f>IF(G151="","W80",IF(G151&gt;I151,_xlfn.CONCAT("W80-",RIGHT(F151,LEN(F151) - FIND("-",F151))), _xlfn.CONCAT("W80-",RIGHT(H151,LEN(H151) - FIND("-",H151)))))</f>
        <v>W80-TROJAN GOLD</v>
      </c>
      <c r="I155" s="90">
        <v>14</v>
      </c>
      <c r="J155" s="90" t="s">
        <v>1707</v>
      </c>
      <c r="K155" s="90" t="s">
        <v>1708</v>
      </c>
      <c r="L155" s="90" t="str">
        <f t="shared" si="31"/>
        <v>18BQ-092</v>
      </c>
      <c r="N155" s="60" t="str">
        <f t="shared" si="33"/>
        <v>ni_1st</v>
      </c>
    </row>
    <row r="157" spans="1:14" ht="14.1" customHeight="1">
      <c r="A157" s="90" t="s">
        <v>1733</v>
      </c>
      <c r="B157" s="62"/>
      <c r="C157" s="91" t="s">
        <v>1734</v>
      </c>
      <c r="D157" s="62"/>
    </row>
    <row r="158" spans="1:14" ht="14.1" customHeight="1">
      <c r="A158" s="90" t="s">
        <v>278</v>
      </c>
      <c r="B158" s="131" t="str">
        <f>IF(G155="","W92",IF(G155&gt;I155,_xlfn.CONCAT("W92-",RIGHT(F155,LEN(F155) - FIND("-",F155))), _xlfn.CONCAT("W92-",RIGHT(H155,LEN(H155) - FIND("-",H155)))))</f>
        <v>W92-TROJAN GOLD</v>
      </c>
      <c r="C158" s="91" t="s">
        <v>278</v>
      </c>
      <c r="D158" s="132" t="str">
        <f>IF(G153="","W90",IF(G153&gt;I153,_xlfn.CONCAT("W90-",RIGHT(F153,LEN(F153) - FIND("-",F153))), _xlfn.CONCAT("W90-",RIGHT(H153,LEN(H153) - FIND("-",H153)))))</f>
        <v>W90-TEAM SANTA MONICA</v>
      </c>
    </row>
    <row r="159" spans="1:14" ht="14.1" customHeight="1">
      <c r="A159" s="90" t="s">
        <v>310</v>
      </c>
      <c r="B159" s="133" t="str">
        <f>IF(G155="","L92",IF(G155&lt;I155,_xlfn.CONCAT("L92-",RIGHT(F155,LEN(F155) - FIND("-",F155))), _xlfn.CONCAT("L92-",RIGHT(H155,LEN(H155) - FIND("-",H155)))))</f>
        <v>L92-PAC ORANGE</v>
      </c>
      <c r="C159" s="91" t="s">
        <v>310</v>
      </c>
      <c r="D159" s="131" t="str">
        <f>IF(G153="","L90",IF(G153&lt;I153,_xlfn.CONCAT("L90-",RIGHT(F153,LEN(F153) - FIND("-",F153))), _xlfn.CONCAT("L90-",RIGHT(H153,LEN(H153) - FIND("-",H153)))))</f>
        <v>L90-SACRAMENTO</v>
      </c>
    </row>
    <row r="160" spans="1:14" ht="14.1" customHeight="1">
      <c r="A160" s="90" t="s">
        <v>275</v>
      </c>
      <c r="B160" s="131" t="str">
        <f>IF(G154="","W91",IF(G154&gt;I154,_xlfn.CONCAT("W91-",RIGHT(F154,LEN(F154) - FIND("-",F154))), _xlfn.CONCAT("W91-",RIGHT(H154,LEN(H154) - FIND("-",H154)))))</f>
        <v>W91-NSD STARS</v>
      </c>
      <c r="C160" s="91" t="s">
        <v>275</v>
      </c>
      <c r="D160" s="132" t="str">
        <f>IF(G152="","W89",IF(G152&gt;I152,_xlfn.CONCAT("W89-",RIGHT(F152,LEN(F152) - FIND("-",F152))), _xlfn.CONCAT("W89-",RIGHT(H152,LEN(H152) - FIND("-",H152)))))</f>
        <v>W89-SFV</v>
      </c>
    </row>
    <row r="161" spans="1:4" ht="14.1" customHeight="1">
      <c r="A161" s="90" t="s">
        <v>311</v>
      </c>
      <c r="B161" s="131" t="str">
        <f>IF(G154="","L91",IF(G154&lt;I154,_xlfn.CONCAT("L91-",RIGHT(F154,LEN(F154) - FIND("-",F154))), _xlfn.CONCAT("L91-",RIGHT(H154,LEN(H154) - FIND("-",H154)))))</f>
        <v>L91-ROUTE 66</v>
      </c>
      <c r="C161" s="91" t="s">
        <v>311</v>
      </c>
      <c r="D161" s="131" t="str">
        <f>IF(G152="","L89",IF(G152&lt;I152,_xlfn.CONCAT("L89-",RIGHT(F152,LEN(F152) - FIND("-",F152))), _xlfn.CONCAT("L89-",RIGHT(H152,LEN(H152) - FIND("-",H152)))))</f>
        <v xml:space="preserve">L89-YETI </v>
      </c>
    </row>
    <row r="162" spans="1:4" ht="14.1" customHeight="1">
      <c r="A162" s="90" t="s">
        <v>272</v>
      </c>
      <c r="B162" s="131" t="str">
        <f>IF(G138="","W86",IF(G138&gt;I138,_xlfn.CONCAT("W86-",RIGHT(F138,LEN(F138) - FIND("-",F138))), _xlfn.CONCAT("W86-",RIGHT(H138,LEN(H138) - FIND("-",H138)))))</f>
        <v>W86-TRILOGY</v>
      </c>
      <c r="C162" s="91" t="s">
        <v>272</v>
      </c>
      <c r="D162" s="134" t="str">
        <f>IF(G143="","W83",IF(G143&gt;I143,_xlfn.CONCAT("W83-",RIGHT(F143,LEN(F143) - FIND("-",F143))), _xlfn.CONCAT("W83-",RIGHT(H143,LEN(H143) - FIND("-",H143)))))</f>
        <v>W83-VALLEY UNITED</v>
      </c>
    </row>
    <row r="163" spans="1:4" ht="14.1" customHeight="1">
      <c r="A163" s="90" t="s">
        <v>312</v>
      </c>
      <c r="B163" s="133" t="str">
        <f>IF(G138="","L86",IF(G138&lt;I138,_xlfn.CONCAT("L86-",RIGHT(F138,LEN(F138) - FIND("-",F138))), _xlfn.CONCAT("L86-",RIGHT(H138,LEN(H138) - FIND("-",H138)))))</f>
        <v>L86-BIG VALLEY</v>
      </c>
      <c r="C163" s="91" t="s">
        <v>312</v>
      </c>
      <c r="D163" s="132" t="str">
        <f>IF(G143="","L83",IF(G143&lt;I143,_xlfn.CONCAT("L83-",RIGHT(F143,LEN(F143) - FIND("-",F143))), _xlfn.CONCAT("L83-",RIGHT(H143,LEN(H143) - FIND("-",H143)))))</f>
        <v>L83-TRI VALLEY TRITONS</v>
      </c>
    </row>
    <row r="164" spans="1:4" ht="14.1" customHeight="1">
      <c r="A164" s="90" t="s">
        <v>269</v>
      </c>
      <c r="B164" s="131" t="str">
        <f>IF(G137="","W85",IF(G137&gt;I137,_xlfn.CONCAT("W85-",RIGHT(F137,LEN(F137) - FIND("-",F137))), _xlfn.CONCAT("W85-",RIGHT(H137,LEN(H137) - FIND("-",H137)))))</f>
        <v>W85-FOOTHILL BLACK B</v>
      </c>
      <c r="C164" s="91" t="s">
        <v>269</v>
      </c>
      <c r="D164" s="131" t="str">
        <f>IF(G140="","W88",IF(G140&gt;I140,_xlfn.CONCAT("W88-",RIGHT(F140,LEN(F140) - FIND("-",F140))), _xlfn.CONCAT("W88-",RIGHT(H140,LEN(H140) - FIND("-",H140)))))</f>
        <v>W88-LAMORINDA BRENTWOOD</v>
      </c>
    </row>
    <row r="165" spans="1:4" ht="14.1" customHeight="1">
      <c r="A165" s="90" t="s">
        <v>313</v>
      </c>
      <c r="B165" s="133" t="str">
        <f>IF(G137="","L85",IF(G137&lt;I137,_xlfn.CONCAT("L85-",RIGHT(F137,LEN(F137) - FIND("-",F137))), _xlfn.CONCAT("L85-",RIGHT(H137,LEN(H137) - FIND("-",H137)))))</f>
        <v>L85-ECA</v>
      </c>
      <c r="C165" s="91" t="s">
        <v>313</v>
      </c>
      <c r="D165" s="135" t="str">
        <f>IF(G140="","L88",IF(G140&lt;I140,_xlfn.CONCAT("L88-",RIGHT(F140,LEN(F140) - FIND("-",F140))), _xlfn.CONCAT("L88-",RIGHT(H140,LEN(H140) - FIND("-",H140)))))</f>
        <v>L88-AMP</v>
      </c>
    </row>
    <row r="166" spans="1:4" ht="14.1" customHeight="1">
      <c r="A166" s="90" t="s">
        <v>281</v>
      </c>
      <c r="B166" s="131" t="str">
        <f>IF(G142="","W82",IF(G142&gt;I142,_xlfn.CONCAT("W82-",RIGHT(F142,LEN(F142) - FIND("-",F142))), _xlfn.CONCAT("W82-",RIGHT(H142,LEN(H142) - FIND("-",H142)))))</f>
        <v>W82-TUALATIN HILLS</v>
      </c>
      <c r="C166" s="91" t="s">
        <v>281</v>
      </c>
      <c r="D166" s="131" t="s">
        <v>2054</v>
      </c>
    </row>
    <row r="167" spans="1:4" ht="14.1" customHeight="1">
      <c r="A167" s="90" t="s">
        <v>315</v>
      </c>
      <c r="B167" s="133" t="str">
        <f>IF(G142="","L82",IF(G142&lt;I142,_xlfn.CONCAT("L82-",RIGHT(F142,LEN(F142) - FIND("-",F142))), _xlfn.CONCAT("L82-",RIGHT(H142,LEN(H142) - FIND("-",H142)))))</f>
        <v>L82-CHAWP BLUE</v>
      </c>
      <c r="C167" s="146" t="s">
        <v>315</v>
      </c>
      <c r="D167" s="134" t="s">
        <v>2055</v>
      </c>
    </row>
    <row r="168" spans="1:4" ht="14.1" customHeight="1">
      <c r="A168" s="127" t="s">
        <v>284</v>
      </c>
      <c r="B168" s="370" t="str">
        <f>IF(G141="","W81",IF(G141&gt;I141,_xlfn.CONCAT("W81-",RIGHT(F141,LEN(F141) - FIND("-",F141))), _xlfn.CONCAT("W81-",RIGHT(H141,LEN(H141) - FIND("-",H141)))))</f>
        <v>W81-NGEN</v>
      </c>
      <c r="C168" s="124" t="s">
        <v>284</v>
      </c>
      <c r="D168" s="131" t="s">
        <v>2056</v>
      </c>
    </row>
    <row r="169" spans="1:4" ht="14.1" customHeight="1">
      <c r="A169" s="122" t="s">
        <v>318</v>
      </c>
      <c r="B169" s="131" t="str">
        <f>IF(G141="","L81",IF(G141&lt;I141,_xlfn.CONCAT("L81-",RIGHT(F141,LEN(F141) - FIND("-",F141))), _xlfn.CONCAT("L81-",RIGHT(H141,LEN(H141) - FIND("-",H141)))))</f>
        <v>L81-SOVA</v>
      </c>
      <c r="C169" s="371"/>
      <c r="D169" s="372"/>
    </row>
  </sheetData>
  <pageMargins left="0.7" right="0.7" top="0.75" bottom="0.75" header="0.3" footer="0.3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J Baba</dc:creator>
  <cp:keywords/>
  <dc:description/>
  <cp:lastModifiedBy>Nicholas J Baba</cp:lastModifiedBy>
  <cp:revision/>
  <dcterms:created xsi:type="dcterms:W3CDTF">2026-07-02T02:30:39Z</dcterms:created>
  <dcterms:modified xsi:type="dcterms:W3CDTF">2026-08-30T17:29:52Z</dcterms:modified>
  <cp:category/>
  <cp:contentStatus/>
</cp:coreProperties>
</file>